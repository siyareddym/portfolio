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3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4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indiana-my.sharepoint.com/personal/smuthire_iu_edu/Documents/portfolio/"/>
    </mc:Choice>
  </mc:AlternateContent>
  <xr:revisionPtr revIDLastSave="5" documentId="8_{8B16F03C-CF8B-45DF-B85A-8ACBF60E5880}" xr6:coauthVersionLast="47" xr6:coauthVersionMax="47" xr10:uidLastSave="{FF78674B-9688-47A4-AAFA-8FDF9403E5A7}"/>
  <bookViews>
    <workbookView xWindow="-110" yWindow="-110" windowWidth="19420" windowHeight="11500" activeTab="2" xr2:uid="{7DA3E69E-ED66-4DAB-B67A-C9BF64D21AA1}"/>
  </bookViews>
  <sheets>
    <sheet name="Model and simulation" sheetId="2" r:id="rId1"/>
    <sheet name="Simulation results" sheetId="3" r:id="rId2"/>
    <sheet name="Analysis" sheetId="4" r:id="rId3"/>
  </sheets>
  <externalReferences>
    <externalReference r:id="rId4"/>
  </externalReference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4</definedName>
    <definedName name="_AtRisk_SimSetting_MultipleCPUMode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0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PalDV_1287484137" hidden="1">#REF!</definedName>
    <definedName name="_PalDV_1951079581" hidden="1">#REF!</definedName>
    <definedName name="_PalDV_224669081" hidden="1">#REF!</definedName>
    <definedName name="_xlchart.v1.0" hidden="1">'[1]Model and simulation'!$T$45:$T$1044</definedName>
    <definedName name="_xlchart.v1.1" hidden="1">'[1]Model and simulation'!$U$45:$U$1044</definedName>
    <definedName name="_xlchart.v1.10" hidden="1">'[1]Model and simulation'!$F$44:$F$1044</definedName>
    <definedName name="_xlchart.v1.11" hidden="1">'[1]Model and simulation'!$G$44:$G$1044</definedName>
    <definedName name="_xlchart.v1.12" hidden="1">'[1]Model and simulation'!$K$45:$K$1044</definedName>
    <definedName name="_xlchart.v1.13" hidden="1">'[1]Model and simulation'!$L$45:$L$1044</definedName>
    <definedName name="_xlchart.v1.14" hidden="1">'[1]Model and simulation'!$M$45:$M$1044</definedName>
    <definedName name="_xlchart.v1.15" hidden="1">'[1]Model and simulation'!$N$45:$N$1044</definedName>
    <definedName name="_xlchart.v1.16" hidden="1">'[1]Model and simulation'!$O$45:$O$1044</definedName>
    <definedName name="_xlchart.v1.17" hidden="1">'[1]Model and simulation'!$P$45:$P$1044</definedName>
    <definedName name="_xlchart.v1.18" hidden="1">'[1]Model and simulation'!$B$44:$B$1044</definedName>
    <definedName name="_xlchart.v1.19" hidden="1">'[1]Model and simulation'!$C$44:$C$1044</definedName>
    <definedName name="_xlchart.v1.2" hidden="1">'[1]Model and simulation'!$V$45:$V$1044</definedName>
    <definedName name="_xlchart.v1.20" hidden="1">'[1]Model and simulation'!$D$44:$D$1044</definedName>
    <definedName name="_xlchart.v1.21" hidden="1">'[1]Model and simulation'!$E$44:$E$1044</definedName>
    <definedName name="_xlchart.v1.22" hidden="1">'[1]Model and simulation'!$F$44:$F$1044</definedName>
    <definedName name="_xlchart.v1.23" hidden="1">'[1]Model and simulation'!$G$44:$G$1044</definedName>
    <definedName name="_xlchart.v1.3" hidden="1">'[1]Model and simulation'!$W$45:$W$1044</definedName>
    <definedName name="_xlchart.v1.4" hidden="1">'[1]Model and simulation'!$X$45:$X$1044</definedName>
    <definedName name="_xlchart.v1.5" hidden="1">'[1]Model and simulation'!$Y$45:$Y$1044</definedName>
    <definedName name="_xlchart.v1.6" hidden="1">'[1]Model and simulation'!$B$44:$B$1044</definedName>
    <definedName name="_xlchart.v1.7" hidden="1">'[1]Model and simulation'!$C$44:$C$1044</definedName>
    <definedName name="_xlchart.v1.8" hidden="1">'[1]Model and simulation'!$D$44:$D$1044</definedName>
    <definedName name="_xlchart.v1.9" hidden="1">'[1]Model and simulation'!$E$44:$E$1044</definedName>
    <definedName name="Pal_Workbook_GUID" hidden="1">"YKPTAKBNB64EXWU1IXZH4S3A"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231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TopRankDefaultDistForRange" hidden="1">0</definedName>
    <definedName name="TopRankDefaultMaxChange" hidden="1">0.1</definedName>
    <definedName name="TopRankDefaultMinChange" hidden="1">-0.1</definedName>
    <definedName name="TopRankDefaultMultiGroupSize" hidden="1">2</definedName>
    <definedName name="TopRankDefaultMultiStepsPerInput" hidden="1">2</definedName>
    <definedName name="TopRankDefaultRangeType" hidden="1">0</definedName>
    <definedName name="TopRankDefaultStepsPerInput" hidden="1">5</definedName>
    <definedName name="TopRankDetailByInputReport" hidden="1">FALSE</definedName>
    <definedName name="TopRankMaxInputsPerGraph" hidden="1">20</definedName>
    <definedName name="TopRankMultiWayReport" hidden="1">FALSE</definedName>
    <definedName name="TopRankNumberOfRuns" hidden="1">1</definedName>
    <definedName name="TopRankOnlyInputsOverThreshold" hidden="1">FALSE</definedName>
    <definedName name="TopRankOnlyTopRanking" hidden="1">FALSE</definedName>
    <definedName name="TopRankOutputDetailReport" hidden="1">FALSE</definedName>
    <definedName name="TopRankOutputsAsPercentChange" hidden="1">FALSE</definedName>
    <definedName name="TopRankOverwriteExisting" hidden="1">FALSE</definedName>
    <definedName name="TopRankPauseOnError" hidden="1">FALSE</definedName>
    <definedName name="TopRankPerformPrecedentScanAddOutput" hidden="1">FALSE</definedName>
    <definedName name="TopRankPerformPrecedentScanAtStart" hidden="1">FALSE</definedName>
    <definedName name="TopRankPrecedentScanType" hidden="1">1</definedName>
    <definedName name="TopRankReportAllOutputCells" hidden="1">TRUE</definedName>
    <definedName name="TopRankReportsInExistingWorkbook" hidden="1">TRUE</definedName>
    <definedName name="TopRankReportsInExistingWorkbookName" hidden="1">"Active Workbook"</definedName>
    <definedName name="TopRankReportsInNewWorkbook" hidden="1">FALSE</definedName>
    <definedName name="TopRankSensitivityGraphs" hidden="1">FALSE</definedName>
    <definedName name="TopRankSingleWorkbookAllResults" hidden="1">TRUE</definedName>
    <definedName name="TopRankSpiderGraphs" hidden="1">FALSE</definedName>
    <definedName name="TopRankTornadoGraphs" hidden="1">TRUE</definedName>
    <definedName name="TopRankUpdateDisplay" hidden="1">FALSE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V33" i="4" l="1"/>
  <c r="V34" i="4"/>
  <c r="B35" i="4"/>
  <c r="K50" i="4" s="1"/>
  <c r="C35" i="4"/>
  <c r="D35" i="4"/>
  <c r="E35" i="4"/>
  <c r="F35" i="4"/>
  <c r="G35" i="4"/>
  <c r="B36" i="4"/>
  <c r="P50" i="4" s="1"/>
  <c r="C36" i="4"/>
  <c r="D36" i="4"/>
  <c r="Q50" i="4" s="1"/>
  <c r="E36" i="4"/>
  <c r="F36" i="4"/>
  <c r="G36" i="4"/>
  <c r="B39" i="4"/>
  <c r="C39" i="4"/>
  <c r="D39" i="4"/>
  <c r="E39" i="4"/>
  <c r="F39" i="4"/>
  <c r="G39" i="4"/>
  <c r="B40" i="4"/>
  <c r="C40" i="4"/>
  <c r="D40" i="4"/>
  <c r="E40" i="4"/>
  <c r="F40" i="4"/>
  <c r="G40" i="4"/>
  <c r="B41" i="4"/>
  <c r="C41" i="4"/>
  <c r="D41" i="4"/>
  <c r="E41" i="4"/>
  <c r="F41" i="4"/>
  <c r="G41" i="4"/>
  <c r="B42" i="4"/>
  <c r="C42" i="4"/>
  <c r="D42" i="4"/>
  <c r="E42" i="4"/>
  <c r="F42" i="4"/>
  <c r="G42" i="4"/>
  <c r="B43" i="4"/>
  <c r="C43" i="4"/>
  <c r="D43" i="4"/>
  <c r="E43" i="4"/>
  <c r="F43" i="4"/>
  <c r="G43" i="4"/>
  <c r="L50" i="4"/>
  <c r="B6" i="3"/>
  <c r="C6" i="3"/>
  <c r="D6" i="3"/>
  <c r="W34" i="4" s="1"/>
  <c r="E6" i="3"/>
  <c r="X34" i="4" s="1"/>
  <c r="F6" i="3"/>
  <c r="Y34" i="4" s="1"/>
  <c r="G6" i="3"/>
  <c r="Z33" i="4" s="1"/>
  <c r="J6" i="3"/>
  <c r="AC6" i="4" s="1"/>
  <c r="K6" i="3"/>
  <c r="AD6" i="4" s="1"/>
  <c r="L6" i="3"/>
  <c r="AE6" i="4" s="1"/>
  <c r="M6" i="3"/>
  <c r="AF6" i="4" s="1"/>
  <c r="N6" i="3"/>
  <c r="AG6" i="4" s="1"/>
  <c r="O6" i="3"/>
  <c r="AH6" i="4" s="1"/>
  <c r="S6" i="3"/>
  <c r="T6" i="3"/>
  <c r="U6" i="3"/>
  <c r="V6" i="3"/>
  <c r="W6" i="3"/>
  <c r="X6" i="3"/>
  <c r="B7" i="3"/>
  <c r="C7" i="3"/>
  <c r="D7" i="3"/>
  <c r="E7" i="3"/>
  <c r="F7" i="3"/>
  <c r="G7" i="3"/>
  <c r="J7" i="3"/>
  <c r="AC7" i="4" s="1"/>
  <c r="K7" i="3"/>
  <c r="AD7" i="4" s="1"/>
  <c r="L7" i="3"/>
  <c r="AE7" i="4" s="1"/>
  <c r="M7" i="3"/>
  <c r="AF7" i="4" s="1"/>
  <c r="N7" i="3"/>
  <c r="AG7" i="4" s="1"/>
  <c r="O7" i="3"/>
  <c r="AH7" i="4" s="1"/>
  <c r="S7" i="3"/>
  <c r="T7" i="3"/>
  <c r="U7" i="3"/>
  <c r="V7" i="3"/>
  <c r="W7" i="3"/>
  <c r="X7" i="3"/>
  <c r="B10" i="3"/>
  <c r="C10" i="3"/>
  <c r="D10" i="3"/>
  <c r="E10" i="3"/>
  <c r="F10" i="3"/>
  <c r="G10" i="3"/>
  <c r="J10" i="3"/>
  <c r="AC10" i="4" s="1"/>
  <c r="K10" i="3"/>
  <c r="AD10" i="4" s="1"/>
  <c r="L10" i="3"/>
  <c r="AE10" i="4" s="1"/>
  <c r="M10" i="3"/>
  <c r="AF10" i="4" s="1"/>
  <c r="N10" i="3"/>
  <c r="AG10" i="4" s="1"/>
  <c r="O10" i="3"/>
  <c r="AH10" i="4" s="1"/>
  <c r="S10" i="3"/>
  <c r="T10" i="3"/>
  <c r="U10" i="3"/>
  <c r="V10" i="3"/>
  <c r="W10" i="3"/>
  <c r="X10" i="3"/>
  <c r="B11" i="3"/>
  <c r="C11" i="3"/>
  <c r="D11" i="3"/>
  <c r="E11" i="3"/>
  <c r="F11" i="3"/>
  <c r="G11" i="3"/>
  <c r="J11" i="3"/>
  <c r="AC11" i="4" s="1"/>
  <c r="K11" i="3"/>
  <c r="AD11" i="4" s="1"/>
  <c r="L11" i="3"/>
  <c r="AE11" i="4" s="1"/>
  <c r="M11" i="3"/>
  <c r="AF11" i="4" s="1"/>
  <c r="N11" i="3"/>
  <c r="AG11" i="4" s="1"/>
  <c r="O11" i="3"/>
  <c r="AH11" i="4" s="1"/>
  <c r="S11" i="3"/>
  <c r="T11" i="3"/>
  <c r="U11" i="3"/>
  <c r="V11" i="3"/>
  <c r="W11" i="3"/>
  <c r="X11" i="3"/>
  <c r="B12" i="3"/>
  <c r="C12" i="3"/>
  <c r="D12" i="3"/>
  <c r="E12" i="3"/>
  <c r="F12" i="3"/>
  <c r="G12" i="3"/>
  <c r="J12" i="3"/>
  <c r="AC12" i="4" s="1"/>
  <c r="K12" i="3"/>
  <c r="AD12" i="4" s="1"/>
  <c r="L12" i="3"/>
  <c r="AE12" i="4" s="1"/>
  <c r="M12" i="3"/>
  <c r="AF12" i="4" s="1"/>
  <c r="N12" i="3"/>
  <c r="AG12" i="4" s="1"/>
  <c r="O12" i="3"/>
  <c r="AH12" i="4" s="1"/>
  <c r="S12" i="3"/>
  <c r="T12" i="3"/>
  <c r="U12" i="3"/>
  <c r="V12" i="3"/>
  <c r="W12" i="3"/>
  <c r="X12" i="3"/>
  <c r="B13" i="3"/>
  <c r="C13" i="3"/>
  <c r="D13" i="3"/>
  <c r="E13" i="3"/>
  <c r="F13" i="3"/>
  <c r="G13" i="3"/>
  <c r="J13" i="3"/>
  <c r="AC13" i="4" s="1"/>
  <c r="K13" i="3"/>
  <c r="AD13" i="4" s="1"/>
  <c r="L13" i="3"/>
  <c r="AE13" i="4" s="1"/>
  <c r="M13" i="3"/>
  <c r="AF13" i="4" s="1"/>
  <c r="N13" i="3"/>
  <c r="AG13" i="4" s="1"/>
  <c r="O13" i="3"/>
  <c r="AH13" i="4" s="1"/>
  <c r="S13" i="3"/>
  <c r="T13" i="3"/>
  <c r="U13" i="3"/>
  <c r="V13" i="3"/>
  <c r="W13" i="3"/>
  <c r="X13" i="3"/>
  <c r="B14" i="3"/>
  <c r="C14" i="3"/>
  <c r="D14" i="3"/>
  <c r="E14" i="3"/>
  <c r="F14" i="3"/>
  <c r="G14" i="3"/>
  <c r="J14" i="3"/>
  <c r="AC14" i="4" s="1"/>
  <c r="K14" i="3"/>
  <c r="AD14" i="4" s="1"/>
  <c r="L14" i="3"/>
  <c r="AE14" i="4" s="1"/>
  <c r="M14" i="3"/>
  <c r="AF14" i="4" s="1"/>
  <c r="N14" i="3"/>
  <c r="AG14" i="4" s="1"/>
  <c r="O14" i="3"/>
  <c r="AH14" i="4" s="1"/>
  <c r="S14" i="3"/>
  <c r="T14" i="3"/>
  <c r="U14" i="3"/>
  <c r="V14" i="3"/>
  <c r="W14" i="3"/>
  <c r="X14" i="3"/>
  <c r="B15" i="3"/>
  <c r="C15" i="3"/>
  <c r="D15" i="3"/>
  <c r="E15" i="3"/>
  <c r="F15" i="3"/>
  <c r="G15" i="3"/>
  <c r="J15" i="3"/>
  <c r="K15" i="3"/>
  <c r="L15" i="3"/>
  <c r="M15" i="3"/>
  <c r="N15" i="3"/>
  <c r="O15" i="3"/>
  <c r="S15" i="3"/>
  <c r="T15" i="3"/>
  <c r="U15" i="3"/>
  <c r="V15" i="3"/>
  <c r="W15" i="3"/>
  <c r="X15" i="3"/>
  <c r="S45" i="2" a="1"/>
  <c r="S45" i="2" s="1"/>
  <c r="J45" i="2" a="1"/>
  <c r="J45" i="2" s="1"/>
  <c r="A45" i="2" a="1"/>
  <c r="A45" i="2" s="1"/>
  <c r="T33" i="2"/>
  <c r="U33" i="2" s="1"/>
  <c r="V33" i="2" s="1" a="1"/>
  <c r="V33" i="2" s="1"/>
  <c r="D33" i="2"/>
  <c r="D30" i="2"/>
  <c r="F30" i="2" s="1"/>
  <c r="C30" i="2"/>
  <c r="M17" i="2"/>
  <c r="J17" i="2"/>
  <c r="J18" i="2" s="1"/>
  <c r="M16" i="2"/>
  <c r="J16" i="2"/>
  <c r="M15" i="2"/>
  <c r="Y33" i="4" l="1"/>
  <c r="W33" i="4"/>
  <c r="U34" i="4"/>
  <c r="Z34" i="4"/>
  <c r="X33" i="4"/>
  <c r="U33" i="4"/>
  <c r="E30" i="2"/>
  <c r="H33" i="2" s="1"/>
  <c r="I33" i="2" s="1"/>
  <c r="E33" i="2"/>
  <c r="Q33" i="2" s="1"/>
  <c r="F33" i="2" l="1"/>
  <c r="G33" i="2" s="1"/>
  <c r="G30" i="2"/>
  <c r="M33" i="2"/>
  <c r="J33" i="2" l="1"/>
  <c r="N33" i="2" s="1"/>
  <c r="K33" i="2"/>
  <c r="O33" i="2" s="1"/>
  <c r="L33" i="2" l="1"/>
  <c r="J44" i="2" s="1"/>
  <c r="P33" i="2"/>
  <c r="R33" i="2" s="1"/>
  <c r="A44" i="2" s="1"/>
  <c r="W33" i="2" l="1"/>
  <c r="X33" i="2" s="1"/>
  <c r="Y33" i="2" s="1"/>
  <c r="S4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<sst xmlns="http://schemas.openxmlformats.org/spreadsheetml/2006/main" count="116" uniqueCount="88">
  <si>
    <t>View Data As:</t>
  </si>
  <si>
    <t>FROZEN</t>
  </si>
  <si>
    <t>Key</t>
  </si>
  <si>
    <t>User input — can be changed</t>
  </si>
  <si>
    <t>Calculated output</t>
  </si>
  <si>
    <t>Final Calculations</t>
  </si>
  <si>
    <t>Random variables — recalculate</t>
  </si>
  <si>
    <t>Decision input levels</t>
  </si>
  <si>
    <t>Demand Information</t>
  </si>
  <si>
    <t>Decision</t>
  </si>
  <si>
    <t>% of crop purchased</t>
  </si>
  <si>
    <t>Advance order deposit</t>
  </si>
  <si>
    <t>Order Placement</t>
  </si>
  <si>
    <t>Cumalitive Prob.</t>
  </si>
  <si>
    <t>Prob.</t>
  </si>
  <si>
    <t>Ready for Sale Date</t>
  </si>
  <si>
    <t>Month</t>
  </si>
  <si>
    <t>October</t>
  </si>
  <si>
    <t>November</t>
  </si>
  <si>
    <t>December</t>
  </si>
  <si>
    <t>Deposit Level</t>
  </si>
  <si>
    <t>Avg. Quantity (lbs)</t>
  </si>
  <si>
    <t>P(placing order)</t>
  </si>
  <si>
    <t>StDev. Quantity (lbs)</t>
  </si>
  <si>
    <t>Order Completion</t>
  </si>
  <si>
    <t>P(advance order completed)</t>
  </si>
  <si>
    <t>Overall Interest</t>
  </si>
  <si>
    <t>Supply Parameters</t>
  </si>
  <si>
    <t>Revenue and Costs</t>
  </si>
  <si>
    <t>Mean</t>
  </si>
  <si>
    <t>lbs</t>
  </si>
  <si>
    <t>Cost per pound (green)</t>
  </si>
  <si>
    <t>Stdev</t>
  </si>
  <si>
    <t>Adv Order Selling Price</t>
  </si>
  <si>
    <t>Off-Shelf Selling Price</t>
  </si>
  <si>
    <t>Weight Lost to Roasting</t>
  </si>
  <si>
    <t>Percent of Crop P</t>
  </si>
  <si>
    <t>Advance order Deposit</t>
  </si>
  <si>
    <t>P (placing order)</t>
  </si>
  <si>
    <t>P (Advance order completed)</t>
  </si>
  <si>
    <t>Orders completed</t>
  </si>
  <si>
    <t>Decision Variable</t>
  </si>
  <si>
    <t>Pounds Produced</t>
  </si>
  <si>
    <t>Crop purchased</t>
  </si>
  <si>
    <t>Pounds after roasting</t>
  </si>
  <si>
    <t>Individual 1lb bags</t>
  </si>
  <si>
    <t>Orders placed</t>
  </si>
  <si>
    <t>Customers Appearing</t>
  </si>
  <si>
    <t>Orders Fulfilled</t>
  </si>
  <si>
    <t>Orders not Fulfilled</t>
  </si>
  <si>
    <t>Beans remaining after orders</t>
  </si>
  <si>
    <t>Revenue from deposits</t>
  </si>
  <si>
    <t>Revenue collected at pickup</t>
  </si>
  <si>
    <t>Refunds Issued</t>
  </si>
  <si>
    <t>Total Revenue</t>
  </si>
  <si>
    <t>Total Costs</t>
  </si>
  <si>
    <t>Profit</t>
  </si>
  <si>
    <t>Coffee Beans Sale Date</t>
  </si>
  <si>
    <t>Arrival Month</t>
  </si>
  <si>
    <t xml:space="preserve">Off-Shelf Demand </t>
  </si>
  <si>
    <t>Off-Shelf Beans Sold</t>
  </si>
  <si>
    <t>Off-Shelf Revenue</t>
  </si>
  <si>
    <t>Updated Profit</t>
  </si>
  <si>
    <t>Simulations</t>
  </si>
  <si>
    <t>Profit (Without Off-Shelf Revenue)</t>
  </si>
  <si>
    <t>Decision Options</t>
  </si>
  <si>
    <t>Leftover Beans Simulation</t>
  </si>
  <si>
    <t>Off-Shelf Profit</t>
  </si>
  <si>
    <t>x</t>
  </si>
  <si>
    <t>P(Profit &gt; $0)</t>
  </si>
  <si>
    <t>B(Beans &gt; 0)</t>
  </si>
  <si>
    <t>Percentiles</t>
  </si>
  <si>
    <t>Standard Deviation</t>
  </si>
  <si>
    <t>Off-Shelf Profit Analysis</t>
  </si>
  <si>
    <t>Leftover Beans Analysis</t>
  </si>
  <si>
    <t>Profit Analysis</t>
  </si>
  <si>
    <t>Decision 3</t>
  </si>
  <si>
    <t>Decision 1</t>
  </si>
  <si>
    <t>Profit distribution by decision</t>
  </si>
  <si>
    <t xml:space="preserve"> Median - 0.5</t>
  </si>
  <si>
    <t>Off-Shelf Profit (mean)</t>
  </si>
  <si>
    <t>Pre-Order Profit (mean)</t>
  </si>
  <si>
    <t>Off the Shelf</t>
  </si>
  <si>
    <t>Pre-Order Profit vs Off-Shelf Revenue Contribution</t>
  </si>
  <si>
    <t>Off-shelf demand vs. profit impact</t>
  </si>
  <si>
    <t>How does the purchase decision affect off-shelf profit?</t>
  </si>
  <si>
    <t xml:space="preserve"> How does off-the-shelf demand affect profit?</t>
  </si>
  <si>
    <t>Springfield Beans - Investment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</si>
</sst>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0000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name val="MS Sans Serif"/>
      <family val="2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rgb="FF555555"/>
      <name val="Courier New"/>
      <family val="3"/>
    </font>
    <font>
      <b/>
      <sz val="11"/>
      <color rgb="FFFF0000"/>
      <name val="Aptos Narrow"/>
      <family val="2"/>
      <scheme val="minor"/>
    </font>
    <font>
      <b/>
      <sz val="20"/>
      <color theme="3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/>
      <bottom style="thick">
        <color theme="1"/>
      </bottom>
      <diagonal/>
    </border>
    <border>
      <left/>
      <right style="thick">
        <color theme="4" tint="0.39997558519241921"/>
      </right>
      <top style="thick">
        <color theme="4" tint="0.39997558519241921"/>
      </top>
      <bottom style="thick">
        <color theme="4" tint="0.39997558519241921"/>
      </bottom>
      <diagonal/>
    </border>
    <border>
      <left/>
      <right/>
      <top style="thick">
        <color theme="4" tint="0.39997558519241921"/>
      </top>
      <bottom style="thick">
        <color theme="4" tint="0.39997558519241921"/>
      </bottom>
      <diagonal/>
    </border>
    <border>
      <left style="thick">
        <color theme="4" tint="0.39997558519241921"/>
      </left>
      <right/>
      <top style="thick">
        <color theme="4" tint="0.39997558519241921"/>
      </top>
      <bottom style="thick">
        <color theme="4" tint="0.39997558519241921"/>
      </bottom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5" fillId="2" borderId="0" applyNumberFormat="0" applyBorder="0" applyAlignment="0" applyProtection="0"/>
    <xf numFmtId="0" fontId="8" fillId="0" borderId="0"/>
  </cellStyleXfs>
  <cellXfs count="72">
    <xf numFmtId="0" fontId="0" fillId="0" borderId="0" xfId="0"/>
    <xf numFmtId="0" fontId="0" fillId="3" borderId="0" xfId="0" applyFill="1"/>
    <xf numFmtId="0" fontId="8" fillId="0" borderId="0" xfId="7"/>
    <xf numFmtId="0" fontId="9" fillId="0" borderId="4" xfId="0" applyFont="1" applyBorder="1"/>
    <xf numFmtId="0" fontId="10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9" fontId="0" fillId="4" borderId="7" xfId="0" applyNumberFormat="1" applyFill="1" applyBorder="1"/>
    <xf numFmtId="0" fontId="6" fillId="0" borderId="8" xfId="0" applyFont="1" applyBorder="1" applyAlignment="1">
      <alignment horizontal="center" vertical="center"/>
    </xf>
    <xf numFmtId="0" fontId="0" fillId="5" borderId="9" xfId="0" applyFill="1" applyBorder="1"/>
    <xf numFmtId="44" fontId="0" fillId="6" borderId="9" xfId="0" applyNumberFormat="1" applyFill="1" applyBorder="1"/>
    <xf numFmtId="0" fontId="6" fillId="0" borderId="10" xfId="0" applyFont="1" applyBorder="1" applyAlignment="1">
      <alignment horizontal="center" vertical="center"/>
    </xf>
    <xf numFmtId="0" fontId="0" fillId="2" borderId="11" xfId="6" applyFont="1" applyBorder="1"/>
    <xf numFmtId="0" fontId="3" fillId="0" borderId="2" xfId="4"/>
    <xf numFmtId="0" fontId="6" fillId="0" borderId="0" xfId="0" applyFont="1"/>
    <xf numFmtId="0" fontId="6" fillId="0" borderId="7" xfId="0" applyFont="1" applyBorder="1"/>
    <xf numFmtId="0" fontId="0" fillId="4" borderId="7" xfId="0" applyFill="1" applyBorder="1"/>
    <xf numFmtId="0" fontId="0" fillId="0" borderId="7" xfId="0" applyBorder="1"/>
    <xf numFmtId="14" fontId="0" fillId="0" borderId="7" xfId="0" applyNumberFormat="1" applyBorder="1"/>
    <xf numFmtId="2" fontId="0" fillId="4" borderId="7" xfId="0" applyNumberFormat="1" applyFill="1" applyBorder="1"/>
    <xf numFmtId="0" fontId="0" fillId="0" borderId="12" xfId="0" applyBorder="1"/>
    <xf numFmtId="10" fontId="0" fillId="4" borderId="7" xfId="0" applyNumberFormat="1" applyFill="1" applyBorder="1"/>
    <xf numFmtId="0" fontId="3" fillId="0" borderId="0" xfId="4" applyBorder="1"/>
    <xf numFmtId="44" fontId="0" fillId="4" borderId="7" xfId="1" applyFont="1" applyFill="1" applyBorder="1"/>
    <xf numFmtId="0" fontId="0" fillId="5" borderId="7" xfId="0" applyFill="1" applyBorder="1"/>
    <xf numFmtId="0" fontId="6" fillId="0" borderId="13" xfId="0" applyFont="1" applyBorder="1"/>
    <xf numFmtId="0" fontId="0" fillId="0" borderId="14" xfId="0" applyBorder="1"/>
    <xf numFmtId="0" fontId="0" fillId="0" borderId="13" xfId="0" applyBorder="1"/>
    <xf numFmtId="0" fontId="0" fillId="0" borderId="15" xfId="0" applyBorder="1"/>
    <xf numFmtId="0" fontId="6" fillId="0" borderId="16" xfId="0" applyFont="1" applyBorder="1"/>
    <xf numFmtId="0" fontId="1" fillId="2" borderId="13" xfId="6" applyFont="1" applyBorder="1"/>
    <xf numFmtId="0" fontId="0" fillId="5" borderId="13" xfId="0" applyFill="1" applyBorder="1"/>
    <xf numFmtId="44" fontId="0" fillId="0" borderId="13" xfId="0" applyNumberFormat="1" applyBorder="1"/>
    <xf numFmtId="44" fontId="0" fillId="6" borderId="13" xfId="0" applyNumberFormat="1" applyFill="1" applyBorder="1"/>
    <xf numFmtId="14" fontId="0" fillId="5" borderId="17" xfId="0" applyNumberFormat="1" applyFill="1" applyBorder="1"/>
    <xf numFmtId="0" fontId="0" fillId="0" borderId="18" xfId="0" applyBorder="1"/>
    <xf numFmtId="44" fontId="0" fillId="0" borderId="18" xfId="0" applyNumberFormat="1" applyBorder="1"/>
    <xf numFmtId="44" fontId="0" fillId="0" borderId="19" xfId="0" applyNumberFormat="1" applyBorder="1"/>
    <xf numFmtId="0" fontId="11" fillId="0" borderId="0" xfId="0" applyFont="1"/>
    <xf numFmtId="164" fontId="0" fillId="0" borderId="0" xfId="0" applyNumberFormat="1"/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4" fillId="0" borderId="3" xfId="5"/>
    <xf numFmtId="0" fontId="6" fillId="0" borderId="0" xfId="0" applyFont="1" applyAlignment="1">
      <alignment horizontal="center"/>
    </xf>
    <xf numFmtId="44" fontId="0" fillId="7" borderId="0" xfId="0" applyNumberFormat="1" applyFill="1"/>
    <xf numFmtId="0" fontId="0" fillId="7" borderId="0" xfId="0" applyFill="1"/>
    <xf numFmtId="0" fontId="7" fillId="0" borderId="0" xfId="0" applyFont="1"/>
    <xf numFmtId="0" fontId="0" fillId="8" borderId="0" xfId="0" applyFill="1"/>
    <xf numFmtId="1" fontId="0" fillId="0" borderId="0" xfId="0" applyNumberFormat="1"/>
    <xf numFmtId="9" fontId="0" fillId="0" borderId="7" xfId="2" applyFont="1" applyBorder="1"/>
    <xf numFmtId="10" fontId="0" fillId="0" borderId="7" xfId="0" applyNumberFormat="1" applyBorder="1"/>
    <xf numFmtId="44" fontId="0" fillId="9" borderId="7" xfId="1" applyFont="1" applyFill="1" applyBorder="1"/>
    <xf numFmtId="1" fontId="0" fillId="9" borderId="7" xfId="1" applyNumberFormat="1" applyFont="1" applyFill="1" applyBorder="1"/>
    <xf numFmtId="44" fontId="0" fillId="0" borderId="0" xfId="0" applyNumberFormat="1"/>
    <xf numFmtId="0" fontId="2" fillId="0" borderId="1" xfId="3"/>
    <xf numFmtId="0" fontId="0" fillId="10" borderId="0" xfId="0" applyFill="1"/>
    <xf numFmtId="44" fontId="0" fillId="10" borderId="0" xfId="0" applyNumberFormat="1" applyFill="1"/>
    <xf numFmtId="44" fontId="0" fillId="10" borderId="7" xfId="0" applyNumberFormat="1" applyFill="1" applyBorder="1"/>
    <xf numFmtId="0" fontId="6" fillId="10" borderId="7" xfId="0" applyFont="1" applyFill="1" applyBorder="1"/>
    <xf numFmtId="0" fontId="0" fillId="10" borderId="7" xfId="0" applyFill="1" applyBorder="1"/>
    <xf numFmtId="0" fontId="0" fillId="10" borderId="23" xfId="0" applyFill="1" applyBorder="1"/>
    <xf numFmtId="0" fontId="4" fillId="10" borderId="23" xfId="4" applyFont="1" applyFill="1" applyBorder="1"/>
    <xf numFmtId="44" fontId="0" fillId="10" borderId="7" xfId="1" applyFont="1" applyFill="1" applyBorder="1"/>
    <xf numFmtId="0" fontId="6" fillId="10" borderId="0" xfId="0" applyFont="1" applyFill="1"/>
    <xf numFmtId="0" fontId="0" fillId="10" borderId="13" xfId="0" applyFill="1" applyBorder="1"/>
    <xf numFmtId="1" fontId="0" fillId="10" borderId="13" xfId="0" applyNumberFormat="1" applyFill="1" applyBorder="1"/>
    <xf numFmtId="1" fontId="0" fillId="10" borderId="14" xfId="0" applyNumberFormat="1" applyFill="1" applyBorder="1"/>
    <xf numFmtId="0" fontId="12" fillId="10" borderId="0" xfId="0" applyFont="1" applyFill="1"/>
    <xf numFmtId="0" fontId="0" fillId="11" borderId="0" xfId="0" applyFill="1"/>
    <xf numFmtId="0" fontId="13" fillId="10" borderId="24" xfId="4" applyFont="1" applyFill="1" applyBorder="1" applyAlignment="1">
      <alignment horizontal="center" vertical="center"/>
    </xf>
    <xf numFmtId="0" fontId="13" fillId="10" borderId="25" xfId="4" applyFont="1" applyFill="1" applyBorder="1" applyAlignment="1">
      <alignment horizontal="center" vertical="center"/>
    </xf>
    <xf numFmtId="0" fontId="13" fillId="10" borderId="26" xfId="4" applyFont="1" applyFill="1" applyBorder="1" applyAlignment="1">
      <alignment horizontal="center" vertical="center"/>
    </xf>
  </cellXfs>
  <cellStyles count="8">
    <cellStyle name="Bad" xfId="6" builtinId="27"/>
    <cellStyle name="Currency" xfId="1" builtinId="4"/>
    <cellStyle name="Heading 1" xfId="3" builtinId="16"/>
    <cellStyle name="Heading 2" xfId="4" builtinId="17"/>
    <cellStyle name="Heading 3" xfId="5" builtinId="18"/>
    <cellStyle name="Normal" xfId="0" builtinId="0"/>
    <cellStyle name="Normal 2 2" xfId="7" xr:uid="{2A4A0459-66C6-4185-9A40-22F8C10E3A51}"/>
    <cellStyle name="Percent" xfId="2" builtinId="5"/>
  </cellStyles>
  <dxfs count="1">
    <dxf>
      <font>
        <color rgb="FFFF0000"/>
      </font>
      <fill>
        <patternFill>
          <bgColor rgb="FFFF99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Arrival Month Demand Comparison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'Model and simulation'!$O$15</c:f>
              <c:strCache>
                <c:ptCount val="1"/>
                <c:pt idx="0">
                  <c:v>Avg. Quantity (lbs)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and simulation'!$P$14:$R$14</c:f>
              <c:strCache>
                <c:ptCount val="3"/>
                <c:pt idx="0">
                  <c:v>October</c:v>
                </c:pt>
                <c:pt idx="1">
                  <c:v>November</c:v>
                </c:pt>
                <c:pt idx="2">
                  <c:v>December</c:v>
                </c:pt>
              </c:strCache>
            </c:strRef>
          </c:cat>
          <c:val>
            <c:numRef>
              <c:f>'Model and simulation'!$P$15:$R$15</c:f>
              <c:numCache>
                <c:formatCode>0.00</c:formatCode>
                <c:ptCount val="3"/>
                <c:pt idx="0">
                  <c:v>250.17</c:v>
                </c:pt>
                <c:pt idx="1">
                  <c:v>239.17</c:v>
                </c:pt>
                <c:pt idx="2">
                  <c:v>390.83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9B-4704-82F4-8AA63441F5E0}"/>
            </c:ext>
          </c:extLst>
        </c:ser>
        <c:ser>
          <c:idx val="1"/>
          <c:order val="1"/>
          <c:tx>
            <c:strRef>
              <c:f>'Model and simulation'!$O$16</c:f>
              <c:strCache>
                <c:ptCount val="1"/>
                <c:pt idx="0">
                  <c:v>StDev. Quantity (lbs)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and simulation'!$P$14:$R$14</c:f>
              <c:strCache>
                <c:ptCount val="3"/>
                <c:pt idx="0">
                  <c:v>October</c:v>
                </c:pt>
                <c:pt idx="1">
                  <c:v>November</c:v>
                </c:pt>
                <c:pt idx="2">
                  <c:v>December</c:v>
                </c:pt>
              </c:strCache>
            </c:strRef>
          </c:cat>
          <c:val>
            <c:numRef>
              <c:f>'Model and simulation'!$P$16:$R$16</c:f>
              <c:numCache>
                <c:formatCode>0.00</c:formatCode>
                <c:ptCount val="3"/>
                <c:pt idx="0">
                  <c:v>184.7</c:v>
                </c:pt>
                <c:pt idx="1">
                  <c:v>182.79</c:v>
                </c:pt>
                <c:pt idx="2">
                  <c:v>216.48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9B-4704-82F4-8AA63441F5E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32833008"/>
        <c:axId val="1832833968"/>
      </c:barChart>
      <c:catAx>
        <c:axId val="183283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2833968"/>
        <c:crosses val="autoZero"/>
        <c:auto val="1"/>
        <c:lblAlgn val="ctr"/>
        <c:lblOffset val="100"/>
        <c:noMultiLvlLbl val="0"/>
      </c:catAx>
      <c:valAx>
        <c:axId val="183283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283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 Profit By Decision (1-6)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'Simulation results'!$B$6:$G$6</c:f>
              <c:numCache>
                <c:formatCode>_("$"* #,##0.00_);_("$"* \(#,##0.00\);_("$"* "-"??_);_(@_)</c:formatCode>
                <c:ptCount val="6"/>
                <c:pt idx="0">
                  <c:v>906.59999999998468</c:v>
                </c:pt>
                <c:pt idx="1">
                  <c:v>974.91772499999979</c:v>
                </c:pt>
                <c:pt idx="2">
                  <c:v>905.33089999998617</c:v>
                </c:pt>
                <c:pt idx="3">
                  <c:v>-1085.6834000000003</c:v>
                </c:pt>
                <c:pt idx="4">
                  <c:v>-462.45170000000013</c:v>
                </c:pt>
                <c:pt idx="5">
                  <c:v>-2345.6147999999985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3D-4BC8-B280-7283492577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273534799"/>
        <c:axId val="1273533359"/>
      </c:barChart>
      <c:catAx>
        <c:axId val="127353479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3533359"/>
        <c:crosses val="autoZero"/>
        <c:auto val="1"/>
        <c:lblAlgn val="ctr"/>
        <c:lblOffset val="100"/>
        <c:noMultiLvlLbl val="0"/>
      </c:catAx>
      <c:valAx>
        <c:axId val="1273533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3534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 Off-Shelf Beans By Decision (1-6)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'Simulation results'!$J$6:$O$6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0.157</c:v>
                </c:pt>
                <c:pt idx="3">
                  <c:v>223.46700000000001</c:v>
                </c:pt>
                <c:pt idx="4">
                  <c:v>182.21199999999999</c:v>
                </c:pt>
                <c:pt idx="5">
                  <c:v>321.68400000000003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0E-499A-A952-083F6955A9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272890143"/>
        <c:axId val="1272887263"/>
      </c:barChart>
      <c:catAx>
        <c:axId val="12728901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2887263"/>
        <c:crosses val="autoZero"/>
        <c:auto val="1"/>
        <c:lblAlgn val="ctr"/>
        <c:lblOffset val="100"/>
        <c:noMultiLvlLbl val="0"/>
      </c:catAx>
      <c:valAx>
        <c:axId val="127288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2890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Decisions 1 and</a:t>
            </a:r>
            <a:r>
              <a:rPr lang="en-US" baseline="0"/>
              <a:t> 3 Off-Shelf Profit </a:t>
            </a:r>
            <a:r>
              <a:rPr lang="en-US"/>
              <a:t>Means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Analysis!$J$50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Analysis!$K$49:$L$49</c:f>
              <c:strCache>
                <c:ptCount val="2"/>
                <c:pt idx="0">
                  <c:v>Decision 1</c:v>
                </c:pt>
                <c:pt idx="1">
                  <c:v>Decision 3</c:v>
                </c:pt>
              </c:strCache>
            </c:strRef>
          </c:cat>
          <c:val>
            <c:numRef>
              <c:f>Analysis!$K$50:$L$50</c:f>
              <c:numCache>
                <c:formatCode>_("$"* #,##0.00_);_("$"* \(#,##0.00\);_("$"* "-"??_);_(@_)</c:formatCode>
                <c:ptCount val="2"/>
                <c:pt idx="0">
                  <c:v>906.59999999998468</c:v>
                </c:pt>
                <c:pt idx="1">
                  <c:v>907.14499999998554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E1-44E1-9936-3558B8B55F8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90569376"/>
        <c:axId val="1190582336"/>
      </c:barChart>
      <c:catAx>
        <c:axId val="119056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582336"/>
        <c:crosses val="autoZero"/>
        <c:auto val="1"/>
        <c:lblAlgn val="ctr"/>
        <c:lblOffset val="100"/>
        <c:noMultiLvlLbl val="0"/>
      </c:catAx>
      <c:valAx>
        <c:axId val="1190582336"/>
        <c:scaling>
          <c:orientation val="minMax"/>
          <c:max val="1000"/>
          <c:min val="7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56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alpha val="93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Decisions 1 and 3 Off-Shelf Profit Standard Deviations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Analysis!$O$50</c:f>
              <c:strCache>
                <c:ptCount val="1"/>
                <c:pt idx="0">
                  <c:v>Standard Deviation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Analysis!$P$49:$Q$49</c:f>
              <c:strCache>
                <c:ptCount val="2"/>
                <c:pt idx="0">
                  <c:v>Decision 1</c:v>
                </c:pt>
                <c:pt idx="1">
                  <c:v>Decision 3</c:v>
                </c:pt>
              </c:strCache>
            </c:strRef>
          </c:cat>
          <c:val>
            <c:numRef>
              <c:f>Analysis!$P$50:$Q$50</c:f>
              <c:numCache>
                <c:formatCode>_("$"* #,##0.00_);_("$"* \(#,##0.00\);_("$"* "-"??_);_(@_)</c:formatCode>
                <c:ptCount val="2"/>
                <c:pt idx="0">
                  <c:v>1.4786684095117903E-11</c:v>
                </c:pt>
                <c:pt idx="1">
                  <c:v>6.5965190869173336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00-4380-8DA1-E01CCBCB20F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90566496"/>
        <c:axId val="1190566976"/>
      </c:barChart>
      <c:catAx>
        <c:axId val="119056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566976"/>
        <c:crosses val="autoZero"/>
        <c:auto val="1"/>
        <c:lblAlgn val="ctr"/>
        <c:lblOffset val="100"/>
        <c:noMultiLvlLbl val="0"/>
      </c:catAx>
      <c:valAx>
        <c:axId val="119056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56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 Leftover Beans by Decision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Analysis!$AB$6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Analysis!$AC$6:$AH$6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0.157</c:v>
                </c:pt>
                <c:pt idx="3">
                  <c:v>223.46700000000001</c:v>
                </c:pt>
                <c:pt idx="4">
                  <c:v>182.21199999999999</c:v>
                </c:pt>
                <c:pt idx="5">
                  <c:v>321.68400000000003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58-4C11-A53D-B1E0B0B27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82449312"/>
        <c:axId val="1282448352"/>
      </c:barChart>
      <c:catAx>
        <c:axId val="1282449312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448352"/>
        <c:crosses val="autoZero"/>
        <c:auto val="1"/>
        <c:lblAlgn val="ctr"/>
        <c:lblOffset val="100"/>
        <c:noMultiLvlLbl val="0"/>
      </c:catAx>
      <c:valAx>
        <c:axId val="128244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44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Mean Off-Shelf Revenue by Decision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Analysis!$B$35:$G$35</c:f>
              <c:numCache>
                <c:formatCode>_("$"* #,##0.00_);_("$"* \(#,##0.00\);_("$"* "-"??_);_(@_)</c:formatCode>
                <c:ptCount val="6"/>
                <c:pt idx="0">
                  <c:v>906.59999999998468</c:v>
                </c:pt>
                <c:pt idx="1">
                  <c:v>973.79754999999909</c:v>
                </c:pt>
                <c:pt idx="2">
                  <c:v>907.14499999998554</c:v>
                </c:pt>
                <c:pt idx="3">
                  <c:v>1607.5711757437059</c:v>
                </c:pt>
                <c:pt idx="4">
                  <c:v>1877.1835470156871</c:v>
                </c:pt>
                <c:pt idx="5">
                  <c:v>1218.3388757237219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2-480F-B587-D3C8DF2D4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71517952"/>
        <c:axId val="871519392"/>
      </c:barChart>
      <c:catAx>
        <c:axId val="871517952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519392"/>
        <c:crosses val="autoZero"/>
        <c:auto val="1"/>
        <c:lblAlgn val="ctr"/>
        <c:lblOffset val="100"/>
        <c:noMultiLvlLbl val="0"/>
      </c:catAx>
      <c:valAx>
        <c:axId val="87151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51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Analysis!$T$33</c:f>
              <c:strCache>
                <c:ptCount val="1"/>
                <c:pt idx="0">
                  <c:v>Pre-Order Profit (mean)</c:v>
                </c:pt>
              </c:strCache>
            </c:strRef>
          </c:tx>
          <c:spPr>
            <a:solidFill>
              <a:srgbClr val="1A4978"/>
            </a:solidFill>
            <a:ln>
              <a:noFill/>
            </a:ln>
            <a:effectLst/>
          </c:spPr>
          <c:invertIfNegative val="0"/>
          <c:cat>
            <c:numRef>
              <c:f>Analysis!$U$32:$Z$32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Analysis!$U$33:$Z$33</c:f>
              <c:numCache>
                <c:formatCode>_("$"* #,##0.00_);_("$"* \(#,##0.00\);_("$"* "-"??_);_(@_)</c:formatCode>
                <c:ptCount val="6"/>
                <c:pt idx="0">
                  <c:v>906.59999999998468</c:v>
                </c:pt>
                <c:pt idx="1">
                  <c:v>974.91772499999979</c:v>
                </c:pt>
                <c:pt idx="2">
                  <c:v>905.33089999998617</c:v>
                </c:pt>
                <c:pt idx="3">
                  <c:v>-1085.6834000000003</c:v>
                </c:pt>
                <c:pt idx="4">
                  <c:v>-462.45170000000013</c:v>
                </c:pt>
                <c:pt idx="5">
                  <c:v>-2345.6147999999985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4-4805-9905-E8D8A8864884}"/>
            </c:ext>
          </c:extLst>
        </c:ser>
        <c:ser>
          <c:idx val="1"/>
          <c:order val="1"/>
          <c:tx>
            <c:strRef>
              <c:f>Analysis!$T$34</c:f>
              <c:strCache>
                <c:ptCount val="1"/>
                <c:pt idx="0">
                  <c:v>Off-Shelf Profit (mean)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Analysis!$U$32:$Z$32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Analysis!$U$34:$Z$34</c:f>
              <c:numCache>
                <c:formatCode>_("$"* #,##0.00_);_("$"* \(#,##0.00\);_("$"* "-"??_);_(@_)</c:formatCode>
                <c:ptCount val="6"/>
                <c:pt idx="0">
                  <c:v>0</c:v>
                </c:pt>
                <c:pt idx="1">
                  <c:v>-1.1201750000006996</c:v>
                </c:pt>
                <c:pt idx="2">
                  <c:v>1.814099999999371</c:v>
                </c:pt>
                <c:pt idx="3">
                  <c:v>2693.2545757437065</c:v>
                </c:pt>
                <c:pt idx="4">
                  <c:v>2339.6352470156871</c:v>
                </c:pt>
                <c:pt idx="5">
                  <c:v>3563.9536757237202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4-4805-9905-E8D8A8864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34094144"/>
        <c:axId val="1234097984"/>
      </c:barChart>
      <c:catAx>
        <c:axId val="123409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4097984"/>
        <c:crosses val="autoZero"/>
        <c:auto val="1"/>
        <c:lblAlgn val="ctr"/>
        <c:lblOffset val="100"/>
        <c:noMultiLvlLbl val="0"/>
      </c:catAx>
      <c:valAx>
        <c:axId val="123409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409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  <cx:data id="1">
      <cx:numDim type="val">
        <cx:f>_xlchart.v1.7</cx:f>
      </cx:numDim>
    </cx:data>
    <cx:data id="2">
      <cx:numDim type="val">
        <cx:f>_xlchart.v1.8</cx:f>
      </cx:numDim>
    </cx:data>
    <cx:data id="3">
      <cx:numDim type="val">
        <cx:f>_xlchart.v1.9</cx:f>
      </cx:numDim>
    </cx:data>
    <cx:data id="4">
      <cx:numDim type="val">
        <cx:f>_xlchart.v1.10</cx:f>
      </cx:numDim>
    </cx:data>
    <cx:data id="5">
      <cx:numDim type="val">
        <cx:f>_xlchart.v1.11</cx:f>
      </cx:numDim>
    </cx:data>
  </cx:chartData>
  <cx:chart>
    <cx:title pos="t" align="ctr" overlay="0">
      <cx:tx>
        <cx:txData>
          <cx:v>Original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Original Profit</a:t>
          </a:r>
        </a:p>
      </cx:txPr>
    </cx:title>
    <cx:plotArea>
      <cx:plotAreaRegion>
        <cx:series layoutId="boxWhisker" uniqueId="{AFCB9145-2FAA-47E2-8489-C08E1BFAD6F5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4F51A40A-F519-4566-BEF2-56072EF5950D}"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8F801C5F-17D8-4D6D-A902-8A744CAA43DA}"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91546EC9-6E34-4EAB-A55C-82C2FB53218F}"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69190AD7-BE18-4AD0-9F8D-B6AE48C4EF95}"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50E9A30D-5274-484D-8EA2-77DB4206633D}">
          <cx:dataId val="5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_xlchart.v1.12</cx:f>
      </cx:numDim>
    </cx:data>
    <cx:data id="1">
      <cx:numDim type="val">
        <cx:f>_xlchart.v1.13</cx:f>
      </cx:numDim>
    </cx:data>
    <cx:data id="2">
      <cx:numDim type="val">
        <cx:f>_xlchart.v1.14</cx:f>
      </cx:numDim>
    </cx:data>
    <cx:data id="3">
      <cx:numDim type="val">
        <cx:f>_xlchart.v1.15</cx:f>
      </cx:numDim>
    </cx:data>
    <cx:data id="4">
      <cx:numDim type="val">
        <cx:f>_xlchart.v1.16</cx:f>
      </cx:numDim>
    </cx:data>
    <cx:data id="5">
      <cx:numDim type="val">
        <cx:f>_xlchart.v1.17</cx:f>
      </cx:numDim>
    </cx:data>
  </cx:chartData>
  <cx:chart>
    <cx:title pos="t" align="ctr" overlay="0">
      <cx:tx>
        <cx:txData>
          <cx:v>Leftover Beans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Leftover Beans</a:t>
          </a:r>
        </a:p>
      </cx:txPr>
    </cx:title>
    <cx:plotArea>
      <cx:plotAreaRegion>
        <cx:series layoutId="boxWhisker" uniqueId="{4F47A962-7041-4486-89A2-378ED7140303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1895C8CD-6B38-4C38-B1DE-968D81D97B20}"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5FF1CD2D-1606-46BF-8E9F-05A6CB7184AD}"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95CEDFC8-7873-40BE-BD75-C457EE52DC73}"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9635D04B-274F-408D-A927-2C5C501AFC0F}"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BF0CFCED-0B26-4181-92D6-4B06D34F6988}">
          <cx:dataId val="5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  <cx:data id="2">
      <cx:numDim type="val">
        <cx:f>_xlchart.v1.2</cx:f>
      </cx:numDim>
    </cx:data>
    <cx:data id="3">
      <cx:numDim type="val">
        <cx:f>_xlchart.v1.3</cx:f>
      </cx:numDim>
    </cx:data>
    <cx:data id="4">
      <cx:numDim type="val">
        <cx:f>_xlchart.v1.4</cx:f>
      </cx:numDim>
    </cx:data>
    <cx:data id="5">
      <cx:numDim type="val">
        <cx:f>_xlchart.v1.5</cx:f>
      </cx:numDim>
    </cx:data>
  </cx:chartData>
  <cx:chart>
    <cx:title pos="t" align="ctr" overlay="0">
      <cx:tx>
        <cx:txData>
          <cx:v>Off-Shelf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Off-Shelf Profit</a:t>
          </a:r>
        </a:p>
      </cx:txPr>
    </cx:title>
    <cx:plotArea>
      <cx:plotAreaRegion>
        <cx:series layoutId="boxWhisker" uniqueId="{3E38734D-B92D-44CA-B63F-0E363B1A20C1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15D8D420-DFF0-40A3-AE44-18774F4EEE02}"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4A645546-A376-433B-A4BA-C5D3DD12595A}"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442E4B72-049C-46A5-B1E5-7852E2D990F8}"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6D264F71-78AC-4597-863E-F276915AF4CF}"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6B714485-3D20-4A28-87C0-4FB75CB75F31}">
          <cx:dataId val="5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_xlchart.v1.18</cx:f>
      </cx:numDim>
    </cx:data>
    <cx:data id="1">
      <cx:numDim type="val">
        <cx:f>_xlchart.v1.19</cx:f>
      </cx:numDim>
    </cx:data>
    <cx:data id="2">
      <cx:numDim type="val">
        <cx:f>_xlchart.v1.20</cx:f>
      </cx:numDim>
    </cx:data>
    <cx:data id="3">
      <cx:numDim type="val">
        <cx:f>_xlchart.v1.21</cx:f>
      </cx:numDim>
    </cx:data>
    <cx:data id="4">
      <cx:numDim type="val">
        <cx:f>_xlchart.v1.22</cx:f>
      </cx:numDim>
    </cx:data>
    <cx:data id="5">
      <cx:numDim type="val">
        <cx:f>_xlchart.v1.23</cx:f>
      </cx:numDim>
    </cx:data>
  </cx:chartData>
  <cx:chart>
    <cx:title pos="t" align="ctr" overlay="0">
      <cx:tx>
        <cx:txData>
          <cx:v>ProfitBW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ProfitBW</a:t>
          </a:r>
        </a:p>
      </cx:txPr>
    </cx:title>
    <cx:plotArea>
      <cx:plotAreaRegion>
        <cx:series layoutId="boxWhisker" uniqueId="{AFCB9145-2FAA-47E2-8489-C08E1BFAD6F5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4F51A40A-F519-4566-BEF2-56072EF5950D}"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8F801C5F-17D8-4D6D-A902-8A744CAA43DA}"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91546EC9-6E34-4EAB-A55C-82C2FB53218F}"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69190AD7-BE18-4AD0-9F8D-B6AE48C4EF95}"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50E9A30D-5274-484D-8EA2-77DB4206633D}">
          <cx:dataId val="5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Simulation results'!A1"/><Relationship Id="rId2" Type="http://schemas.openxmlformats.org/officeDocument/2006/relationships/hyperlink" Target="#'Model and simulation'!A1"/><Relationship Id="rId1" Type="http://schemas.openxmlformats.org/officeDocument/2006/relationships/chart" Target="../charts/chart1.xml"/><Relationship Id="rId4" Type="http://schemas.openxmlformats.org/officeDocument/2006/relationships/hyperlink" Target="#Analysis!A1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openxmlformats.org/officeDocument/2006/relationships/hyperlink" Target="#Analysis!A1"/><Relationship Id="rId5" Type="http://schemas.openxmlformats.org/officeDocument/2006/relationships/hyperlink" Target="#'Simulation results'!A1"/><Relationship Id="rId4" Type="http://schemas.openxmlformats.org/officeDocument/2006/relationships/hyperlink" Target="#'Model and simulatio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nalysis!A1"/><Relationship Id="rId3" Type="http://schemas.openxmlformats.org/officeDocument/2006/relationships/chart" Target="../charts/chart3.xml"/><Relationship Id="rId7" Type="http://schemas.openxmlformats.org/officeDocument/2006/relationships/hyperlink" Target="#'Simulation results'!A1"/><Relationship Id="rId2" Type="http://schemas.microsoft.com/office/2014/relationships/chartEx" Target="../charts/chartEx4.xml"/><Relationship Id="rId1" Type="http://schemas.openxmlformats.org/officeDocument/2006/relationships/chart" Target="../charts/chart2.xml"/><Relationship Id="rId6" Type="http://schemas.openxmlformats.org/officeDocument/2006/relationships/hyperlink" Target="#'Model and simulation'!A1"/><Relationship Id="rId11" Type="http://schemas.openxmlformats.org/officeDocument/2006/relationships/chart" Target="../charts/chart8.xml"/><Relationship Id="rId5" Type="http://schemas.openxmlformats.org/officeDocument/2006/relationships/chart" Target="../charts/chart5.xml"/><Relationship Id="rId10" Type="http://schemas.openxmlformats.org/officeDocument/2006/relationships/chart" Target="../charts/chart7.xml"/><Relationship Id="rId4" Type="http://schemas.openxmlformats.org/officeDocument/2006/relationships/chart" Target="../charts/chart4.xml"/><Relationship Id="rId9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48296</xdr:colOff>
      <xdr:row>11</xdr:row>
      <xdr:rowOff>14668</xdr:rowOff>
    </xdr:from>
    <xdr:to>
      <xdr:col>23</xdr:col>
      <xdr:colOff>23254</xdr:colOff>
      <xdr:row>25</xdr:row>
      <xdr:rowOff>92656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6424FF-D4FF-40B6-9A51-1F7C42D96D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32137</xdr:colOff>
      <xdr:row>0</xdr:row>
      <xdr:rowOff>35734</xdr:rowOff>
    </xdr:from>
    <xdr:to>
      <xdr:col>0</xdr:col>
      <xdr:colOff>1637474</xdr:colOff>
      <xdr:row>1</xdr:row>
      <xdr:rowOff>163161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38CDC6F-CC3B-4823-986F-84879FBE59F5}"/>
            </a:ext>
          </a:extLst>
        </xdr:cNvPr>
        <xdr:cNvSpPr/>
      </xdr:nvSpPr>
      <xdr:spPr>
        <a:xfrm>
          <a:off x="32137" y="35734"/>
          <a:ext cx="1605337" cy="31157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rgbClr val="00206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Navigation</a:t>
          </a:r>
        </a:p>
      </xdr:txBody>
    </xdr:sp>
    <xdr:clientData/>
  </xdr:twoCellAnchor>
  <xdr:twoCellAnchor>
    <xdr:from>
      <xdr:col>1</xdr:col>
      <xdr:colOff>48916</xdr:colOff>
      <xdr:row>0</xdr:row>
      <xdr:rowOff>40101</xdr:rowOff>
    </xdr:from>
    <xdr:to>
      <xdr:col>1</xdr:col>
      <xdr:colOff>1004983</xdr:colOff>
      <xdr:row>1</xdr:row>
      <xdr:rowOff>160394</xdr:rowOff>
    </xdr:to>
    <xdr:sp macro="" textlink="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AB99718-6A9A-4402-B6CB-22EE220C3AF3}"/>
            </a:ext>
          </a:extLst>
        </xdr:cNvPr>
        <xdr:cNvSpPr/>
      </xdr:nvSpPr>
      <xdr:spPr>
        <a:xfrm>
          <a:off x="2106316" y="40101"/>
          <a:ext cx="956067" cy="30444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rgbClr val="00206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Model</a:t>
          </a:r>
        </a:p>
      </xdr:txBody>
    </xdr:sp>
    <xdr:clientData/>
  </xdr:twoCellAnchor>
  <xdr:twoCellAnchor>
    <xdr:from>
      <xdr:col>1</xdr:col>
      <xdr:colOff>1107439</xdr:colOff>
      <xdr:row>0</xdr:row>
      <xdr:rowOff>33735</xdr:rowOff>
    </xdr:from>
    <xdr:to>
      <xdr:col>2</xdr:col>
      <xdr:colOff>1344706</xdr:colOff>
      <xdr:row>1</xdr:row>
      <xdr:rowOff>160378</xdr:rowOff>
    </xdr:to>
    <xdr:sp macro="" textlink="">
      <xdr:nvSpPr>
        <xdr:cNvPr id="5" name="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31E157D-5AF9-4534-8E71-39A7FC1F4103}"/>
            </a:ext>
          </a:extLst>
        </xdr:cNvPr>
        <xdr:cNvSpPr/>
      </xdr:nvSpPr>
      <xdr:spPr>
        <a:xfrm>
          <a:off x="3164839" y="33735"/>
          <a:ext cx="1456467" cy="31079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rgbClr val="00206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Simulation Results</a:t>
          </a:r>
        </a:p>
      </xdr:txBody>
    </xdr:sp>
    <xdr:clientData/>
  </xdr:twoCellAnchor>
  <xdr:twoCellAnchor>
    <xdr:from>
      <xdr:col>2</xdr:col>
      <xdr:colOff>1456315</xdr:colOff>
      <xdr:row>0</xdr:row>
      <xdr:rowOff>29169</xdr:rowOff>
    </xdr:from>
    <xdr:to>
      <xdr:col>2</xdr:col>
      <xdr:colOff>2412382</xdr:colOff>
      <xdr:row>1</xdr:row>
      <xdr:rowOff>162162</xdr:rowOff>
    </xdr:to>
    <xdr:sp macro="" textlink="">
      <xdr:nvSpPr>
        <xdr:cNvPr id="6" name="Rectangl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B32246C-FFC8-409D-B63C-279704ACBCA0}"/>
            </a:ext>
          </a:extLst>
        </xdr:cNvPr>
        <xdr:cNvSpPr/>
      </xdr:nvSpPr>
      <xdr:spPr>
        <a:xfrm>
          <a:off x="4732915" y="29169"/>
          <a:ext cx="956067" cy="31714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rgbClr val="00206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Analysis</a:t>
          </a:r>
        </a:p>
      </xdr:txBody>
    </xdr:sp>
    <xdr:clientData/>
  </xdr:twoCellAnchor>
  <xdr:twoCellAnchor>
    <xdr:from>
      <xdr:col>0</xdr:col>
      <xdr:colOff>0</xdr:colOff>
      <xdr:row>6</xdr:row>
      <xdr:rowOff>150168</xdr:rowOff>
    </xdr:from>
    <xdr:to>
      <xdr:col>2</xdr:col>
      <xdr:colOff>1810608</xdr:colOff>
      <xdr:row>11</xdr:row>
      <xdr:rowOff>25743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453285D-80D6-4A96-9ECA-71EB0CD90A66}"/>
            </a:ext>
          </a:extLst>
        </xdr:cNvPr>
        <xdr:cNvSpPr txBox="1"/>
      </xdr:nvSpPr>
      <xdr:spPr>
        <a:xfrm>
          <a:off x="0" y="1337618"/>
          <a:ext cx="5087208" cy="796325"/>
        </a:xfrm>
        <a:prstGeom prst="rect">
          <a:avLst/>
        </a:prstGeom>
        <a:solidFill>
          <a:schemeClr val="lt1"/>
        </a:solidFill>
        <a:ln w="9525" cmpd="sng">
          <a:solidFill>
            <a:schemeClr val="accent1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/>
            <a:t>The simulation data table (rows 45–1044) runs 1,000 scenarios automatically for ALL 6 decisions simultaneously. The LIVE/FROZEN toggle only affects the </a:t>
          </a:r>
          <a:r>
            <a:rPr lang="en-US" b="1"/>
            <a:t>live row 33 (crop yield)</a:t>
          </a:r>
          <a:r>
            <a:rPr lang="en-US"/>
            <a:t> which is just one preview scenario. The 1,000-row table runs independently and always recalculates when you press F9.</a:t>
          </a:r>
          <a:endParaRPr lang="en-US" sz="12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5738</xdr:rowOff>
    </xdr:from>
    <xdr:to>
      <xdr:col>7</xdr:col>
      <xdr:colOff>17213</xdr:colOff>
      <xdr:row>30</xdr:row>
      <xdr:rowOff>175260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ProfitBW">
              <a:extLst>
                <a:ext uri="{FF2B5EF4-FFF2-40B4-BE49-F238E27FC236}">
                  <a16:creationId xmlns:a16="http://schemas.microsoft.com/office/drawing/2014/main" id="{3EA40DF5-935C-4C58-9059-06DE3DE37A5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9600" y="3320438"/>
              <a:ext cx="3674813" cy="237932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5737</xdr:colOff>
      <xdr:row>17</xdr:row>
      <xdr:rowOff>177877</xdr:rowOff>
    </xdr:from>
    <xdr:to>
      <xdr:col>15</xdr:col>
      <xdr:colOff>17213</xdr:colOff>
      <xdr:row>30</xdr:row>
      <xdr:rowOff>177877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LeftoverBW">
              <a:extLst>
                <a:ext uri="{FF2B5EF4-FFF2-40B4-BE49-F238E27FC236}">
                  <a16:creationId xmlns:a16="http://schemas.microsoft.com/office/drawing/2014/main" id="{7ABD3990-7149-44F2-9392-9BFA1125062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92137" y="3308427"/>
              <a:ext cx="3669076" cy="239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16</xdr:col>
      <xdr:colOff>642650</xdr:colOff>
      <xdr:row>18</xdr:row>
      <xdr:rowOff>5739</xdr:rowOff>
    </xdr:from>
    <xdr:to>
      <xdr:col>23</xdr:col>
      <xdr:colOff>11475</xdr:colOff>
      <xdr:row>31</xdr:row>
      <xdr:rowOff>5738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9351D627-1246-4771-85A6-501D2747BB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64500" y="3320439"/>
              <a:ext cx="3667775" cy="23939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29937</xdr:colOff>
      <xdr:row>0</xdr:row>
      <xdr:rowOff>31336</xdr:rowOff>
    </xdr:from>
    <xdr:to>
      <xdr:col>0</xdr:col>
      <xdr:colOff>1203474</xdr:colOff>
      <xdr:row>1</xdr:row>
      <xdr:rowOff>158763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3407D98D-9570-4600-85C9-F010127C5E3D}"/>
            </a:ext>
          </a:extLst>
        </xdr:cNvPr>
        <xdr:cNvSpPr/>
      </xdr:nvSpPr>
      <xdr:spPr>
        <a:xfrm>
          <a:off x="29937" y="31336"/>
          <a:ext cx="576637" cy="31157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rgbClr val="00206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Navigation</a:t>
          </a:r>
        </a:p>
      </xdr:txBody>
    </xdr:sp>
    <xdr:clientData/>
  </xdr:twoCellAnchor>
  <xdr:twoCellAnchor>
    <xdr:from>
      <xdr:col>1</xdr:col>
      <xdr:colOff>596013</xdr:colOff>
      <xdr:row>0</xdr:row>
      <xdr:rowOff>28167</xdr:rowOff>
    </xdr:from>
    <xdr:to>
      <xdr:col>2</xdr:col>
      <xdr:colOff>554101</xdr:colOff>
      <xdr:row>1</xdr:row>
      <xdr:rowOff>148460</xdr:rowOff>
    </xdr:to>
    <xdr:sp macro="" textlink="">
      <xdr:nvSpPr>
        <xdr:cNvPr id="6" name="Rectangl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2F9D745-B0CC-4C58-9385-B4996ED69452}"/>
            </a:ext>
          </a:extLst>
        </xdr:cNvPr>
        <xdr:cNvSpPr/>
      </xdr:nvSpPr>
      <xdr:spPr>
        <a:xfrm>
          <a:off x="1205613" y="28167"/>
          <a:ext cx="567688" cy="30444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rgbClr val="00206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Model</a:t>
          </a:r>
        </a:p>
      </xdr:txBody>
    </xdr:sp>
    <xdr:clientData/>
  </xdr:twoCellAnchor>
  <xdr:twoCellAnchor>
    <xdr:from>
      <xdr:col>2</xdr:col>
      <xdr:colOff>675092</xdr:colOff>
      <xdr:row>0</xdr:row>
      <xdr:rowOff>33627</xdr:rowOff>
    </xdr:from>
    <xdr:to>
      <xdr:col>4</xdr:col>
      <xdr:colOff>81519</xdr:colOff>
      <xdr:row>1</xdr:row>
      <xdr:rowOff>160270</xdr:rowOff>
    </xdr:to>
    <xdr:sp macro="" textlink="">
      <xdr:nvSpPr>
        <xdr:cNvPr id="7" name="Rectangle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C521F43-4E02-4552-B7E2-853B92937195}"/>
            </a:ext>
          </a:extLst>
        </xdr:cNvPr>
        <xdr:cNvSpPr/>
      </xdr:nvSpPr>
      <xdr:spPr>
        <a:xfrm>
          <a:off x="1830792" y="33627"/>
          <a:ext cx="689127" cy="31079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rgbClr val="00206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Simulation Results</a:t>
          </a:r>
        </a:p>
      </xdr:txBody>
    </xdr:sp>
    <xdr:clientData/>
  </xdr:twoCellAnchor>
  <xdr:twoCellAnchor>
    <xdr:from>
      <xdr:col>4</xdr:col>
      <xdr:colOff>168719</xdr:colOff>
      <xdr:row>0</xdr:row>
      <xdr:rowOff>33352</xdr:rowOff>
    </xdr:from>
    <xdr:to>
      <xdr:col>5</xdr:col>
      <xdr:colOff>171621</xdr:colOff>
      <xdr:row>1</xdr:row>
      <xdr:rowOff>166345</xdr:rowOff>
    </xdr:to>
    <xdr:sp macro="" textlink="">
      <xdr:nvSpPr>
        <xdr:cNvPr id="8" name="Rectangle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344DEC4-40D7-449F-92C9-71F6FB2EFF17}"/>
            </a:ext>
          </a:extLst>
        </xdr:cNvPr>
        <xdr:cNvSpPr/>
      </xdr:nvSpPr>
      <xdr:spPr>
        <a:xfrm>
          <a:off x="2607119" y="33352"/>
          <a:ext cx="612502" cy="31714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rgbClr val="00206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Analysis</a:t>
          </a:r>
        </a:p>
      </xdr:txBody>
    </xdr:sp>
    <xdr:clientData/>
  </xdr:twoCellAnchor>
  <xdr:twoCellAnchor>
    <xdr:from>
      <xdr:col>17</xdr:col>
      <xdr:colOff>0</xdr:colOff>
      <xdr:row>32</xdr:row>
      <xdr:rowOff>0</xdr:rowOff>
    </xdr:from>
    <xdr:to>
      <xdr:col>22</xdr:col>
      <xdr:colOff>733961</xdr:colOff>
      <xdr:row>37</xdr:row>
      <xdr:rowOff>164935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CD6EE196-0162-4861-A149-7021611B88BC}"/>
            </a:ext>
          </a:extLst>
        </xdr:cNvPr>
        <xdr:cNvSpPr txBox="1"/>
      </xdr:nvSpPr>
      <xdr:spPr>
        <a:xfrm>
          <a:off x="10363200" y="5892800"/>
          <a:ext cx="3654961" cy="1085685"/>
        </a:xfrm>
        <a:prstGeom prst="rect">
          <a:avLst/>
        </a:prstGeom>
        <a:solidFill>
          <a:schemeClr val="lt1"/>
        </a:solidFill>
        <a:ln w="9525" cmpd="sng">
          <a:solidFill>
            <a:schemeClr val="accent1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Takeaway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 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box plot shows the spread of profit outcomes. Half-crop decisions cluster tightly above zero. Full-crop decisions have wide ranges extending deep into losses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 sz="12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18</xdr:row>
      <xdr:rowOff>44450</xdr:rowOff>
    </xdr:from>
    <xdr:to>
      <xdr:col>10</xdr:col>
      <xdr:colOff>19050</xdr:colOff>
      <xdr:row>31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4D6365-9D32-4B29-B46E-83774F8112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29307</xdr:colOff>
      <xdr:row>48</xdr:row>
      <xdr:rowOff>29307</xdr:rowOff>
    </xdr:from>
    <xdr:to>
      <xdr:col>7</xdr:col>
      <xdr:colOff>403841</xdr:colOff>
      <xdr:row>60</xdr:row>
      <xdr:rowOff>135080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ProfitBW">
              <a:extLst>
                <a:ext uri="{FF2B5EF4-FFF2-40B4-BE49-F238E27FC236}">
                  <a16:creationId xmlns:a16="http://schemas.microsoft.com/office/drawing/2014/main" id="{8C6092AC-75B4-420E-A95A-325D2009A4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307" y="8868507"/>
              <a:ext cx="4641734" cy="23155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19</xdr:col>
      <xdr:colOff>38101</xdr:colOff>
      <xdr:row>3</xdr:row>
      <xdr:rowOff>44450</xdr:rowOff>
    </xdr:from>
    <xdr:to>
      <xdr:col>25</xdr:col>
      <xdr:colOff>587964</xdr:colOff>
      <xdr:row>16</xdr:row>
      <xdr:rowOff>164629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3017DF-00EC-4264-AD0D-DBA25CA8B0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152708</xdr:colOff>
      <xdr:row>18</xdr:row>
      <xdr:rowOff>21995</xdr:rowOff>
    </xdr:from>
    <xdr:to>
      <xdr:col>13</xdr:col>
      <xdr:colOff>536965</xdr:colOff>
      <xdr:row>31</xdr:row>
      <xdr:rowOff>66842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49A1BA18-93C2-4C1E-9AF3-D49D6C9C9E0B}"/>
            </a:ext>
          </a:extLst>
        </xdr:cNvPr>
        <xdr:cNvSpPr txBox="1"/>
      </xdr:nvSpPr>
      <xdr:spPr>
        <a:xfrm>
          <a:off x="6248708" y="3336695"/>
          <a:ext cx="2213057" cy="2438797"/>
        </a:xfrm>
        <a:prstGeom prst="rect">
          <a:avLst/>
        </a:prstGeom>
        <a:solidFill>
          <a:schemeClr val="lt1"/>
        </a:solidFill>
        <a:ln w="9525" cmpd="sng">
          <a:solidFill>
            <a:schemeClr val="accent1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Takeaway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 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Decisions 1–3 (half crop) consistently produce positive mean profit. Decisions 4–6 (full crop) average a loss under current assumptions.</a:t>
          </a:r>
          <a:endParaRPr lang="en-US" sz="1200" b="0"/>
        </a:p>
      </xdr:txBody>
    </xdr:sp>
    <xdr:clientData/>
  </xdr:twoCellAnchor>
  <xdr:twoCellAnchor>
    <xdr:from>
      <xdr:col>19</xdr:col>
      <xdr:colOff>28222</xdr:colOff>
      <xdr:row>18</xdr:row>
      <xdr:rowOff>28223</xdr:rowOff>
    </xdr:from>
    <xdr:to>
      <xdr:col>26</xdr:col>
      <xdr:colOff>27609</xdr:colOff>
      <xdr:row>23</xdr:row>
      <xdr:rowOff>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1C8E0D5-F189-410F-9348-8CF731DF8CBC}"/>
            </a:ext>
          </a:extLst>
        </xdr:cNvPr>
        <xdr:cNvSpPr txBox="1"/>
      </xdr:nvSpPr>
      <xdr:spPr>
        <a:xfrm>
          <a:off x="11610622" y="3342923"/>
          <a:ext cx="4266587" cy="892528"/>
        </a:xfrm>
        <a:prstGeom prst="rect">
          <a:avLst/>
        </a:prstGeom>
        <a:solidFill>
          <a:schemeClr val="lt1"/>
        </a:solidFill>
        <a:ln w="9525" cmpd="sng">
          <a:solidFill>
            <a:schemeClr val="accent1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Takeaway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 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Half-crop decisions use nearly all inventory.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Full-crop decisions leave 150–300 lbs unsold, creating both waste and off-shelf opportunity.</a:t>
          </a:r>
          <a:endParaRPr lang="en-US" sz="1200" b="1"/>
        </a:p>
      </xdr:txBody>
    </xdr:sp>
    <xdr:clientData/>
  </xdr:twoCellAnchor>
  <xdr:twoCellAnchor>
    <xdr:from>
      <xdr:col>0</xdr:col>
      <xdr:colOff>0</xdr:colOff>
      <xdr:row>2</xdr:row>
      <xdr:rowOff>1833</xdr:rowOff>
    </xdr:from>
    <xdr:to>
      <xdr:col>5</xdr:col>
      <xdr:colOff>6545</xdr:colOff>
      <xdr:row>3</xdr:row>
      <xdr:rowOff>40682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6A82B82-68A2-43F9-83A4-073948294309}"/>
            </a:ext>
          </a:extLst>
        </xdr:cNvPr>
        <xdr:cNvSpPr txBox="1"/>
      </xdr:nvSpPr>
      <xdr:spPr>
        <a:xfrm>
          <a:off x="0" y="370133"/>
          <a:ext cx="3054545" cy="222999"/>
        </a:xfrm>
        <a:prstGeom prst="rect">
          <a:avLst/>
        </a:prstGeom>
        <a:solidFill>
          <a:schemeClr val="lt1"/>
        </a:solidFill>
        <a:ln w="9525" cmpd="sng">
          <a:solidFill>
            <a:schemeClr val="accent1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/>
            <a:t>Key</a:t>
          </a:r>
          <a:r>
            <a:rPr lang="en-US" sz="1200" b="0" baseline="0"/>
            <a:t> Metrics At A Glance </a:t>
          </a:r>
          <a:r>
            <a:rPr lang="en-US" sz="1100" b="0" i="0" cap="all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— median profit by decision</a:t>
          </a:r>
          <a:endParaRPr lang="en-US" sz="1200" b="1"/>
        </a:p>
      </xdr:txBody>
    </xdr:sp>
    <xdr:clientData/>
  </xdr:twoCellAnchor>
  <xdr:twoCellAnchor>
    <xdr:from>
      <xdr:col>0</xdr:col>
      <xdr:colOff>197778</xdr:colOff>
      <xdr:row>4</xdr:row>
      <xdr:rowOff>67383</xdr:rowOff>
    </xdr:from>
    <xdr:to>
      <xdr:col>2</xdr:col>
      <xdr:colOff>174854</xdr:colOff>
      <xdr:row>9</xdr:row>
      <xdr:rowOff>165652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7B15CF7A-F514-4577-A049-6B78F302D0FC}"/>
            </a:ext>
          </a:extLst>
        </xdr:cNvPr>
        <xdr:cNvGrpSpPr/>
      </xdr:nvGrpSpPr>
      <xdr:grpSpPr>
        <a:xfrm>
          <a:off x="197778" y="820312"/>
          <a:ext cx="1537362" cy="1005411"/>
          <a:chOff x="1044234" y="718935"/>
          <a:chExt cx="1476640" cy="1378705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$B$41">
        <xdr:nvSpPr>
          <xdr:cNvPr id="9" name="TextBox 8">
            <a:extLst>
              <a:ext uri="{FF2B5EF4-FFF2-40B4-BE49-F238E27FC236}">
                <a16:creationId xmlns:a16="http://schemas.microsoft.com/office/drawing/2014/main" id="{BE3EAFEB-6474-7F4D-5116-8516604B0036}"/>
              </a:ext>
            </a:extLst>
          </xdr:cNvPr>
          <xdr:cNvSpPr txBox="1"/>
        </xdr:nvSpPr>
        <xdr:spPr>
          <a:xfrm>
            <a:off x="1046421" y="1043501"/>
            <a:ext cx="1474152" cy="78858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A3DCF01-CC05-4DF6-BFA7-60E7DF377E42}" type="TxLink">
              <a:rPr lang="en-US" sz="2400" b="0" i="0" u="none" strike="noStrike">
                <a:solidFill>
                  <a:srgbClr val="000000"/>
                </a:solidFill>
                <a:latin typeface="Bahnschrift" panose="020B0502040204020203" pitchFamily="34" charset="0"/>
              </a:rPr>
              <a:pPr algn="ctr"/>
              <a:t> $906.60 </a:t>
            </a:fld>
            <a:endParaRPr lang="en-US" sz="2400">
              <a:latin typeface="Bahnschrift" panose="020B0502040204020203" pitchFamily="34" charset="0"/>
            </a:endParaRP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7AC24FEC-83F6-C19A-E284-F074F4732278}"/>
              </a:ext>
            </a:extLst>
          </xdr:cNvPr>
          <xdr:cNvSpPr txBox="1"/>
        </xdr:nvSpPr>
        <xdr:spPr>
          <a:xfrm>
            <a:off x="1046420" y="1840820"/>
            <a:ext cx="1471947" cy="25682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 b="0" i="0" u="none" strike="noStrike">
                <a:solidFill>
                  <a:srgbClr val="000000"/>
                </a:solidFill>
                <a:latin typeface="+mn-lt"/>
              </a:rPr>
              <a:t>Half-crop • 0% deposit</a:t>
            </a: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2C265B5D-71C0-CAF4-BCC5-F0C5890D5416}"/>
              </a:ext>
            </a:extLst>
          </xdr:cNvPr>
          <xdr:cNvSpPr txBox="1"/>
        </xdr:nvSpPr>
        <xdr:spPr>
          <a:xfrm>
            <a:off x="1044234" y="718935"/>
            <a:ext cx="1476640" cy="31978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 i="0" u="none" strike="noStrike">
                <a:solidFill>
                  <a:srgbClr val="000000"/>
                </a:solidFill>
                <a:latin typeface="+mn-lt"/>
              </a:rPr>
              <a:t>Decision 1</a:t>
            </a:r>
          </a:p>
        </xdr:txBody>
      </xdr:sp>
    </xdr:grpSp>
    <xdr:clientData/>
  </xdr:twoCellAnchor>
  <xdr:twoCellAnchor>
    <xdr:from>
      <xdr:col>2</xdr:col>
      <xdr:colOff>381868</xdr:colOff>
      <xdr:row>4</xdr:row>
      <xdr:rowOff>63774</xdr:rowOff>
    </xdr:from>
    <xdr:to>
      <xdr:col>4</xdr:col>
      <xdr:colOff>338358</xdr:colOff>
      <xdr:row>9</xdr:row>
      <xdr:rowOff>176133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5568E19F-8EFF-4757-B37B-F79DEF9C6E84}"/>
            </a:ext>
          </a:extLst>
        </xdr:cNvPr>
        <xdr:cNvGrpSpPr/>
      </xdr:nvGrpSpPr>
      <xdr:grpSpPr>
        <a:xfrm>
          <a:off x="1942154" y="816703"/>
          <a:ext cx="1525847" cy="1019501"/>
          <a:chOff x="1044234" y="718935"/>
          <a:chExt cx="1476640" cy="1378705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$C$41">
        <xdr:nvSpPr>
          <xdr:cNvPr id="13" name="TextBox 12">
            <a:extLst>
              <a:ext uri="{FF2B5EF4-FFF2-40B4-BE49-F238E27FC236}">
                <a16:creationId xmlns:a16="http://schemas.microsoft.com/office/drawing/2014/main" id="{D7622E9C-A080-F2DB-E0B0-CABAC22C9D0B}"/>
              </a:ext>
            </a:extLst>
          </xdr:cNvPr>
          <xdr:cNvSpPr txBox="1"/>
        </xdr:nvSpPr>
        <xdr:spPr>
          <a:xfrm>
            <a:off x="1046421" y="1043501"/>
            <a:ext cx="1474152" cy="78858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49F41AF-8342-4CA7-AF27-E351BEF67CA2}" type="TxLink">
              <a:rPr lang="en-US" sz="2400" b="0" i="0" u="none" strike="noStrike">
                <a:solidFill>
                  <a:srgbClr val="000000"/>
                </a:solidFill>
                <a:latin typeface="Bahnschrift" panose="020B0502040204020203" pitchFamily="34" charset="0"/>
              </a:rPr>
              <a:pPr algn="ctr"/>
              <a:t> $971.35 </a:t>
            </a:fld>
            <a:endParaRPr lang="en-US" sz="2400">
              <a:latin typeface="Bahnschrift" panose="020B0502040204020203" pitchFamily="34" charset="0"/>
            </a:endParaRP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DFCF93A7-769D-D1F6-BD53-B52065EF64F5}"/>
              </a:ext>
            </a:extLst>
          </xdr:cNvPr>
          <xdr:cNvSpPr txBox="1"/>
        </xdr:nvSpPr>
        <xdr:spPr>
          <a:xfrm>
            <a:off x="1046420" y="1840820"/>
            <a:ext cx="1471947" cy="25682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 b="0" i="0" u="none" strike="noStrike">
                <a:solidFill>
                  <a:srgbClr val="000000"/>
                </a:solidFill>
                <a:latin typeface="+mn-lt"/>
              </a:rPr>
              <a:t>Half-crop • 50% deposit</a:t>
            </a: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3CE1DD46-E92A-6691-C6B8-C5992377A821}"/>
              </a:ext>
            </a:extLst>
          </xdr:cNvPr>
          <xdr:cNvSpPr txBox="1"/>
        </xdr:nvSpPr>
        <xdr:spPr>
          <a:xfrm>
            <a:off x="1044234" y="718935"/>
            <a:ext cx="1476640" cy="31978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 i="0" u="none" strike="noStrike">
                <a:solidFill>
                  <a:srgbClr val="000000"/>
                </a:solidFill>
                <a:latin typeface="+mn-lt"/>
              </a:rPr>
              <a:t>Decision 2</a:t>
            </a:r>
          </a:p>
        </xdr:txBody>
      </xdr:sp>
    </xdr:grpSp>
    <xdr:clientData/>
  </xdr:twoCellAnchor>
  <xdr:twoCellAnchor>
    <xdr:from>
      <xdr:col>4</xdr:col>
      <xdr:colOff>605634</xdr:colOff>
      <xdr:row>4</xdr:row>
      <xdr:rowOff>67724</xdr:rowOff>
    </xdr:from>
    <xdr:to>
      <xdr:col>6</xdr:col>
      <xdr:colOff>356897</xdr:colOff>
      <xdr:row>9</xdr:row>
      <xdr:rowOff>166862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B0C6E91-A18C-4060-B21A-6EF776DAEC95}"/>
            </a:ext>
          </a:extLst>
        </xdr:cNvPr>
        <xdr:cNvGrpSpPr/>
      </xdr:nvGrpSpPr>
      <xdr:grpSpPr>
        <a:xfrm>
          <a:off x="3735277" y="820653"/>
          <a:ext cx="1511120" cy="1006280"/>
          <a:chOff x="1044234" y="718935"/>
          <a:chExt cx="1476640" cy="1378705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$D$41">
        <xdr:nvSpPr>
          <xdr:cNvPr id="17" name="TextBox 16">
            <a:extLst>
              <a:ext uri="{FF2B5EF4-FFF2-40B4-BE49-F238E27FC236}">
                <a16:creationId xmlns:a16="http://schemas.microsoft.com/office/drawing/2014/main" id="{C4CF9B19-50B4-787B-9E17-2DC0C26169D5}"/>
              </a:ext>
            </a:extLst>
          </xdr:cNvPr>
          <xdr:cNvSpPr txBox="1"/>
        </xdr:nvSpPr>
        <xdr:spPr>
          <a:xfrm>
            <a:off x="1046421" y="1043501"/>
            <a:ext cx="1474152" cy="78858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3636FF5-3CD3-4BC5-8B3F-394917D09F35}" type="TxLink">
              <a:rPr lang="en-US" sz="2400" b="0" i="0" u="none" strike="noStrike">
                <a:solidFill>
                  <a:srgbClr val="000000"/>
                </a:solidFill>
                <a:latin typeface="Bahnschrift" panose="020B0502040204020203" pitchFamily="34" charset="0"/>
              </a:rPr>
              <a:pPr algn="ctr"/>
              <a:t> $906.60 </a:t>
            </a:fld>
            <a:endParaRPr lang="en-US" sz="2400">
              <a:latin typeface="Bahnschrift" panose="020B0502040204020203" pitchFamily="34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AC0E3F46-4080-D5F5-089A-3FD673955994}"/>
              </a:ext>
            </a:extLst>
          </xdr:cNvPr>
          <xdr:cNvSpPr txBox="1"/>
        </xdr:nvSpPr>
        <xdr:spPr>
          <a:xfrm>
            <a:off x="1046420" y="1840820"/>
            <a:ext cx="1471947" cy="25682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 b="0" i="0" u="none" strike="noStrike">
                <a:solidFill>
                  <a:srgbClr val="000000"/>
                </a:solidFill>
                <a:latin typeface="+mn-lt"/>
              </a:rPr>
              <a:t>Half-crop • 100% deposit</a:t>
            </a: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BA5E8B57-EF2A-C665-E822-4FB9E0E10D2B}"/>
              </a:ext>
            </a:extLst>
          </xdr:cNvPr>
          <xdr:cNvSpPr txBox="1"/>
        </xdr:nvSpPr>
        <xdr:spPr>
          <a:xfrm>
            <a:off x="1044234" y="718935"/>
            <a:ext cx="1476640" cy="31978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 i="0" u="none" strike="noStrike">
                <a:solidFill>
                  <a:srgbClr val="000000"/>
                </a:solidFill>
                <a:latin typeface="+mn-lt"/>
              </a:rPr>
              <a:t>Decision 3</a:t>
            </a:r>
          </a:p>
        </xdr:txBody>
      </xdr:sp>
    </xdr:grpSp>
    <xdr:clientData/>
  </xdr:twoCellAnchor>
  <xdr:twoCellAnchor>
    <xdr:from>
      <xdr:col>6</xdr:col>
      <xdr:colOff>606982</xdr:colOff>
      <xdr:row>4</xdr:row>
      <xdr:rowOff>67613</xdr:rowOff>
    </xdr:from>
    <xdr:to>
      <xdr:col>9</xdr:col>
      <xdr:colOff>115876</xdr:colOff>
      <xdr:row>9</xdr:row>
      <xdr:rowOff>143687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C7562617-7D3D-4D2A-9B72-BBCA5547B8C3}"/>
            </a:ext>
          </a:extLst>
        </xdr:cNvPr>
        <xdr:cNvGrpSpPr/>
      </xdr:nvGrpSpPr>
      <xdr:grpSpPr>
        <a:xfrm>
          <a:off x="5496482" y="820542"/>
          <a:ext cx="1649751" cy="983216"/>
          <a:chOff x="1044234" y="718935"/>
          <a:chExt cx="1476640" cy="1378705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$E$41">
        <xdr:nvSpPr>
          <xdr:cNvPr id="21" name="TextBox 20">
            <a:extLst>
              <a:ext uri="{FF2B5EF4-FFF2-40B4-BE49-F238E27FC236}">
                <a16:creationId xmlns:a16="http://schemas.microsoft.com/office/drawing/2014/main" id="{F7465940-DE4F-4A9D-0D6A-B00768C2BCC6}"/>
              </a:ext>
            </a:extLst>
          </xdr:cNvPr>
          <xdr:cNvSpPr txBox="1"/>
        </xdr:nvSpPr>
        <xdr:spPr>
          <a:xfrm>
            <a:off x="1046421" y="1043501"/>
            <a:ext cx="1474152" cy="78858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6076F65-E0EA-46F9-B522-EFC1C5730AB2}" type="TxLink">
              <a:rPr lang="en-US" sz="2400" b="0" i="0" u="none" strike="noStrike">
                <a:solidFill>
                  <a:srgbClr val="000000"/>
                </a:solidFill>
                <a:latin typeface="Bahnschrift" panose="020B0502040204020203" pitchFamily="34" charset="0"/>
              </a:rPr>
              <a:pPr algn="ctr"/>
              <a:t> $2,243.20 </a:t>
            </a:fld>
            <a:endParaRPr lang="en-US" sz="2400">
              <a:latin typeface="Bahnschrift" panose="020B0502040204020203" pitchFamily="34" charset="0"/>
            </a:endParaRPr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DFC1F19A-6147-D004-FD86-EA8D24441758}"/>
              </a:ext>
            </a:extLst>
          </xdr:cNvPr>
          <xdr:cNvSpPr txBox="1"/>
        </xdr:nvSpPr>
        <xdr:spPr>
          <a:xfrm>
            <a:off x="1046420" y="1840820"/>
            <a:ext cx="1471947" cy="25682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 b="0" i="0" u="none" strike="noStrike">
                <a:solidFill>
                  <a:srgbClr val="000000"/>
                </a:solidFill>
                <a:latin typeface="+mn-lt"/>
              </a:rPr>
              <a:t>Full-crop • 0% deposit</a:t>
            </a: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B12E2742-AC0B-D173-E838-21CEA7B1FBCE}"/>
              </a:ext>
            </a:extLst>
          </xdr:cNvPr>
          <xdr:cNvSpPr txBox="1"/>
        </xdr:nvSpPr>
        <xdr:spPr>
          <a:xfrm>
            <a:off x="1044234" y="718935"/>
            <a:ext cx="1476640" cy="31978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 i="0" u="none" strike="noStrike">
                <a:solidFill>
                  <a:srgbClr val="000000"/>
                </a:solidFill>
                <a:latin typeface="+mn-lt"/>
              </a:rPr>
              <a:t>Decision 4</a:t>
            </a:r>
          </a:p>
        </xdr:txBody>
      </xdr:sp>
    </xdr:grpSp>
    <xdr:clientData/>
  </xdr:twoCellAnchor>
  <xdr:twoCellAnchor>
    <xdr:from>
      <xdr:col>9</xdr:col>
      <xdr:colOff>338165</xdr:colOff>
      <xdr:row>4</xdr:row>
      <xdr:rowOff>63438</xdr:rowOff>
    </xdr:from>
    <xdr:to>
      <xdr:col>11</xdr:col>
      <xdr:colOff>194671</xdr:colOff>
      <xdr:row>9</xdr:row>
      <xdr:rowOff>125146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9BFE6CEC-16FC-4F86-AF9B-28135F8156CC}"/>
            </a:ext>
          </a:extLst>
        </xdr:cNvPr>
        <xdr:cNvGrpSpPr/>
      </xdr:nvGrpSpPr>
      <xdr:grpSpPr>
        <a:xfrm>
          <a:off x="7368522" y="816367"/>
          <a:ext cx="1643578" cy="968850"/>
          <a:chOff x="1044234" y="718935"/>
          <a:chExt cx="1476640" cy="1378705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$F$41">
        <xdr:nvSpPr>
          <xdr:cNvPr id="25" name="TextBox 24">
            <a:extLst>
              <a:ext uri="{FF2B5EF4-FFF2-40B4-BE49-F238E27FC236}">
                <a16:creationId xmlns:a16="http://schemas.microsoft.com/office/drawing/2014/main" id="{85FB6784-9167-0147-2B22-9F4746B4A141}"/>
              </a:ext>
            </a:extLst>
          </xdr:cNvPr>
          <xdr:cNvSpPr txBox="1"/>
        </xdr:nvSpPr>
        <xdr:spPr>
          <a:xfrm>
            <a:off x="1046421" y="1043501"/>
            <a:ext cx="1474152" cy="78858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1445F45-AB93-4FB0-81F4-D5ED44F61D32}" type="TxLink">
              <a:rPr lang="en-US" sz="2400" b="0" i="0" u="none" strike="noStrike">
                <a:solidFill>
                  <a:srgbClr val="000000"/>
                </a:solidFill>
                <a:latin typeface="Bahnschrift" panose="020B0502040204020203" pitchFamily="34" charset="0"/>
              </a:rPr>
              <a:pPr algn="ctr"/>
              <a:t> $2,228.95 </a:t>
            </a:fld>
            <a:endParaRPr lang="en-US" sz="2400">
              <a:latin typeface="Bahnschrift" panose="020B0502040204020203" pitchFamily="34" charset="0"/>
            </a:endParaRPr>
          </a:p>
        </xdr:txBody>
      </xdr: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DB497032-4119-7CB8-F0AD-824C14BEE3F2}"/>
              </a:ext>
            </a:extLst>
          </xdr:cNvPr>
          <xdr:cNvSpPr txBox="1"/>
        </xdr:nvSpPr>
        <xdr:spPr>
          <a:xfrm>
            <a:off x="1046420" y="1840820"/>
            <a:ext cx="1471947" cy="25682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 b="0" i="0" u="none" strike="noStrike">
                <a:solidFill>
                  <a:srgbClr val="000000"/>
                </a:solidFill>
                <a:latin typeface="+mn-lt"/>
              </a:rPr>
              <a:t>Full-crop • 50% deposit</a:t>
            </a:r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8CB10EA5-FAA2-72FA-D389-3B3884C041C8}"/>
              </a:ext>
            </a:extLst>
          </xdr:cNvPr>
          <xdr:cNvSpPr txBox="1"/>
        </xdr:nvSpPr>
        <xdr:spPr>
          <a:xfrm>
            <a:off x="1044234" y="718935"/>
            <a:ext cx="1476640" cy="31978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 i="0" u="none" strike="noStrike">
                <a:solidFill>
                  <a:srgbClr val="000000"/>
                </a:solidFill>
                <a:latin typeface="+mn-lt"/>
              </a:rPr>
              <a:t>Decision 5</a:t>
            </a:r>
          </a:p>
        </xdr:txBody>
      </xdr:sp>
    </xdr:grpSp>
    <xdr:clientData/>
  </xdr:twoCellAnchor>
  <xdr:twoCellAnchor>
    <xdr:from>
      <xdr:col>11</xdr:col>
      <xdr:colOff>404788</xdr:colOff>
      <xdr:row>4</xdr:row>
      <xdr:rowOff>61477</xdr:rowOff>
    </xdr:from>
    <xdr:to>
      <xdr:col>13</xdr:col>
      <xdr:colOff>713796</xdr:colOff>
      <xdr:row>9</xdr:row>
      <xdr:rowOff>120511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616111C0-C147-4FB2-84FA-B09A7DA63695}"/>
            </a:ext>
          </a:extLst>
        </xdr:cNvPr>
        <xdr:cNvGrpSpPr/>
      </xdr:nvGrpSpPr>
      <xdr:grpSpPr>
        <a:xfrm>
          <a:off x="9222217" y="814406"/>
          <a:ext cx="1615293" cy="966176"/>
          <a:chOff x="1044234" y="718935"/>
          <a:chExt cx="1476640" cy="1378705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$G$41">
        <xdr:nvSpPr>
          <xdr:cNvPr id="29" name="TextBox 28">
            <a:extLst>
              <a:ext uri="{FF2B5EF4-FFF2-40B4-BE49-F238E27FC236}">
                <a16:creationId xmlns:a16="http://schemas.microsoft.com/office/drawing/2014/main" id="{4B15CE88-83A3-4A02-A59A-342A7F48252A}"/>
              </a:ext>
            </a:extLst>
          </xdr:cNvPr>
          <xdr:cNvSpPr txBox="1"/>
        </xdr:nvSpPr>
        <xdr:spPr>
          <a:xfrm>
            <a:off x="1046421" y="1043501"/>
            <a:ext cx="1474152" cy="78858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CCD666B-CBFD-4858-A86B-75DC0A4B3624}" type="TxLink">
              <a:rPr lang="en-US" sz="2400" b="0" i="0" u="none" strike="noStrike">
                <a:solidFill>
                  <a:srgbClr val="000000"/>
                </a:solidFill>
                <a:latin typeface="Bahnschrift" panose="020B0502040204020203" pitchFamily="34" charset="0"/>
              </a:rPr>
              <a:pPr algn="ctr"/>
              <a:t> $2,381.20 </a:t>
            </a:fld>
            <a:endParaRPr lang="en-US" sz="2400">
              <a:latin typeface="Bahnschrift" panose="020B0502040204020203" pitchFamily="34" charset="0"/>
            </a:endParaRPr>
          </a:p>
        </xdr:txBody>
      </xdr:sp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CB12E591-7FCF-2CA3-CEEF-BB5088729FDA}"/>
              </a:ext>
            </a:extLst>
          </xdr:cNvPr>
          <xdr:cNvSpPr txBox="1"/>
        </xdr:nvSpPr>
        <xdr:spPr>
          <a:xfrm>
            <a:off x="1046420" y="1840820"/>
            <a:ext cx="1471947" cy="25682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 b="0" i="0" u="none" strike="noStrike">
                <a:solidFill>
                  <a:srgbClr val="000000"/>
                </a:solidFill>
                <a:latin typeface="+mn-lt"/>
              </a:rPr>
              <a:t>Full-crop • 100% deposit</a:t>
            </a:r>
          </a:p>
        </xdr:txBody>
      </xdr:sp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BC60BD71-9070-827E-3C60-8205A030D5E7}"/>
              </a:ext>
            </a:extLst>
          </xdr:cNvPr>
          <xdr:cNvSpPr txBox="1"/>
        </xdr:nvSpPr>
        <xdr:spPr>
          <a:xfrm>
            <a:off x="1044234" y="718935"/>
            <a:ext cx="1476640" cy="31978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 i="0" u="none" strike="noStrike">
                <a:solidFill>
                  <a:srgbClr val="000000"/>
                </a:solidFill>
                <a:latin typeface="+mn-lt"/>
              </a:rPr>
              <a:t>Decision 6</a:t>
            </a:r>
          </a:p>
        </xdr:txBody>
      </xdr:sp>
    </xdr:grpSp>
    <xdr:clientData/>
  </xdr:twoCellAnchor>
  <xdr:twoCellAnchor>
    <xdr:from>
      <xdr:col>8</xdr:col>
      <xdr:colOff>582648</xdr:colOff>
      <xdr:row>50</xdr:row>
      <xdr:rowOff>148769</xdr:rowOff>
    </xdr:from>
    <xdr:to>
      <xdr:col>13</xdr:col>
      <xdr:colOff>490659</xdr:colOff>
      <xdr:row>65</xdr:row>
      <xdr:rowOff>124242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1B961C34-B53C-4309-B545-D50A032D62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982281</xdr:colOff>
      <xdr:row>50</xdr:row>
      <xdr:rowOff>146538</xdr:rowOff>
    </xdr:from>
    <xdr:to>
      <xdr:col>17</xdr:col>
      <xdr:colOff>502417</xdr:colOff>
      <xdr:row>65</xdr:row>
      <xdr:rowOff>111649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B8533463-5E10-4353-9F55-BFA79A6223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41211</xdr:colOff>
      <xdr:row>0</xdr:row>
      <xdr:rowOff>67367</xdr:rowOff>
    </xdr:from>
    <xdr:to>
      <xdr:col>1</xdr:col>
      <xdr:colOff>82357</xdr:colOff>
      <xdr:row>1</xdr:row>
      <xdr:rowOff>70624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33A9E658-A2CE-4433-81B9-AAD31FFD6ADB}"/>
            </a:ext>
          </a:extLst>
        </xdr:cNvPr>
        <xdr:cNvSpPr/>
      </xdr:nvSpPr>
      <xdr:spPr>
        <a:xfrm>
          <a:off x="41211" y="67367"/>
          <a:ext cx="650746" cy="18740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rgbClr val="00206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Navigation</a:t>
          </a:r>
        </a:p>
      </xdr:txBody>
    </xdr:sp>
    <xdr:clientData/>
  </xdr:twoCellAnchor>
  <xdr:twoCellAnchor>
    <xdr:from>
      <xdr:col>1</xdr:col>
      <xdr:colOff>535812</xdr:colOff>
      <xdr:row>0</xdr:row>
      <xdr:rowOff>58725</xdr:rowOff>
    </xdr:from>
    <xdr:to>
      <xdr:col>2</xdr:col>
      <xdr:colOff>483346</xdr:colOff>
      <xdr:row>1</xdr:row>
      <xdr:rowOff>79463</xdr:rowOff>
    </xdr:to>
    <xdr:sp macro="" textlink="">
      <xdr:nvSpPr>
        <xdr:cNvPr id="35" name="Rectangle 3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6F2CCEE-D3FD-4AFB-B255-19C6F00EDB48}"/>
            </a:ext>
          </a:extLst>
        </xdr:cNvPr>
        <xdr:cNvSpPr/>
      </xdr:nvSpPr>
      <xdr:spPr>
        <a:xfrm>
          <a:off x="1145412" y="58725"/>
          <a:ext cx="557134" cy="20488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rgbClr val="00206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Model</a:t>
          </a:r>
        </a:p>
      </xdr:txBody>
    </xdr:sp>
    <xdr:clientData/>
  </xdr:twoCellAnchor>
  <xdr:twoCellAnchor>
    <xdr:from>
      <xdr:col>2</xdr:col>
      <xdr:colOff>634651</xdr:colOff>
      <xdr:row>0</xdr:row>
      <xdr:rowOff>58712</xdr:rowOff>
    </xdr:from>
    <xdr:to>
      <xdr:col>4</xdr:col>
      <xdr:colOff>504521</xdr:colOff>
      <xdr:row>1</xdr:row>
      <xdr:rowOff>72377</xdr:rowOff>
    </xdr:to>
    <xdr:sp macro="" textlink="">
      <xdr:nvSpPr>
        <xdr:cNvPr id="36" name="Rectangle 3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3D3D431-A34A-4355-A7CF-1598EA58AC2E}"/>
            </a:ext>
          </a:extLst>
        </xdr:cNvPr>
        <xdr:cNvSpPr/>
      </xdr:nvSpPr>
      <xdr:spPr>
        <a:xfrm>
          <a:off x="1828451" y="58712"/>
          <a:ext cx="1114470" cy="19781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rgbClr val="00206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Simulation Results</a:t>
          </a:r>
        </a:p>
      </xdr:txBody>
    </xdr:sp>
    <xdr:clientData/>
  </xdr:twoCellAnchor>
  <xdr:twoCellAnchor>
    <xdr:from>
      <xdr:col>4</xdr:col>
      <xdr:colOff>632060</xdr:colOff>
      <xdr:row>0</xdr:row>
      <xdr:rowOff>59905</xdr:rowOff>
    </xdr:from>
    <xdr:to>
      <xdr:col>5</xdr:col>
      <xdr:colOff>634962</xdr:colOff>
      <xdr:row>1</xdr:row>
      <xdr:rowOff>86546</xdr:rowOff>
    </xdr:to>
    <xdr:sp macro="" textlink="">
      <xdr:nvSpPr>
        <xdr:cNvPr id="37" name="Rectangle 3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752EBC4-8927-427D-80C4-27122E621224}"/>
            </a:ext>
          </a:extLst>
        </xdr:cNvPr>
        <xdr:cNvSpPr/>
      </xdr:nvSpPr>
      <xdr:spPr>
        <a:xfrm>
          <a:off x="3045060" y="59905"/>
          <a:ext cx="612502" cy="210791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rgbClr val="00206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Analysis</a:t>
          </a:r>
        </a:p>
      </xdr:txBody>
    </xdr:sp>
    <xdr:clientData/>
  </xdr:twoCellAnchor>
  <xdr:twoCellAnchor>
    <xdr:from>
      <xdr:col>34</xdr:col>
      <xdr:colOff>463961</xdr:colOff>
      <xdr:row>4</xdr:row>
      <xdr:rowOff>82754</xdr:rowOff>
    </xdr:from>
    <xdr:to>
      <xdr:col>42</xdr:col>
      <xdr:colOff>119832</xdr:colOff>
      <xdr:row>20</xdr:row>
      <xdr:rowOff>128840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7607C764-5F7F-4E5C-A976-293F0E040C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28</xdr:col>
      <xdr:colOff>0</xdr:colOff>
      <xdr:row>15</xdr:row>
      <xdr:rowOff>0</xdr:rowOff>
    </xdr:from>
    <xdr:to>
      <xdr:col>34</xdr:col>
      <xdr:colOff>0</xdr:colOff>
      <xdr:row>20</xdr:row>
      <xdr:rowOff>156449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7CD838B-5CDF-45C3-A2CB-99ACFC855EC4}"/>
            </a:ext>
          </a:extLst>
        </xdr:cNvPr>
        <xdr:cNvSpPr txBox="1"/>
      </xdr:nvSpPr>
      <xdr:spPr>
        <a:xfrm>
          <a:off x="17068800" y="2762250"/>
          <a:ext cx="3657600" cy="1077199"/>
        </a:xfrm>
        <a:prstGeom prst="rect">
          <a:avLst/>
        </a:prstGeom>
        <a:solidFill>
          <a:schemeClr val="lt1"/>
        </a:solidFill>
        <a:ln w="9525" cmpd="sng">
          <a:solidFill>
            <a:schemeClr val="accent1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Takeaway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 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Half-crop decisions leave nearly zero unsold beans. Full-crop decisions average 200–350 lbs of leftover inventory, creating the off-shelf sales opportunity.</a:t>
          </a:r>
          <a:endParaRPr lang="en-US" sz="1200" b="0"/>
        </a:p>
      </xdr:txBody>
    </xdr:sp>
    <xdr:clientData/>
  </xdr:twoCellAnchor>
  <xdr:twoCellAnchor>
    <xdr:from>
      <xdr:col>7</xdr:col>
      <xdr:colOff>170951</xdr:colOff>
      <xdr:row>33</xdr:row>
      <xdr:rowOff>103239</xdr:rowOff>
    </xdr:from>
    <xdr:to>
      <xdr:col>14</xdr:col>
      <xdr:colOff>1070201</xdr:colOff>
      <xdr:row>43</xdr:row>
      <xdr:rowOff>83553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1C124FA2-7E69-45D5-B667-BF8172CD6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77522</xdr:colOff>
      <xdr:row>33</xdr:row>
      <xdr:rowOff>129365</xdr:rowOff>
    </xdr:from>
    <xdr:to>
      <xdr:col>17</xdr:col>
      <xdr:colOff>71549</xdr:colOff>
      <xdr:row>43</xdr:row>
      <xdr:rowOff>99900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E79D7B8-1672-4971-9EA0-58322A69CA93}"/>
            </a:ext>
          </a:extLst>
        </xdr:cNvPr>
        <xdr:cNvSpPr txBox="1"/>
      </xdr:nvSpPr>
      <xdr:spPr>
        <a:xfrm>
          <a:off x="9221522" y="6206315"/>
          <a:ext cx="1213227" cy="1812035"/>
        </a:xfrm>
        <a:prstGeom prst="rect">
          <a:avLst/>
        </a:prstGeom>
        <a:solidFill>
          <a:schemeClr val="lt1"/>
        </a:solidFill>
        <a:ln w="9525" cmpd="sng">
          <a:solidFill>
            <a:schemeClr val="accent1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Takeaway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 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Off-shelf revenue is near $0 for half-crop decisions (no leftover beans). Full-crop decisions generate $800–$2,000 in average off-shelf revenue; but this still doesn't offset the higher purchase cost.</a:t>
          </a:r>
          <a:endParaRPr lang="en-US" sz="1200" b="0"/>
        </a:p>
      </xdr:txBody>
    </xdr:sp>
    <xdr:clientData/>
  </xdr:twoCellAnchor>
  <xdr:twoCellAnchor>
    <xdr:from>
      <xdr:col>0</xdr:col>
      <xdr:colOff>64781</xdr:colOff>
      <xdr:row>61</xdr:row>
      <xdr:rowOff>56583</xdr:rowOff>
    </xdr:from>
    <xdr:to>
      <xdr:col>7</xdr:col>
      <xdr:colOff>351276</xdr:colOff>
      <xdr:row>65</xdr:row>
      <xdr:rowOff>175638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65754972-E807-4339-83F6-DD8D6B814C2E}"/>
            </a:ext>
          </a:extLst>
        </xdr:cNvPr>
        <xdr:cNvSpPr txBox="1"/>
      </xdr:nvSpPr>
      <xdr:spPr>
        <a:xfrm>
          <a:off x="64781" y="11289733"/>
          <a:ext cx="4553695" cy="855655"/>
        </a:xfrm>
        <a:prstGeom prst="rect">
          <a:avLst/>
        </a:prstGeom>
        <a:solidFill>
          <a:schemeClr val="lt1"/>
        </a:solidFill>
        <a:ln w="9525" cmpd="sng">
          <a:solidFill>
            <a:schemeClr val="accent1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Takeaway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 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box plot shows the spread of profit outcomes. Half-crop decisions cluster tightly above zero. Full-crop decisions have wide ranges extending deep into losses.</a:t>
          </a:r>
          <a:endParaRPr lang="en-US" sz="1200" b="0"/>
        </a:p>
      </xdr:txBody>
    </xdr:sp>
    <xdr:clientData/>
  </xdr:twoCellAnchor>
  <xdr:twoCellAnchor>
    <xdr:from>
      <xdr:col>0</xdr:col>
      <xdr:colOff>202465</xdr:colOff>
      <xdr:row>11</xdr:row>
      <xdr:rowOff>82983</xdr:rowOff>
    </xdr:from>
    <xdr:to>
      <xdr:col>13</xdr:col>
      <xdr:colOff>688814</xdr:colOff>
      <xdr:row>15</xdr:row>
      <xdr:rowOff>86102</xdr:rowOff>
    </xdr:to>
    <xdr:sp macro="" textlink="">
      <xdr:nvSpPr>
        <xdr:cNvPr id="43" name="TextBox 43">
          <a:extLst>
            <a:ext uri="{FF2B5EF4-FFF2-40B4-BE49-F238E27FC236}">
              <a16:creationId xmlns:a16="http://schemas.microsoft.com/office/drawing/2014/main" id="{49D68EB0-71F2-484F-AA67-F55866055020}"/>
            </a:ext>
          </a:extLst>
        </xdr:cNvPr>
        <xdr:cNvSpPr txBox="1"/>
      </xdr:nvSpPr>
      <xdr:spPr>
        <a:xfrm>
          <a:off x="202465" y="2108633"/>
          <a:ext cx="8334949" cy="739719"/>
        </a:xfrm>
        <a:prstGeom prst="rect">
          <a:avLst/>
        </a:prstGeom>
        <a:solidFill>
          <a:schemeClr val="lt1"/>
        </a:solidFill>
        <a:ln w="9525" cmpd="sng">
          <a:solidFill>
            <a:schemeClr val="accent1">
              <a:lumMod val="60000"/>
              <a:lumOff val="40000"/>
            </a:schemeClr>
          </a:solidFill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u="sng"/>
            <a:t>Recommendation:</a:t>
          </a:r>
          <a:r>
            <a:rPr lang="en-US" sz="1200" b="1" u="none" baseline="0"/>
            <a:t> </a:t>
          </a:r>
          <a:r>
            <a:rPr lang="en-US" b="1" u="none"/>
            <a:t>Decision 3 — half crop, 100% deposit</a:t>
          </a:r>
        </a:p>
        <a:p>
          <a:r>
            <a:rPr lang="en-US" sz="1200"/>
            <a:t>Produces highest median profit, eliminates all refund risk, zero leftover inventory. Full-crop decisions average a loss, off-shelf revenue at $14.95/lb does not offset the higher $6,264 purchase cost vs $3,132 for half crop. Decision 3 is the best risk-adjusted choice across all 1,000 simulated scenarios.</a:t>
          </a:r>
          <a:endParaRPr lang="en-US" sz="1200" b="1"/>
        </a:p>
      </xdr:txBody>
    </xdr:sp>
    <xdr:clientData/>
  </xdr:twoCellAnchor>
  <xdr:twoCellAnchor>
    <xdr:from>
      <xdr:col>8</xdr:col>
      <xdr:colOff>583276</xdr:colOff>
      <xdr:row>66</xdr:row>
      <xdr:rowOff>119200</xdr:rowOff>
    </xdr:from>
    <xdr:to>
      <xdr:col>13</xdr:col>
      <xdr:colOff>540797</xdr:colOff>
      <xdr:row>70</xdr:row>
      <xdr:rowOff>173541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AA42F5E1-11EE-4900-B843-7E9EC7CAE76C}"/>
            </a:ext>
          </a:extLst>
        </xdr:cNvPr>
        <xdr:cNvSpPr txBox="1"/>
      </xdr:nvSpPr>
      <xdr:spPr>
        <a:xfrm>
          <a:off x="5460076" y="12273100"/>
          <a:ext cx="3005521" cy="790941"/>
        </a:xfrm>
        <a:prstGeom prst="rect">
          <a:avLst/>
        </a:prstGeom>
        <a:solidFill>
          <a:schemeClr val="lt1"/>
        </a:solidFill>
        <a:ln w="9525" cmpd="sng">
          <a:solidFill>
            <a:schemeClr val="accent1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Takeaway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 </a:t>
          </a:r>
        </a:p>
        <a:p>
          <a:r>
            <a:rPr lang="en-US"/>
            <a:t>Decisions 1 and 3 represent the lowest-risk half-crop options. Decision 3 (100% deposit) produces higher mean profit by eliminating refund exposure entirely.</a:t>
          </a:r>
          <a:endParaRPr lang="en-US" sz="1200" b="0"/>
        </a:p>
      </xdr:txBody>
    </xdr:sp>
    <xdr:clientData/>
  </xdr:twoCellAnchor>
  <xdr:twoCellAnchor>
    <xdr:from>
      <xdr:col>13</xdr:col>
      <xdr:colOff>994676</xdr:colOff>
      <xdr:row>66</xdr:row>
      <xdr:rowOff>111918</xdr:rowOff>
    </xdr:from>
    <xdr:to>
      <xdr:col>17</xdr:col>
      <xdr:colOff>579176</xdr:colOff>
      <xdr:row>71</xdr:row>
      <xdr:rowOff>547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E04EEFF2-821D-4B5E-A958-91BAEDD170E2}"/>
            </a:ext>
          </a:extLst>
        </xdr:cNvPr>
        <xdr:cNvSpPr txBox="1"/>
      </xdr:nvSpPr>
      <xdr:spPr>
        <a:xfrm>
          <a:off x="8532126" y="12265818"/>
          <a:ext cx="2410250" cy="809379"/>
        </a:xfrm>
        <a:prstGeom prst="rect">
          <a:avLst/>
        </a:prstGeom>
        <a:solidFill>
          <a:schemeClr val="lt1"/>
        </a:solidFill>
        <a:ln w="9525" cmpd="sng">
          <a:solidFill>
            <a:schemeClr val="accent1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Takeaway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 </a:t>
          </a:r>
        </a:p>
        <a:p>
          <a:r>
            <a:rPr lang="en-US"/>
            <a:t>Decision 3 has a lower standard deviation than Decision 1, confirming it is the less risky option. Requiring full payment upfront reduces profit variability significantly.</a:t>
          </a:r>
          <a:endParaRPr lang="en-US" sz="1200" b="0"/>
        </a:p>
      </xdr:txBody>
    </xdr:sp>
    <xdr:clientData/>
  </xdr:twoCellAnchor>
  <xdr:twoCellAnchor>
    <xdr:from>
      <xdr:col>26</xdr:col>
      <xdr:colOff>271876</xdr:colOff>
      <xdr:row>34</xdr:row>
      <xdr:rowOff>175091</xdr:rowOff>
    </xdr:from>
    <xdr:to>
      <xdr:col>30</xdr:col>
      <xdr:colOff>207818</xdr:colOff>
      <xdr:row>48</xdr:row>
      <xdr:rowOff>80818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DED93F07-3E93-415A-B3B1-19903DE23D06}"/>
            </a:ext>
          </a:extLst>
        </xdr:cNvPr>
        <xdr:cNvSpPr txBox="1"/>
      </xdr:nvSpPr>
      <xdr:spPr>
        <a:xfrm>
          <a:off x="16121476" y="6436191"/>
          <a:ext cx="2374342" cy="2483827"/>
        </a:xfrm>
        <a:prstGeom prst="rect">
          <a:avLst/>
        </a:prstGeom>
        <a:solidFill>
          <a:schemeClr val="lt1"/>
        </a:solidFill>
        <a:ln w="9525" cmpd="sng">
          <a:solidFill>
            <a:schemeClr val="accent1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Takeaway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 </a:t>
          </a:r>
        </a:p>
        <a:p>
          <a:r>
            <a:rPr lang="en-US"/>
            <a:t>For Decisions 1–3 (half crop), off-shelf revenue adds nearly $0 because no beans remain after pre-orders. For Decisions 4–6 (full crop), off-shelf revenue adds $800–$2,000 but still does not offset the higher purchase cost, confirming that full-crop decisions remain unprofitable on average.</a:t>
          </a:r>
          <a:endParaRPr lang="en-US" sz="1200" b="0"/>
        </a:p>
      </xdr:txBody>
    </xdr:sp>
    <xdr:clientData/>
  </xdr:twoCellAnchor>
  <xdr:twoCellAnchor>
    <xdr:from>
      <xdr:col>19</xdr:col>
      <xdr:colOff>4536</xdr:colOff>
      <xdr:row>34</xdr:row>
      <xdr:rowOff>157584</xdr:rowOff>
    </xdr:from>
    <xdr:to>
      <xdr:col>26</xdr:col>
      <xdr:colOff>45357</xdr:colOff>
      <xdr:row>48</xdr:row>
      <xdr:rowOff>123112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B35DD0F4-EED8-4557-A25B-C123E8FB67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K303-SP26/Capstone%20Project/FINAL_K303_SP26_Project4_Problem2-v2.xlsm" TargetMode="External"/><Relationship Id="rId2" Type="http://schemas.openxmlformats.org/officeDocument/2006/relationships/externalLinkPath" Target="https://indiana-my.sharepoint.com/personal/smuthire_iu_edu/Documents/K303-SP26/Capstone%20Project/FINAL_K303_SP26_Project4_Problem2-v2.xlsm" TargetMode="External"/><Relationship Id="rId1" Type="http://schemas.openxmlformats.org/officeDocument/2006/relationships/externalLinkPath" Target="/personal/smuthire_iu_edu/Documents/K303-SP26/Capstone%20Project/FINAL_K303_SP26_Project4_Problem2-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Documentation"/>
      <sheetName val="Model and simulation"/>
      <sheetName val="."/>
      <sheetName val="Times"/>
      <sheetName val="IDSheet"/>
    </sheetNames>
    <sheetDataSet>
      <sheetData sheetId="0" refreshError="1"/>
      <sheetData sheetId="1">
        <row r="14">
          <cell r="P14" t="str">
            <v>October</v>
          </cell>
          <cell r="Q14" t="str">
            <v>November</v>
          </cell>
          <cell r="R14" t="str">
            <v>December</v>
          </cell>
        </row>
        <row r="15">
          <cell r="O15" t="str">
            <v>Avg. Quantity (lbs)</v>
          </cell>
          <cell r="P15">
            <v>250.17</v>
          </cell>
          <cell r="Q15">
            <v>239.17</v>
          </cell>
          <cell r="R15">
            <v>390.83</v>
          </cell>
        </row>
        <row r="16">
          <cell r="O16" t="str">
            <v>StDev. Quantity (lbs)</v>
          </cell>
          <cell r="P16">
            <v>184.7</v>
          </cell>
          <cell r="Q16">
            <v>182.79</v>
          </cell>
          <cell r="R16">
            <v>216.48</v>
          </cell>
        </row>
        <row r="44">
          <cell r="B44">
            <v>1</v>
          </cell>
          <cell r="C44">
            <v>2</v>
          </cell>
          <cell r="D44">
            <v>3</v>
          </cell>
          <cell r="E44">
            <v>4</v>
          </cell>
          <cell r="F44">
            <v>5</v>
          </cell>
          <cell r="G44">
            <v>6</v>
          </cell>
        </row>
        <row r="45">
          <cell r="B45">
            <v>906.59999999999945</v>
          </cell>
          <cell r="C45">
            <v>984.30000000000018</v>
          </cell>
          <cell r="D45">
            <v>906.59999999999945</v>
          </cell>
          <cell r="E45">
            <v>-1255.9500000000007</v>
          </cell>
          <cell r="F45">
            <v>-608.45000000000073</v>
          </cell>
          <cell r="G45">
            <v>-2369.6500000000005</v>
          </cell>
          <cell r="K45">
            <v>0</v>
          </cell>
          <cell r="L45">
            <v>0</v>
          </cell>
          <cell r="M45">
            <v>0</v>
          </cell>
          <cell r="N45">
            <v>219</v>
          </cell>
          <cell r="O45">
            <v>178</v>
          </cell>
          <cell r="P45">
            <v>311</v>
          </cell>
          <cell r="T45">
            <v>906.59999999999945</v>
          </cell>
          <cell r="U45">
            <v>964.87499999999909</v>
          </cell>
          <cell r="V45">
            <v>906.59999999999945</v>
          </cell>
          <cell r="W45">
            <v>681.06597270056182</v>
          </cell>
          <cell r="X45">
            <v>2270.8999999999996</v>
          </cell>
          <cell r="Y45">
            <v>2483.1999999999998</v>
          </cell>
        </row>
        <row r="46">
          <cell r="B46">
            <v>906.59999999999945</v>
          </cell>
          <cell r="C46">
            <v>984.29999999999927</v>
          </cell>
          <cell r="D46">
            <v>906.59999999999945</v>
          </cell>
          <cell r="E46">
            <v>-996.95000000000073</v>
          </cell>
          <cell r="F46">
            <v>-517.80000000000018</v>
          </cell>
          <cell r="G46">
            <v>-2421.4499999999998</v>
          </cell>
          <cell r="K46">
            <v>0</v>
          </cell>
          <cell r="L46">
            <v>0</v>
          </cell>
          <cell r="M46">
            <v>0</v>
          </cell>
          <cell r="N46">
            <v>212</v>
          </cell>
          <cell r="O46">
            <v>189</v>
          </cell>
          <cell r="P46">
            <v>299</v>
          </cell>
          <cell r="T46">
            <v>906.59999999999945</v>
          </cell>
          <cell r="U46">
            <v>977.82499999999891</v>
          </cell>
          <cell r="V46">
            <v>906.59999999999945</v>
          </cell>
          <cell r="W46">
            <v>2279.1999999999994</v>
          </cell>
          <cell r="X46">
            <v>1881.7626573356974</v>
          </cell>
          <cell r="Y46">
            <v>-2615.6999999999998</v>
          </cell>
        </row>
        <row r="47">
          <cell r="B47">
            <v>906.59999999999945</v>
          </cell>
          <cell r="C47">
            <v>1016.6749999999993</v>
          </cell>
          <cell r="D47">
            <v>906.60000000000036</v>
          </cell>
          <cell r="E47">
            <v>-1178.25</v>
          </cell>
          <cell r="F47">
            <v>-245.85000000000036</v>
          </cell>
          <cell r="G47">
            <v>-2525.0500000000002</v>
          </cell>
          <cell r="K47">
            <v>0</v>
          </cell>
          <cell r="L47">
            <v>0</v>
          </cell>
          <cell r="M47">
            <v>0</v>
          </cell>
          <cell r="N47">
            <v>223</v>
          </cell>
          <cell r="O47">
            <v>179</v>
          </cell>
          <cell r="P47">
            <v>312</v>
          </cell>
          <cell r="T47">
            <v>906.59999999999945</v>
          </cell>
          <cell r="U47">
            <v>932.5</v>
          </cell>
          <cell r="V47">
            <v>906.59999999999945</v>
          </cell>
          <cell r="W47">
            <v>2255.1999999999998</v>
          </cell>
          <cell r="X47">
            <v>-776.80000000000018</v>
          </cell>
          <cell r="Y47">
            <v>2469.1999999999989</v>
          </cell>
        </row>
        <row r="48">
          <cell r="B48">
            <v>906.59999999999945</v>
          </cell>
          <cell r="C48">
            <v>977.82499999999891</v>
          </cell>
          <cell r="D48">
            <v>919.55000000000018</v>
          </cell>
          <cell r="E48">
            <v>-996.95000000000073</v>
          </cell>
          <cell r="F48">
            <v>-96.925000000001091</v>
          </cell>
          <cell r="G48">
            <v>-2434.4000000000005</v>
          </cell>
          <cell r="K48">
            <v>0</v>
          </cell>
          <cell r="L48">
            <v>0</v>
          </cell>
          <cell r="M48">
            <v>0</v>
          </cell>
          <cell r="N48">
            <v>202</v>
          </cell>
          <cell r="O48">
            <v>176</v>
          </cell>
          <cell r="P48">
            <v>320</v>
          </cell>
          <cell r="T48">
            <v>906.59999999999945</v>
          </cell>
          <cell r="U48">
            <v>977.82499999999891</v>
          </cell>
          <cell r="V48">
            <v>906.59999999999945</v>
          </cell>
          <cell r="W48">
            <v>2251.1999999999994</v>
          </cell>
          <cell r="X48">
            <v>2289.9499999999998</v>
          </cell>
          <cell r="Y48">
            <v>2469.1999999999989</v>
          </cell>
        </row>
        <row r="49">
          <cell r="B49">
            <v>906.59999999999945</v>
          </cell>
          <cell r="C49">
            <v>958.39999999999964</v>
          </cell>
          <cell r="D49">
            <v>906.60000000000036</v>
          </cell>
          <cell r="E49">
            <v>-1307.75</v>
          </cell>
          <cell r="F49">
            <v>-394.77499999999964</v>
          </cell>
          <cell r="G49">
            <v>-2382.6000000000004</v>
          </cell>
          <cell r="K49">
            <v>0</v>
          </cell>
          <cell r="L49">
            <v>0</v>
          </cell>
          <cell r="M49">
            <v>0</v>
          </cell>
          <cell r="N49">
            <v>233</v>
          </cell>
          <cell r="O49">
            <v>184</v>
          </cell>
          <cell r="P49">
            <v>336</v>
          </cell>
          <cell r="T49">
            <v>906.59999999999945</v>
          </cell>
          <cell r="U49">
            <v>971.34999999999945</v>
          </cell>
          <cell r="V49">
            <v>906.60000000000036</v>
          </cell>
          <cell r="W49">
            <v>2223.1999999999998</v>
          </cell>
          <cell r="X49">
            <v>2203.4749999999995</v>
          </cell>
          <cell r="Y49">
            <v>2425.1999999999998</v>
          </cell>
        </row>
        <row r="50">
          <cell r="B50">
            <v>906.59999999999945</v>
          </cell>
          <cell r="C50">
            <v>977.82499999999891</v>
          </cell>
          <cell r="D50">
            <v>906.59999999999945</v>
          </cell>
          <cell r="E50">
            <v>-1009.9000000000005</v>
          </cell>
          <cell r="F50">
            <v>-621.40000000000055</v>
          </cell>
          <cell r="G50">
            <v>-2499.1500000000005</v>
          </cell>
          <cell r="K50">
            <v>0</v>
          </cell>
          <cell r="L50">
            <v>0</v>
          </cell>
          <cell r="M50">
            <v>0</v>
          </cell>
          <cell r="N50">
            <v>240</v>
          </cell>
          <cell r="O50">
            <v>174</v>
          </cell>
          <cell r="P50">
            <v>317</v>
          </cell>
          <cell r="T50">
            <v>906.59999999999945</v>
          </cell>
          <cell r="U50">
            <v>919.54999999999927</v>
          </cell>
          <cell r="V50">
            <v>906.60000000000036</v>
          </cell>
          <cell r="W50">
            <v>2237.1999999999989</v>
          </cell>
          <cell r="X50">
            <v>2221.9565871001582</v>
          </cell>
          <cell r="Y50">
            <v>1705.8833139278513</v>
          </cell>
        </row>
        <row r="51">
          <cell r="B51">
            <v>906.59999999999945</v>
          </cell>
          <cell r="C51">
            <v>977.82499999999982</v>
          </cell>
          <cell r="D51">
            <v>906.59999999999945</v>
          </cell>
          <cell r="E51">
            <v>-1152.3500000000004</v>
          </cell>
          <cell r="F51">
            <v>-524.27500000000055</v>
          </cell>
          <cell r="G51">
            <v>-2188.3500000000004</v>
          </cell>
          <cell r="K51">
            <v>0</v>
          </cell>
          <cell r="L51">
            <v>0</v>
          </cell>
          <cell r="M51">
            <v>0</v>
          </cell>
          <cell r="N51">
            <v>218</v>
          </cell>
          <cell r="O51">
            <v>150</v>
          </cell>
          <cell r="P51">
            <v>339</v>
          </cell>
          <cell r="T51">
            <v>906.59999999999945</v>
          </cell>
          <cell r="U51">
            <v>964.875</v>
          </cell>
          <cell r="V51">
            <v>906.60000000000036</v>
          </cell>
          <cell r="W51">
            <v>2311.1999999999994</v>
          </cell>
          <cell r="X51">
            <v>1247.5730833557325</v>
          </cell>
          <cell r="Y51">
            <v>-1595.1354045188846</v>
          </cell>
        </row>
        <row r="52">
          <cell r="B52">
            <v>906.59999999999945</v>
          </cell>
          <cell r="C52">
            <v>1003.7249999999985</v>
          </cell>
          <cell r="D52">
            <v>906.60000000000036</v>
          </cell>
          <cell r="E52">
            <v>-893.35000000000036</v>
          </cell>
          <cell r="F52">
            <v>-317.07500000000073</v>
          </cell>
          <cell r="G52">
            <v>-2291.9499999999998</v>
          </cell>
          <cell r="K52">
            <v>0</v>
          </cell>
          <cell r="L52">
            <v>0</v>
          </cell>
          <cell r="M52">
            <v>0</v>
          </cell>
          <cell r="N52">
            <v>239</v>
          </cell>
          <cell r="O52">
            <v>179</v>
          </cell>
          <cell r="P52">
            <v>303</v>
          </cell>
          <cell r="T52">
            <v>906.59999999999945</v>
          </cell>
          <cell r="U52">
            <v>977.82499999999982</v>
          </cell>
          <cell r="V52">
            <v>906.59999999999945</v>
          </cell>
          <cell r="W52">
            <v>2243.1999999999998</v>
          </cell>
          <cell r="X52">
            <v>2274.4249999999993</v>
          </cell>
          <cell r="Y52">
            <v>2457.1999999999998</v>
          </cell>
        </row>
        <row r="53">
          <cell r="B53">
            <v>906.59999999999945</v>
          </cell>
          <cell r="C53">
            <v>971.34999999999945</v>
          </cell>
          <cell r="D53">
            <v>906.59999999999945</v>
          </cell>
          <cell r="E53">
            <v>-841.55000000000018</v>
          </cell>
          <cell r="F53">
            <v>-466</v>
          </cell>
          <cell r="G53">
            <v>-2615.6999999999998</v>
          </cell>
          <cell r="K53">
            <v>0</v>
          </cell>
          <cell r="L53">
            <v>0</v>
          </cell>
          <cell r="M53">
            <v>0</v>
          </cell>
          <cell r="N53">
            <v>214</v>
          </cell>
          <cell r="O53">
            <v>181</v>
          </cell>
          <cell r="P53">
            <v>312</v>
          </cell>
          <cell r="T53">
            <v>906.59999999999945</v>
          </cell>
          <cell r="U53">
            <v>1003.7249999999995</v>
          </cell>
          <cell r="V53">
            <v>906.60000000000036</v>
          </cell>
          <cell r="W53">
            <v>2259.1999999999994</v>
          </cell>
          <cell r="X53">
            <v>2228.9999999999995</v>
          </cell>
          <cell r="Y53">
            <v>2461.1999999999998</v>
          </cell>
        </row>
        <row r="54">
          <cell r="B54">
            <v>906.59999999999945</v>
          </cell>
          <cell r="C54">
            <v>984.29999999999927</v>
          </cell>
          <cell r="D54">
            <v>906.59999999999945</v>
          </cell>
          <cell r="E54">
            <v>-1022.8500000000004</v>
          </cell>
          <cell r="F54">
            <v>-679.67500000000109</v>
          </cell>
          <cell r="G54">
            <v>-2447.3500000000004</v>
          </cell>
          <cell r="K54">
            <v>0</v>
          </cell>
          <cell r="L54">
            <v>0</v>
          </cell>
          <cell r="M54">
            <v>0</v>
          </cell>
          <cell r="N54">
            <v>208</v>
          </cell>
          <cell r="O54">
            <v>175</v>
          </cell>
          <cell r="P54">
            <v>314</v>
          </cell>
          <cell r="T54">
            <v>906.59999999999945</v>
          </cell>
          <cell r="U54">
            <v>971.35000000000036</v>
          </cell>
          <cell r="V54">
            <v>906.60000000000036</v>
          </cell>
          <cell r="W54">
            <v>2269.1999999999994</v>
          </cell>
          <cell r="X54">
            <v>2285.9499999999994</v>
          </cell>
          <cell r="Y54">
            <v>2497.1999999999998</v>
          </cell>
        </row>
        <row r="55">
          <cell r="B55">
            <v>906.59999999999945</v>
          </cell>
          <cell r="C55">
            <v>977.82499999999982</v>
          </cell>
          <cell r="D55">
            <v>906.59999999999945</v>
          </cell>
          <cell r="E55">
            <v>-712.05000000000018</v>
          </cell>
          <cell r="F55">
            <v>-491.89999999999964</v>
          </cell>
          <cell r="G55">
            <v>-2266.0500000000002</v>
          </cell>
          <cell r="K55">
            <v>0</v>
          </cell>
          <cell r="L55">
            <v>0</v>
          </cell>
          <cell r="M55">
            <v>0</v>
          </cell>
          <cell r="N55">
            <v>218</v>
          </cell>
          <cell r="O55">
            <v>168</v>
          </cell>
          <cell r="P55">
            <v>329</v>
          </cell>
          <cell r="T55">
            <v>906.59999999999945</v>
          </cell>
          <cell r="U55">
            <v>971.35000000000036</v>
          </cell>
          <cell r="V55">
            <v>934.60000000000014</v>
          </cell>
          <cell r="W55">
            <v>98.080735281975876</v>
          </cell>
          <cell r="X55">
            <v>2204.5249999999992</v>
          </cell>
          <cell r="Y55">
            <v>-235.42860554207891</v>
          </cell>
        </row>
        <row r="56">
          <cell r="B56">
            <v>906.59999999999945</v>
          </cell>
          <cell r="C56">
            <v>984.30000000000018</v>
          </cell>
          <cell r="D56">
            <v>906.59999999999945</v>
          </cell>
          <cell r="E56">
            <v>-1113.5</v>
          </cell>
          <cell r="F56">
            <v>-556.65000000000055</v>
          </cell>
          <cell r="G56">
            <v>-2369.6500000000005</v>
          </cell>
          <cell r="K56">
            <v>0</v>
          </cell>
          <cell r="L56">
            <v>0</v>
          </cell>
          <cell r="M56">
            <v>0</v>
          </cell>
          <cell r="N56">
            <v>222</v>
          </cell>
          <cell r="O56">
            <v>188</v>
          </cell>
          <cell r="P56">
            <v>330</v>
          </cell>
          <cell r="T56">
            <v>906.59999999999945</v>
          </cell>
          <cell r="U56">
            <v>990.77499999999964</v>
          </cell>
          <cell r="V56">
            <v>906.60000000000036</v>
          </cell>
          <cell r="W56">
            <v>43.691057781503787</v>
          </cell>
          <cell r="X56">
            <v>2224.4249999999993</v>
          </cell>
          <cell r="Y56">
            <v>2453.1999999999998</v>
          </cell>
        </row>
        <row r="57">
          <cell r="B57">
            <v>906.59999999999945</v>
          </cell>
          <cell r="C57">
            <v>951.92499999999927</v>
          </cell>
          <cell r="D57">
            <v>906.60000000000036</v>
          </cell>
          <cell r="E57">
            <v>-893.35000000000036</v>
          </cell>
          <cell r="F57">
            <v>-478.95000000000073</v>
          </cell>
          <cell r="G57">
            <v>-2356.6999999999998</v>
          </cell>
          <cell r="K57">
            <v>0</v>
          </cell>
          <cell r="L57">
            <v>0</v>
          </cell>
          <cell r="M57">
            <v>0</v>
          </cell>
          <cell r="N57">
            <v>225</v>
          </cell>
          <cell r="O57">
            <v>173</v>
          </cell>
          <cell r="P57">
            <v>309</v>
          </cell>
          <cell r="T57">
            <v>906.59999999999945</v>
          </cell>
          <cell r="U57">
            <v>951.92499999999927</v>
          </cell>
          <cell r="V57">
            <v>906.59999999999945</v>
          </cell>
          <cell r="W57">
            <v>605.12283503482877</v>
          </cell>
          <cell r="X57">
            <v>2247.375</v>
          </cell>
          <cell r="Y57">
            <v>-2706.3500000000004</v>
          </cell>
        </row>
        <row r="58">
          <cell r="B58">
            <v>906.59999999999945</v>
          </cell>
          <cell r="C58">
            <v>926.02499999999964</v>
          </cell>
          <cell r="D58">
            <v>906.60000000000036</v>
          </cell>
          <cell r="E58">
            <v>-996.95000000000073</v>
          </cell>
          <cell r="F58">
            <v>-427.15000000000055</v>
          </cell>
          <cell r="G58">
            <v>-2395.5500000000002</v>
          </cell>
          <cell r="K58">
            <v>0</v>
          </cell>
          <cell r="L58">
            <v>0</v>
          </cell>
          <cell r="M58">
            <v>0</v>
          </cell>
          <cell r="N58">
            <v>214</v>
          </cell>
          <cell r="O58">
            <v>178</v>
          </cell>
          <cell r="P58">
            <v>339</v>
          </cell>
          <cell r="T58">
            <v>906.59999999999945</v>
          </cell>
          <cell r="U58">
            <v>990.77499999999964</v>
          </cell>
          <cell r="V58">
            <v>906.59999999999945</v>
          </cell>
          <cell r="W58">
            <v>282.85016902414304</v>
          </cell>
          <cell r="X58">
            <v>2266.4250000000002</v>
          </cell>
          <cell r="Y58">
            <v>-970.74065900709843</v>
          </cell>
        </row>
        <row r="59">
          <cell r="B59">
            <v>906.59999999999945</v>
          </cell>
          <cell r="C59">
            <v>971.35000000000036</v>
          </cell>
          <cell r="D59">
            <v>906.60000000000036</v>
          </cell>
          <cell r="E59">
            <v>-932.20000000000073</v>
          </cell>
          <cell r="F59">
            <v>-375.35000000000036</v>
          </cell>
          <cell r="G59">
            <v>-2149.5</v>
          </cell>
          <cell r="K59">
            <v>0</v>
          </cell>
          <cell r="L59">
            <v>0</v>
          </cell>
          <cell r="M59">
            <v>0</v>
          </cell>
          <cell r="N59">
            <v>246</v>
          </cell>
          <cell r="O59">
            <v>175</v>
          </cell>
          <cell r="P59">
            <v>323</v>
          </cell>
          <cell r="T59">
            <v>906.59999999999945</v>
          </cell>
          <cell r="U59">
            <v>964.87499999999909</v>
          </cell>
          <cell r="V59">
            <v>906.60000000000036</v>
          </cell>
          <cell r="W59">
            <v>-1398.4000000000005</v>
          </cell>
          <cell r="X59">
            <v>2254.5249999999992</v>
          </cell>
          <cell r="Y59">
            <v>822.70306618474024</v>
          </cell>
        </row>
        <row r="60">
          <cell r="B60">
            <v>906.59999999999945</v>
          </cell>
          <cell r="C60">
            <v>951.92499999999927</v>
          </cell>
          <cell r="D60">
            <v>906.59999999999945</v>
          </cell>
          <cell r="E60">
            <v>-1061.7000000000007</v>
          </cell>
          <cell r="F60">
            <v>-647.30000000000018</v>
          </cell>
          <cell r="G60">
            <v>-2162.4500000000007</v>
          </cell>
          <cell r="K60">
            <v>0</v>
          </cell>
          <cell r="L60">
            <v>0</v>
          </cell>
          <cell r="M60">
            <v>0</v>
          </cell>
          <cell r="N60">
            <v>211</v>
          </cell>
          <cell r="O60">
            <v>183</v>
          </cell>
          <cell r="P60">
            <v>306</v>
          </cell>
          <cell r="T60">
            <v>906.59999999999945</v>
          </cell>
          <cell r="U60">
            <v>945.44999999999982</v>
          </cell>
          <cell r="V60">
            <v>906.59999999999945</v>
          </cell>
          <cell r="W60">
            <v>871.24550160735271</v>
          </cell>
          <cell r="X60">
            <v>2260.9999999999995</v>
          </cell>
          <cell r="Y60">
            <v>4.7074188273654727E-2</v>
          </cell>
        </row>
        <row r="61">
          <cell r="B61">
            <v>906.59999999999945</v>
          </cell>
          <cell r="C61">
            <v>958.39999999999964</v>
          </cell>
          <cell r="D61">
            <v>906.60000000000036</v>
          </cell>
          <cell r="E61">
            <v>-1022.8500000000004</v>
          </cell>
          <cell r="F61">
            <v>-427.14999999999964</v>
          </cell>
          <cell r="G61">
            <v>-2382.6000000000004</v>
          </cell>
          <cell r="K61">
            <v>0</v>
          </cell>
          <cell r="L61">
            <v>0</v>
          </cell>
          <cell r="M61">
            <v>0</v>
          </cell>
          <cell r="N61">
            <v>231</v>
          </cell>
          <cell r="O61">
            <v>181</v>
          </cell>
          <cell r="P61">
            <v>300</v>
          </cell>
          <cell r="T61">
            <v>906.59999999999945</v>
          </cell>
          <cell r="U61">
            <v>997.25</v>
          </cell>
          <cell r="V61">
            <v>919.54999999999927</v>
          </cell>
          <cell r="W61">
            <v>-312.98751975692716</v>
          </cell>
          <cell r="X61">
            <v>2218.8999999999992</v>
          </cell>
          <cell r="Y61">
            <v>-1697.5345660426729</v>
          </cell>
        </row>
        <row r="62">
          <cell r="B62">
            <v>906.59999999999945</v>
          </cell>
          <cell r="C62">
            <v>990.77499999999964</v>
          </cell>
          <cell r="D62">
            <v>906.59999999999945</v>
          </cell>
          <cell r="E62">
            <v>-1230.0500000000002</v>
          </cell>
          <cell r="F62">
            <v>-453.05000000000018</v>
          </cell>
          <cell r="G62">
            <v>-2317.8500000000004</v>
          </cell>
          <cell r="K62">
            <v>0</v>
          </cell>
          <cell r="L62">
            <v>0</v>
          </cell>
          <cell r="M62">
            <v>0</v>
          </cell>
          <cell r="N62">
            <v>253</v>
          </cell>
          <cell r="O62">
            <v>179</v>
          </cell>
          <cell r="P62">
            <v>302</v>
          </cell>
          <cell r="T62">
            <v>906.59999999999945</v>
          </cell>
          <cell r="U62">
            <v>984.29999999999927</v>
          </cell>
          <cell r="V62">
            <v>919.54999999999927</v>
          </cell>
          <cell r="W62">
            <v>2223.1999999999998</v>
          </cell>
          <cell r="X62">
            <v>2178.9999999999995</v>
          </cell>
          <cell r="Y62">
            <v>2435.1999999999998</v>
          </cell>
        </row>
        <row r="63">
          <cell r="B63">
            <v>906.59999999999945</v>
          </cell>
          <cell r="C63">
            <v>990.77499999999873</v>
          </cell>
          <cell r="D63">
            <v>906.60000000000036</v>
          </cell>
          <cell r="E63">
            <v>-1333.6500000000005</v>
          </cell>
          <cell r="F63">
            <v>-673.20000000000073</v>
          </cell>
          <cell r="G63">
            <v>-2240.1500000000005</v>
          </cell>
          <cell r="K63">
            <v>0</v>
          </cell>
          <cell r="L63">
            <v>0</v>
          </cell>
          <cell r="M63">
            <v>0</v>
          </cell>
          <cell r="N63">
            <v>226</v>
          </cell>
          <cell r="O63">
            <v>187</v>
          </cell>
          <cell r="P63">
            <v>297</v>
          </cell>
          <cell r="T63">
            <v>906.59999999999945</v>
          </cell>
          <cell r="U63">
            <v>971.34999999999945</v>
          </cell>
          <cell r="V63">
            <v>906.60000000000036</v>
          </cell>
          <cell r="W63">
            <v>2259.1999999999994</v>
          </cell>
          <cell r="X63">
            <v>2221.4750000000004</v>
          </cell>
          <cell r="Y63">
            <v>44.195794612869122</v>
          </cell>
        </row>
        <row r="64">
          <cell r="B64">
            <v>906.59999999999945</v>
          </cell>
          <cell r="C64">
            <v>971.34999999999854</v>
          </cell>
          <cell r="D64">
            <v>906.59999999999945</v>
          </cell>
          <cell r="E64">
            <v>-906.30000000000018</v>
          </cell>
          <cell r="F64">
            <v>-828.60000000000036</v>
          </cell>
          <cell r="G64">
            <v>-2201.3000000000002</v>
          </cell>
          <cell r="K64">
            <v>0</v>
          </cell>
          <cell r="L64">
            <v>0</v>
          </cell>
          <cell r="M64">
            <v>0</v>
          </cell>
          <cell r="N64">
            <v>227</v>
          </cell>
          <cell r="O64">
            <v>181</v>
          </cell>
          <cell r="P64">
            <v>340</v>
          </cell>
          <cell r="T64">
            <v>906.59999999999945</v>
          </cell>
          <cell r="U64">
            <v>958.39999999999873</v>
          </cell>
          <cell r="V64">
            <v>906.60000000000036</v>
          </cell>
          <cell r="W64">
            <v>1245.2140515075112</v>
          </cell>
          <cell r="X64">
            <v>2238.4249999999997</v>
          </cell>
          <cell r="Y64">
            <v>186.89816889006033</v>
          </cell>
        </row>
        <row r="65">
          <cell r="B65">
            <v>906.59999999999945</v>
          </cell>
          <cell r="C65">
            <v>990.77499999999873</v>
          </cell>
          <cell r="D65">
            <v>906.59999999999945</v>
          </cell>
          <cell r="E65">
            <v>-1074.6500000000005</v>
          </cell>
          <cell r="F65">
            <v>-433.625</v>
          </cell>
          <cell r="G65">
            <v>-2149.5</v>
          </cell>
          <cell r="K65">
            <v>0</v>
          </cell>
          <cell r="L65">
            <v>0</v>
          </cell>
          <cell r="M65">
            <v>0</v>
          </cell>
          <cell r="N65">
            <v>226</v>
          </cell>
          <cell r="O65">
            <v>193</v>
          </cell>
          <cell r="P65">
            <v>330</v>
          </cell>
          <cell r="T65">
            <v>906.59999999999945</v>
          </cell>
          <cell r="U65">
            <v>951.92499999999927</v>
          </cell>
          <cell r="V65">
            <v>906.59999999999945</v>
          </cell>
          <cell r="W65">
            <v>2225.1999999999998</v>
          </cell>
          <cell r="X65">
            <v>2268.4249999999993</v>
          </cell>
          <cell r="Y65">
            <v>2465.0450237114846</v>
          </cell>
        </row>
        <row r="66">
          <cell r="B66">
            <v>906.59999999999945</v>
          </cell>
          <cell r="C66">
            <v>951.92499999999927</v>
          </cell>
          <cell r="D66">
            <v>906.59999999999945</v>
          </cell>
          <cell r="E66">
            <v>-996.95000000000073</v>
          </cell>
          <cell r="F66">
            <v>-504.85000000000036</v>
          </cell>
          <cell r="G66">
            <v>-2214.25</v>
          </cell>
          <cell r="K66">
            <v>0</v>
          </cell>
          <cell r="L66">
            <v>0</v>
          </cell>
          <cell r="M66">
            <v>0</v>
          </cell>
          <cell r="N66">
            <v>242</v>
          </cell>
          <cell r="O66">
            <v>178</v>
          </cell>
          <cell r="P66">
            <v>305</v>
          </cell>
          <cell r="T66">
            <v>906.59999999999945</v>
          </cell>
          <cell r="U66">
            <v>977.82499999999982</v>
          </cell>
          <cell r="V66">
            <v>906.59999999999945</v>
          </cell>
          <cell r="W66">
            <v>-1139.4000000000005</v>
          </cell>
          <cell r="X66">
            <v>2287.375</v>
          </cell>
          <cell r="Y66">
            <v>2431.1999999999998</v>
          </cell>
        </row>
        <row r="67">
          <cell r="B67">
            <v>906.59999999999945</v>
          </cell>
          <cell r="C67">
            <v>990.77499999999964</v>
          </cell>
          <cell r="D67">
            <v>906.59999999999945</v>
          </cell>
          <cell r="E67">
            <v>-1333.6500000000005</v>
          </cell>
          <cell r="F67">
            <v>-466</v>
          </cell>
          <cell r="G67">
            <v>-2188.3500000000004</v>
          </cell>
          <cell r="K67">
            <v>0</v>
          </cell>
          <cell r="L67">
            <v>0</v>
          </cell>
          <cell r="M67">
            <v>0</v>
          </cell>
          <cell r="N67">
            <v>218</v>
          </cell>
          <cell r="O67">
            <v>192</v>
          </cell>
          <cell r="P67">
            <v>334</v>
          </cell>
          <cell r="T67">
            <v>906.59999999999945</v>
          </cell>
          <cell r="U67">
            <v>977.82499999999982</v>
          </cell>
          <cell r="V67">
            <v>906.59999999999945</v>
          </cell>
          <cell r="W67">
            <v>-894.70581791880318</v>
          </cell>
          <cell r="X67">
            <v>1999.5897128915331</v>
          </cell>
          <cell r="Y67">
            <v>-1096.0871920682837</v>
          </cell>
        </row>
        <row r="68">
          <cell r="B68">
            <v>906.59999999999945</v>
          </cell>
          <cell r="C68">
            <v>984.30000000000018</v>
          </cell>
          <cell r="D68">
            <v>906.60000000000036</v>
          </cell>
          <cell r="E68">
            <v>-1139.4000000000005</v>
          </cell>
          <cell r="F68">
            <v>-524.27500000000055</v>
          </cell>
          <cell r="G68">
            <v>-2214.25</v>
          </cell>
          <cell r="K68">
            <v>0</v>
          </cell>
          <cell r="L68">
            <v>0</v>
          </cell>
          <cell r="M68">
            <v>0</v>
          </cell>
          <cell r="N68">
            <v>227</v>
          </cell>
          <cell r="O68">
            <v>192</v>
          </cell>
          <cell r="P68">
            <v>285</v>
          </cell>
          <cell r="T68">
            <v>906.59999999999945</v>
          </cell>
          <cell r="U68">
            <v>990.77499999999964</v>
          </cell>
          <cell r="V68">
            <v>906.59999999999945</v>
          </cell>
          <cell r="W68">
            <v>2311.1999999999994</v>
          </cell>
          <cell r="X68">
            <v>2261.849999999999</v>
          </cell>
          <cell r="Y68">
            <v>396.64212002213981</v>
          </cell>
        </row>
        <row r="69">
          <cell r="B69">
            <v>906.59999999999945</v>
          </cell>
          <cell r="C69">
            <v>1003.7249999999995</v>
          </cell>
          <cell r="D69">
            <v>906.59999999999945</v>
          </cell>
          <cell r="E69">
            <v>-996.95000000000073</v>
          </cell>
          <cell r="F69">
            <v>-245.85000000000036</v>
          </cell>
          <cell r="G69">
            <v>-2214.25</v>
          </cell>
          <cell r="K69">
            <v>0</v>
          </cell>
          <cell r="L69">
            <v>0</v>
          </cell>
          <cell r="M69">
            <v>0</v>
          </cell>
          <cell r="N69">
            <v>232</v>
          </cell>
          <cell r="O69">
            <v>199</v>
          </cell>
          <cell r="P69">
            <v>313</v>
          </cell>
          <cell r="T69">
            <v>906.59999999999945</v>
          </cell>
          <cell r="U69">
            <v>971.34999999999854</v>
          </cell>
          <cell r="V69">
            <v>906.60000000000036</v>
          </cell>
          <cell r="W69">
            <v>2255.1999999999998</v>
          </cell>
          <cell r="X69">
            <v>2255.4749999999985</v>
          </cell>
          <cell r="Y69">
            <v>2479.1999999999989</v>
          </cell>
        </row>
        <row r="70">
          <cell r="B70">
            <v>906.59999999999945</v>
          </cell>
          <cell r="C70">
            <v>945.44999999999891</v>
          </cell>
          <cell r="D70">
            <v>906.59999999999945</v>
          </cell>
          <cell r="E70">
            <v>-1087.6000000000004</v>
          </cell>
          <cell r="F70">
            <v>-640.82500000000073</v>
          </cell>
          <cell r="G70">
            <v>-2408.5</v>
          </cell>
          <cell r="K70">
            <v>0</v>
          </cell>
          <cell r="L70">
            <v>0</v>
          </cell>
          <cell r="M70">
            <v>0</v>
          </cell>
          <cell r="N70">
            <v>209</v>
          </cell>
          <cell r="O70">
            <v>176</v>
          </cell>
          <cell r="P70">
            <v>358</v>
          </cell>
          <cell r="T70">
            <v>906.59999999999945</v>
          </cell>
          <cell r="U70">
            <v>1010.1999999999998</v>
          </cell>
          <cell r="V70">
            <v>906.59999999999945</v>
          </cell>
          <cell r="W70">
            <v>2245.1999999999998</v>
          </cell>
          <cell r="X70">
            <v>2242.4249999999997</v>
          </cell>
          <cell r="Y70">
            <v>-350.85921141757717</v>
          </cell>
        </row>
        <row r="71">
          <cell r="B71">
            <v>906.59999999999945</v>
          </cell>
          <cell r="C71">
            <v>984.29999999999927</v>
          </cell>
          <cell r="D71">
            <v>906.60000000000036</v>
          </cell>
          <cell r="E71">
            <v>-1191.2000000000007</v>
          </cell>
          <cell r="F71">
            <v>-627.875</v>
          </cell>
          <cell r="G71">
            <v>-2214.25</v>
          </cell>
          <cell r="K71">
            <v>0</v>
          </cell>
          <cell r="L71">
            <v>0</v>
          </cell>
          <cell r="M71">
            <v>0</v>
          </cell>
          <cell r="N71">
            <v>233</v>
          </cell>
          <cell r="O71">
            <v>198</v>
          </cell>
          <cell r="P71">
            <v>330</v>
          </cell>
          <cell r="T71">
            <v>906.59999999999945</v>
          </cell>
          <cell r="U71">
            <v>1023.1499999999996</v>
          </cell>
          <cell r="V71">
            <v>906.60000000000036</v>
          </cell>
          <cell r="W71">
            <v>2295.1999999999998</v>
          </cell>
          <cell r="X71">
            <v>2158.9999999999995</v>
          </cell>
          <cell r="Y71">
            <v>45.912468494680979</v>
          </cell>
        </row>
        <row r="72">
          <cell r="B72">
            <v>906.59999999999945</v>
          </cell>
          <cell r="C72">
            <v>958.39999999999964</v>
          </cell>
          <cell r="D72">
            <v>906.60000000000036</v>
          </cell>
          <cell r="E72">
            <v>-1087.6000000000004</v>
          </cell>
          <cell r="F72">
            <v>-394.77500000000055</v>
          </cell>
          <cell r="G72">
            <v>-2240.1500000000005</v>
          </cell>
          <cell r="K72">
            <v>0</v>
          </cell>
          <cell r="L72">
            <v>0</v>
          </cell>
          <cell r="M72">
            <v>0</v>
          </cell>
          <cell r="N72">
            <v>219</v>
          </cell>
          <cell r="O72">
            <v>191</v>
          </cell>
          <cell r="P72">
            <v>334</v>
          </cell>
          <cell r="T72">
            <v>906.59999999999945</v>
          </cell>
          <cell r="U72">
            <v>1036.0999999999995</v>
          </cell>
          <cell r="V72">
            <v>906.59999999999945</v>
          </cell>
          <cell r="W72">
            <v>2249.1999999999994</v>
          </cell>
          <cell r="X72">
            <v>2246.4250000000002</v>
          </cell>
          <cell r="Y72">
            <v>1568.4477082955655</v>
          </cell>
        </row>
        <row r="73">
          <cell r="B73">
            <v>906.59999999999945</v>
          </cell>
          <cell r="C73">
            <v>964.875</v>
          </cell>
          <cell r="D73">
            <v>906.59999999999945</v>
          </cell>
          <cell r="E73">
            <v>-1048.75</v>
          </cell>
          <cell r="F73">
            <v>-750.89999999999964</v>
          </cell>
          <cell r="G73">
            <v>-2304.9000000000005</v>
          </cell>
          <cell r="K73">
            <v>0</v>
          </cell>
          <cell r="L73">
            <v>0</v>
          </cell>
          <cell r="M73">
            <v>0</v>
          </cell>
          <cell r="N73">
            <v>222</v>
          </cell>
          <cell r="O73">
            <v>198</v>
          </cell>
          <cell r="P73">
            <v>310</v>
          </cell>
          <cell r="T73">
            <v>906.59999999999945</v>
          </cell>
          <cell r="U73">
            <v>971.34999999999854</v>
          </cell>
          <cell r="V73">
            <v>906.60000000000036</v>
          </cell>
          <cell r="W73">
            <v>2063.7658233625484</v>
          </cell>
          <cell r="X73">
            <v>2014.882514729979</v>
          </cell>
          <cell r="Y73">
            <v>1849.4920418115962</v>
          </cell>
        </row>
        <row r="74">
          <cell r="B74">
            <v>906.59999999999945</v>
          </cell>
          <cell r="C74">
            <v>997.25</v>
          </cell>
          <cell r="D74">
            <v>906.59999999999945</v>
          </cell>
          <cell r="E74">
            <v>-1424.3000000000002</v>
          </cell>
          <cell r="F74">
            <v>-142.25</v>
          </cell>
          <cell r="G74">
            <v>-2253.1000000000004</v>
          </cell>
          <cell r="K74">
            <v>0</v>
          </cell>
          <cell r="L74">
            <v>0</v>
          </cell>
          <cell r="M74">
            <v>0</v>
          </cell>
          <cell r="N74">
            <v>216</v>
          </cell>
          <cell r="O74">
            <v>199</v>
          </cell>
          <cell r="P74">
            <v>316</v>
          </cell>
          <cell r="T74">
            <v>906.59999999999945</v>
          </cell>
          <cell r="U74">
            <v>997.25</v>
          </cell>
          <cell r="V74">
            <v>906.60000000000036</v>
          </cell>
          <cell r="W74">
            <v>2207.1999999999989</v>
          </cell>
          <cell r="X74">
            <v>-6.2342351094346213</v>
          </cell>
          <cell r="Y74">
            <v>-293.52308172844596</v>
          </cell>
        </row>
        <row r="75">
          <cell r="B75">
            <v>906.59999999999945</v>
          </cell>
          <cell r="C75">
            <v>984.29999999999927</v>
          </cell>
          <cell r="D75">
            <v>906.59999999999945</v>
          </cell>
          <cell r="E75">
            <v>-867.45000000000073</v>
          </cell>
          <cell r="F75">
            <v>-783.27500000000055</v>
          </cell>
          <cell r="G75">
            <v>-2291.9499999999998</v>
          </cell>
          <cell r="K75">
            <v>0</v>
          </cell>
          <cell r="L75">
            <v>0</v>
          </cell>
          <cell r="M75">
            <v>0</v>
          </cell>
          <cell r="N75">
            <v>213</v>
          </cell>
          <cell r="O75">
            <v>170</v>
          </cell>
          <cell r="P75">
            <v>363</v>
          </cell>
          <cell r="T75">
            <v>906.59999999999945</v>
          </cell>
          <cell r="U75">
            <v>932.5</v>
          </cell>
          <cell r="V75">
            <v>906.59999999999945</v>
          </cell>
          <cell r="W75">
            <v>-854.5</v>
          </cell>
          <cell r="X75">
            <v>2240.4249999999988</v>
          </cell>
          <cell r="Y75">
            <v>2471.1999999999998</v>
          </cell>
        </row>
        <row r="76">
          <cell r="B76">
            <v>906.59999999999945</v>
          </cell>
          <cell r="C76">
            <v>964.87499999999909</v>
          </cell>
          <cell r="D76">
            <v>906.59999999999945</v>
          </cell>
          <cell r="E76">
            <v>-1281.8500000000004</v>
          </cell>
          <cell r="F76">
            <v>-498.375</v>
          </cell>
          <cell r="G76">
            <v>-2719.3</v>
          </cell>
          <cell r="K76">
            <v>0</v>
          </cell>
          <cell r="L76">
            <v>0</v>
          </cell>
          <cell r="M76">
            <v>0</v>
          </cell>
          <cell r="N76">
            <v>221</v>
          </cell>
          <cell r="O76">
            <v>179</v>
          </cell>
          <cell r="P76">
            <v>325</v>
          </cell>
          <cell r="T76">
            <v>906.59999999999945</v>
          </cell>
          <cell r="U76">
            <v>926.02499999999873</v>
          </cell>
          <cell r="V76">
            <v>906.59999999999945</v>
          </cell>
          <cell r="W76">
            <v>2281.1999999999994</v>
          </cell>
          <cell r="X76">
            <v>2307.375</v>
          </cell>
          <cell r="Y76">
            <v>1581.7709213842031</v>
          </cell>
        </row>
        <row r="77">
          <cell r="B77">
            <v>906.59999999999945</v>
          </cell>
          <cell r="C77">
            <v>1003.7249999999985</v>
          </cell>
          <cell r="D77">
            <v>906.60000000000036</v>
          </cell>
          <cell r="E77">
            <v>-996.95000000000073</v>
          </cell>
          <cell r="F77">
            <v>-511.32500000000073</v>
          </cell>
          <cell r="G77">
            <v>-2447.3500000000004</v>
          </cell>
          <cell r="K77">
            <v>0</v>
          </cell>
          <cell r="L77">
            <v>0</v>
          </cell>
          <cell r="M77">
            <v>0</v>
          </cell>
          <cell r="N77">
            <v>223</v>
          </cell>
          <cell r="O77">
            <v>155</v>
          </cell>
          <cell r="P77">
            <v>331</v>
          </cell>
          <cell r="T77">
            <v>906.59999999999945</v>
          </cell>
          <cell r="U77">
            <v>997.24999999999909</v>
          </cell>
          <cell r="V77">
            <v>906.60000000000036</v>
          </cell>
          <cell r="W77">
            <v>2075.0182558030647</v>
          </cell>
          <cell r="X77">
            <v>2200.5249999999996</v>
          </cell>
          <cell r="Y77">
            <v>2423.1999999999998</v>
          </cell>
        </row>
        <row r="78">
          <cell r="B78">
            <v>906.59999999999945</v>
          </cell>
          <cell r="C78">
            <v>958.39999999999964</v>
          </cell>
          <cell r="D78">
            <v>906.59999999999945</v>
          </cell>
          <cell r="E78">
            <v>-1022.8500000000004</v>
          </cell>
          <cell r="F78">
            <v>-478.95000000000073</v>
          </cell>
          <cell r="G78">
            <v>-2356.6999999999998</v>
          </cell>
          <cell r="K78">
            <v>0</v>
          </cell>
          <cell r="L78">
            <v>0</v>
          </cell>
          <cell r="M78">
            <v>0</v>
          </cell>
          <cell r="N78">
            <v>213</v>
          </cell>
          <cell r="O78">
            <v>171</v>
          </cell>
          <cell r="P78">
            <v>322</v>
          </cell>
          <cell r="T78">
            <v>906.59999999999945</v>
          </cell>
          <cell r="U78">
            <v>945.44999999999982</v>
          </cell>
          <cell r="V78">
            <v>906.60000000000036</v>
          </cell>
          <cell r="W78">
            <v>2269.1999999999994</v>
          </cell>
          <cell r="X78">
            <v>2201.5749999999994</v>
          </cell>
          <cell r="Y78">
            <v>2471.1999999999998</v>
          </cell>
        </row>
        <row r="79">
          <cell r="B79">
            <v>906.59999999999945</v>
          </cell>
          <cell r="C79">
            <v>984.30000000000018</v>
          </cell>
          <cell r="D79">
            <v>906.59999999999945</v>
          </cell>
          <cell r="E79">
            <v>-919.25</v>
          </cell>
          <cell r="F79">
            <v>-737.95000000000073</v>
          </cell>
          <cell r="G79">
            <v>-2279</v>
          </cell>
          <cell r="K79">
            <v>0</v>
          </cell>
          <cell r="L79">
            <v>0</v>
          </cell>
          <cell r="M79">
            <v>0</v>
          </cell>
          <cell r="N79">
            <v>210</v>
          </cell>
          <cell r="O79">
            <v>176</v>
          </cell>
          <cell r="P79">
            <v>331</v>
          </cell>
          <cell r="T79">
            <v>906.59999999999945</v>
          </cell>
          <cell r="U79">
            <v>971.34999999999945</v>
          </cell>
          <cell r="V79">
            <v>906.60000000000036</v>
          </cell>
          <cell r="W79">
            <v>2251.1999999999994</v>
          </cell>
          <cell r="X79">
            <v>2283.3749999999995</v>
          </cell>
          <cell r="Y79">
            <v>385.15765792825323</v>
          </cell>
        </row>
        <row r="80">
          <cell r="B80">
            <v>906.59999999999945</v>
          </cell>
          <cell r="C80">
            <v>984.29999999999927</v>
          </cell>
          <cell r="D80">
            <v>919.54999999999927</v>
          </cell>
          <cell r="E80">
            <v>-1307.75</v>
          </cell>
          <cell r="F80">
            <v>-401.25</v>
          </cell>
          <cell r="G80">
            <v>-2421.4499999999998</v>
          </cell>
          <cell r="K80">
            <v>0</v>
          </cell>
          <cell r="L80">
            <v>0</v>
          </cell>
          <cell r="M80">
            <v>0</v>
          </cell>
          <cell r="N80">
            <v>207</v>
          </cell>
          <cell r="O80">
            <v>178</v>
          </cell>
          <cell r="P80">
            <v>298</v>
          </cell>
          <cell r="T80">
            <v>906.59999999999945</v>
          </cell>
          <cell r="U80">
            <v>958.39999999999964</v>
          </cell>
          <cell r="V80">
            <v>906.60000000000036</v>
          </cell>
          <cell r="W80">
            <v>2275.1999999999998</v>
          </cell>
          <cell r="X80">
            <v>2318.3249999999994</v>
          </cell>
          <cell r="Y80">
            <v>2445.1999999999998</v>
          </cell>
        </row>
        <row r="81">
          <cell r="B81">
            <v>906.59999999999945</v>
          </cell>
          <cell r="C81">
            <v>984.29999999999927</v>
          </cell>
          <cell r="D81">
            <v>906.59999999999945</v>
          </cell>
          <cell r="E81">
            <v>-1165.3000000000002</v>
          </cell>
          <cell r="F81">
            <v>-576.07500000000073</v>
          </cell>
          <cell r="G81">
            <v>-2136.5500000000002</v>
          </cell>
          <cell r="K81">
            <v>0</v>
          </cell>
          <cell r="L81">
            <v>0</v>
          </cell>
          <cell r="M81">
            <v>0</v>
          </cell>
          <cell r="N81">
            <v>239</v>
          </cell>
          <cell r="O81">
            <v>184</v>
          </cell>
          <cell r="P81">
            <v>324</v>
          </cell>
          <cell r="T81">
            <v>906.59999999999945</v>
          </cell>
          <cell r="U81">
            <v>951.92499999999927</v>
          </cell>
          <cell r="V81">
            <v>906.59999999999945</v>
          </cell>
          <cell r="W81">
            <v>2259.1999999999994</v>
          </cell>
          <cell r="X81">
            <v>2227.1000421561143</v>
          </cell>
          <cell r="Y81">
            <v>-2002.8565232439416</v>
          </cell>
        </row>
        <row r="82">
          <cell r="B82">
            <v>906.59999999999945</v>
          </cell>
          <cell r="C82">
            <v>964.875</v>
          </cell>
          <cell r="D82">
            <v>906.59999999999945</v>
          </cell>
          <cell r="E82">
            <v>-1281.8500000000004</v>
          </cell>
          <cell r="F82">
            <v>-491.89999999999964</v>
          </cell>
          <cell r="G82">
            <v>-2188.3500000000004</v>
          </cell>
          <cell r="K82">
            <v>0</v>
          </cell>
          <cell r="L82">
            <v>0</v>
          </cell>
          <cell r="M82">
            <v>0</v>
          </cell>
          <cell r="N82">
            <v>212</v>
          </cell>
          <cell r="O82">
            <v>199</v>
          </cell>
          <cell r="P82">
            <v>331</v>
          </cell>
          <cell r="T82">
            <v>906.59999999999945</v>
          </cell>
          <cell r="U82">
            <v>984.29999999999927</v>
          </cell>
          <cell r="V82">
            <v>906.59999999999945</v>
          </cell>
          <cell r="W82">
            <v>2229.1999999999994</v>
          </cell>
          <cell r="X82">
            <v>2230.4249999999988</v>
          </cell>
          <cell r="Y82">
            <v>2395.1999999999998</v>
          </cell>
        </row>
        <row r="83">
          <cell r="B83">
            <v>906.59999999999945</v>
          </cell>
          <cell r="C83">
            <v>977.82499999999891</v>
          </cell>
          <cell r="D83">
            <v>906.60000000000036</v>
          </cell>
          <cell r="E83">
            <v>-1191.2000000000007</v>
          </cell>
          <cell r="F83">
            <v>-498.375</v>
          </cell>
          <cell r="G83">
            <v>-2512.1000000000004</v>
          </cell>
          <cell r="K83">
            <v>0</v>
          </cell>
          <cell r="L83">
            <v>0</v>
          </cell>
          <cell r="M83">
            <v>0</v>
          </cell>
          <cell r="N83">
            <v>225</v>
          </cell>
          <cell r="O83">
            <v>175</v>
          </cell>
          <cell r="P83">
            <v>337</v>
          </cell>
          <cell r="T83">
            <v>906.59999999999945</v>
          </cell>
          <cell r="U83">
            <v>990.77499999999964</v>
          </cell>
          <cell r="V83">
            <v>906.59999999999945</v>
          </cell>
          <cell r="W83">
            <v>2287.1999999999989</v>
          </cell>
          <cell r="X83">
            <v>2210.5249999999996</v>
          </cell>
          <cell r="Y83">
            <v>2503.1999999999998</v>
          </cell>
        </row>
        <row r="84">
          <cell r="B84">
            <v>906.59999999999945</v>
          </cell>
          <cell r="C84">
            <v>971.34999999999854</v>
          </cell>
          <cell r="D84">
            <v>906.59999999999945</v>
          </cell>
          <cell r="E84">
            <v>-1243</v>
          </cell>
          <cell r="F84">
            <v>-640.82500000000073</v>
          </cell>
          <cell r="G84">
            <v>-2460.3000000000002</v>
          </cell>
          <cell r="K84">
            <v>0</v>
          </cell>
          <cell r="L84">
            <v>0</v>
          </cell>
          <cell r="M84">
            <v>0</v>
          </cell>
          <cell r="N84">
            <v>217</v>
          </cell>
          <cell r="O84">
            <v>184</v>
          </cell>
          <cell r="P84">
            <v>305</v>
          </cell>
          <cell r="T84">
            <v>906.59999999999945</v>
          </cell>
          <cell r="U84">
            <v>964.87499999999909</v>
          </cell>
          <cell r="V84">
            <v>906.60000000000036</v>
          </cell>
          <cell r="W84">
            <v>839.66737188905427</v>
          </cell>
          <cell r="X84">
            <v>2225.9499999999994</v>
          </cell>
          <cell r="Y84">
            <v>2457.1999999999998</v>
          </cell>
        </row>
        <row r="85">
          <cell r="B85">
            <v>906.59999999999945</v>
          </cell>
          <cell r="C85">
            <v>984.29999999999927</v>
          </cell>
          <cell r="D85">
            <v>906.60000000000036</v>
          </cell>
          <cell r="E85">
            <v>-1178.25</v>
          </cell>
          <cell r="F85">
            <v>-589.02499999999964</v>
          </cell>
          <cell r="G85">
            <v>-1994.1000000000004</v>
          </cell>
          <cell r="K85">
            <v>0</v>
          </cell>
          <cell r="L85">
            <v>0</v>
          </cell>
          <cell r="M85">
            <v>0</v>
          </cell>
          <cell r="N85">
            <v>209</v>
          </cell>
          <cell r="O85">
            <v>197</v>
          </cell>
          <cell r="P85">
            <v>323</v>
          </cell>
          <cell r="T85">
            <v>906.59999999999945</v>
          </cell>
          <cell r="U85">
            <v>964.875</v>
          </cell>
          <cell r="V85">
            <v>906.59999999999945</v>
          </cell>
          <cell r="W85">
            <v>2303.1999999999998</v>
          </cell>
          <cell r="X85">
            <v>2267.849999999999</v>
          </cell>
          <cell r="Y85">
            <v>-1618.1130097695484</v>
          </cell>
        </row>
        <row r="86">
          <cell r="B86">
            <v>906.59999999999945</v>
          </cell>
          <cell r="C86">
            <v>977.82499999999891</v>
          </cell>
          <cell r="D86">
            <v>906.60000000000036</v>
          </cell>
          <cell r="E86">
            <v>-945.15000000000055</v>
          </cell>
          <cell r="F86">
            <v>-45.125</v>
          </cell>
          <cell r="G86">
            <v>-2654.55</v>
          </cell>
          <cell r="K86">
            <v>0</v>
          </cell>
          <cell r="L86">
            <v>0</v>
          </cell>
          <cell r="M86">
            <v>7</v>
          </cell>
          <cell r="N86">
            <v>232</v>
          </cell>
          <cell r="O86">
            <v>169</v>
          </cell>
          <cell r="P86">
            <v>337</v>
          </cell>
          <cell r="T86">
            <v>906.59999999999945</v>
          </cell>
          <cell r="U86">
            <v>984.29999999999927</v>
          </cell>
          <cell r="V86">
            <v>906.59999999999945</v>
          </cell>
          <cell r="W86">
            <v>2251.1999999999994</v>
          </cell>
          <cell r="X86">
            <v>2325.3749999999995</v>
          </cell>
          <cell r="Y86">
            <v>67.104570644455634</v>
          </cell>
        </row>
        <row r="87">
          <cell r="B87">
            <v>906.59999999999945</v>
          </cell>
          <cell r="C87">
            <v>1003.7249999999995</v>
          </cell>
          <cell r="D87">
            <v>906.60000000000036</v>
          </cell>
          <cell r="E87">
            <v>-1100.5500000000002</v>
          </cell>
          <cell r="F87">
            <v>-653.77499999999964</v>
          </cell>
          <cell r="G87">
            <v>-2589.8000000000002</v>
          </cell>
          <cell r="K87">
            <v>0</v>
          </cell>
          <cell r="L87">
            <v>0</v>
          </cell>
          <cell r="M87">
            <v>0</v>
          </cell>
          <cell r="N87">
            <v>223</v>
          </cell>
          <cell r="O87">
            <v>176</v>
          </cell>
          <cell r="P87">
            <v>331</v>
          </cell>
          <cell r="T87">
            <v>906.59999999999945</v>
          </cell>
          <cell r="U87">
            <v>990.77499999999964</v>
          </cell>
          <cell r="V87">
            <v>919.55000000000018</v>
          </cell>
          <cell r="W87">
            <v>1984.3898056835824</v>
          </cell>
          <cell r="X87">
            <v>1415.2546510302307</v>
          </cell>
          <cell r="Y87">
            <v>-776.46715800796164</v>
          </cell>
        </row>
        <row r="88">
          <cell r="B88">
            <v>906.59999999999945</v>
          </cell>
          <cell r="C88">
            <v>997.24999999999909</v>
          </cell>
          <cell r="D88">
            <v>906.59999999999945</v>
          </cell>
          <cell r="E88">
            <v>-1281.8500000000004</v>
          </cell>
          <cell r="F88">
            <v>-440.10000000000036</v>
          </cell>
          <cell r="G88">
            <v>-2395.5500000000002</v>
          </cell>
          <cell r="K88">
            <v>0</v>
          </cell>
          <cell r="L88">
            <v>0</v>
          </cell>
          <cell r="M88">
            <v>1</v>
          </cell>
          <cell r="N88">
            <v>238</v>
          </cell>
          <cell r="O88">
            <v>200</v>
          </cell>
          <cell r="P88">
            <v>334</v>
          </cell>
          <cell r="T88">
            <v>906.59999999999945</v>
          </cell>
          <cell r="U88">
            <v>964.87499999999909</v>
          </cell>
          <cell r="V88">
            <v>906.60000000000036</v>
          </cell>
          <cell r="W88">
            <v>-1074.6500000000005</v>
          </cell>
          <cell r="X88">
            <v>-86.894529911548034</v>
          </cell>
          <cell r="Y88">
            <v>2421.1999999999998</v>
          </cell>
        </row>
        <row r="89">
          <cell r="B89">
            <v>906.59999999999945</v>
          </cell>
          <cell r="C89">
            <v>990.77499999999964</v>
          </cell>
          <cell r="D89">
            <v>906.59999999999945</v>
          </cell>
          <cell r="E89">
            <v>-971.05000000000018</v>
          </cell>
          <cell r="F89">
            <v>-466</v>
          </cell>
          <cell r="G89">
            <v>-2279</v>
          </cell>
          <cell r="K89">
            <v>0</v>
          </cell>
          <cell r="L89">
            <v>0</v>
          </cell>
          <cell r="M89">
            <v>0</v>
          </cell>
          <cell r="N89">
            <v>228</v>
          </cell>
          <cell r="O89">
            <v>216</v>
          </cell>
          <cell r="P89">
            <v>315</v>
          </cell>
          <cell r="T89">
            <v>906.59999999999945</v>
          </cell>
          <cell r="U89">
            <v>1003.7249999999995</v>
          </cell>
          <cell r="V89">
            <v>906.59999999999945</v>
          </cell>
          <cell r="W89">
            <v>694.94960769997988</v>
          </cell>
          <cell r="X89">
            <v>2187.4749999999999</v>
          </cell>
          <cell r="Y89">
            <v>1878.9036534768838</v>
          </cell>
        </row>
        <row r="90">
          <cell r="B90">
            <v>906.59999999999945</v>
          </cell>
          <cell r="C90">
            <v>964.87499999999909</v>
          </cell>
          <cell r="D90">
            <v>906.59999999999945</v>
          </cell>
          <cell r="E90">
            <v>-1178.25</v>
          </cell>
          <cell r="F90">
            <v>-368.875</v>
          </cell>
          <cell r="G90">
            <v>-2550.9499999999998</v>
          </cell>
          <cell r="K90">
            <v>0</v>
          </cell>
          <cell r="L90">
            <v>0</v>
          </cell>
          <cell r="M90">
            <v>0</v>
          </cell>
          <cell r="N90">
            <v>238</v>
          </cell>
          <cell r="O90">
            <v>198</v>
          </cell>
          <cell r="P90">
            <v>325</v>
          </cell>
          <cell r="T90">
            <v>906.59999999999945</v>
          </cell>
          <cell r="U90">
            <v>971.34999999999945</v>
          </cell>
          <cell r="V90">
            <v>906.59999999999945</v>
          </cell>
          <cell r="W90">
            <v>2233.1999999999998</v>
          </cell>
          <cell r="X90">
            <v>2229.85</v>
          </cell>
          <cell r="Y90">
            <v>1318.1526003773006</v>
          </cell>
        </row>
        <row r="91">
          <cell r="B91">
            <v>906.59999999999945</v>
          </cell>
          <cell r="C91">
            <v>951.92499999999927</v>
          </cell>
          <cell r="D91">
            <v>906.60000000000036</v>
          </cell>
          <cell r="E91">
            <v>-1126.4500000000007</v>
          </cell>
          <cell r="F91">
            <v>-291.17500000000109</v>
          </cell>
          <cell r="G91">
            <v>-2486.1999999999998</v>
          </cell>
          <cell r="K91">
            <v>0</v>
          </cell>
          <cell r="L91">
            <v>0</v>
          </cell>
          <cell r="M91">
            <v>0</v>
          </cell>
          <cell r="N91">
            <v>231</v>
          </cell>
          <cell r="O91">
            <v>202</v>
          </cell>
          <cell r="P91">
            <v>327</v>
          </cell>
          <cell r="T91">
            <v>906.59999999999945</v>
          </cell>
          <cell r="U91">
            <v>990.77499999999873</v>
          </cell>
          <cell r="V91">
            <v>906.60000000000036</v>
          </cell>
          <cell r="W91">
            <v>2223.1999999999998</v>
          </cell>
          <cell r="X91">
            <v>2241.9499999999994</v>
          </cell>
          <cell r="Y91">
            <v>-2395.5500000000002</v>
          </cell>
        </row>
        <row r="92">
          <cell r="B92">
            <v>906.59999999999945</v>
          </cell>
          <cell r="C92">
            <v>964.875</v>
          </cell>
          <cell r="D92">
            <v>919.54999999999927</v>
          </cell>
          <cell r="E92">
            <v>-1126.4500000000007</v>
          </cell>
          <cell r="F92">
            <v>-621.40000000000055</v>
          </cell>
          <cell r="G92">
            <v>-2615.6999999999998</v>
          </cell>
          <cell r="K92">
            <v>0</v>
          </cell>
          <cell r="L92">
            <v>0</v>
          </cell>
          <cell r="M92">
            <v>0</v>
          </cell>
          <cell r="N92">
            <v>219</v>
          </cell>
          <cell r="O92">
            <v>154</v>
          </cell>
          <cell r="P92">
            <v>305</v>
          </cell>
          <cell r="T92">
            <v>906.59999999999945</v>
          </cell>
          <cell r="U92">
            <v>971.35000000000036</v>
          </cell>
          <cell r="V92">
            <v>906.60000000000036</v>
          </cell>
          <cell r="W92">
            <v>1207.6096262847623</v>
          </cell>
          <cell r="X92">
            <v>2237.9499999999998</v>
          </cell>
          <cell r="Y92">
            <v>475.29973935052658</v>
          </cell>
        </row>
        <row r="93">
          <cell r="B93">
            <v>906.59999999999945</v>
          </cell>
          <cell r="C93">
            <v>964.87499999999909</v>
          </cell>
          <cell r="D93">
            <v>608.75</v>
          </cell>
          <cell r="E93">
            <v>-1437.25</v>
          </cell>
          <cell r="F93">
            <v>-265.27499999999964</v>
          </cell>
          <cell r="G93">
            <v>-2563.9000000000005</v>
          </cell>
          <cell r="K93">
            <v>0</v>
          </cell>
          <cell r="L93">
            <v>0</v>
          </cell>
          <cell r="M93">
            <v>0</v>
          </cell>
          <cell r="N93">
            <v>208</v>
          </cell>
          <cell r="O93">
            <v>195</v>
          </cell>
          <cell r="P93">
            <v>312</v>
          </cell>
          <cell r="T93">
            <v>906.59999999999945</v>
          </cell>
          <cell r="U93">
            <v>977.82499999999982</v>
          </cell>
          <cell r="V93">
            <v>906.59999999999945</v>
          </cell>
          <cell r="W93">
            <v>2271.1999999999994</v>
          </cell>
          <cell r="X93">
            <v>869.27904296800398</v>
          </cell>
          <cell r="Y93">
            <v>2469.1999999999989</v>
          </cell>
        </row>
        <row r="94">
          <cell r="B94">
            <v>906.59999999999945</v>
          </cell>
          <cell r="C94">
            <v>964.875</v>
          </cell>
          <cell r="D94">
            <v>841.84999999999945</v>
          </cell>
          <cell r="E94">
            <v>-1100.5500000000002</v>
          </cell>
          <cell r="F94">
            <v>-440.10000000000036</v>
          </cell>
          <cell r="G94">
            <v>-2227.2000000000007</v>
          </cell>
          <cell r="K94">
            <v>0</v>
          </cell>
          <cell r="L94">
            <v>0</v>
          </cell>
          <cell r="M94">
            <v>0</v>
          </cell>
          <cell r="N94">
            <v>220</v>
          </cell>
          <cell r="O94">
            <v>167</v>
          </cell>
          <cell r="P94">
            <v>321</v>
          </cell>
          <cell r="T94">
            <v>906.59999999999945</v>
          </cell>
          <cell r="U94">
            <v>977.82499999999982</v>
          </cell>
          <cell r="V94">
            <v>906.60000000000036</v>
          </cell>
          <cell r="W94">
            <v>-1398.4000000000005</v>
          </cell>
          <cell r="X94">
            <v>-452.39145264180604</v>
          </cell>
          <cell r="Y94">
            <v>-2283.9430337647564</v>
          </cell>
        </row>
        <row r="95">
          <cell r="B95">
            <v>906.59999999999945</v>
          </cell>
          <cell r="C95">
            <v>938.97499999999945</v>
          </cell>
          <cell r="D95">
            <v>906.60000000000036</v>
          </cell>
          <cell r="E95">
            <v>-867.45000000000073</v>
          </cell>
          <cell r="F95">
            <v>-375.35000000000036</v>
          </cell>
          <cell r="G95">
            <v>-2408.5</v>
          </cell>
          <cell r="K95">
            <v>0</v>
          </cell>
          <cell r="L95">
            <v>0</v>
          </cell>
          <cell r="M95">
            <v>0</v>
          </cell>
          <cell r="N95">
            <v>202</v>
          </cell>
          <cell r="O95">
            <v>194</v>
          </cell>
          <cell r="P95">
            <v>322</v>
          </cell>
          <cell r="T95">
            <v>906.59999999999945</v>
          </cell>
          <cell r="U95">
            <v>977.82499999999891</v>
          </cell>
          <cell r="V95">
            <v>906.59999999999945</v>
          </cell>
          <cell r="W95">
            <v>2233.7833609972022</v>
          </cell>
          <cell r="X95">
            <v>2211.4750000000004</v>
          </cell>
          <cell r="Y95">
            <v>2467.1999999999998</v>
          </cell>
        </row>
        <row r="96">
          <cell r="B96">
            <v>906.59999999999945</v>
          </cell>
          <cell r="C96">
            <v>990.77499999999873</v>
          </cell>
          <cell r="D96">
            <v>906.60000000000036</v>
          </cell>
          <cell r="E96">
            <v>-932.20000000000073</v>
          </cell>
          <cell r="F96">
            <v>-226.42500000000018</v>
          </cell>
          <cell r="G96">
            <v>-2486.1999999999998</v>
          </cell>
          <cell r="K96">
            <v>0</v>
          </cell>
          <cell r="L96">
            <v>0</v>
          </cell>
          <cell r="M96">
            <v>0</v>
          </cell>
          <cell r="N96">
            <v>231</v>
          </cell>
          <cell r="O96">
            <v>206</v>
          </cell>
          <cell r="P96">
            <v>327</v>
          </cell>
          <cell r="T96">
            <v>906.59999999999945</v>
          </cell>
          <cell r="U96">
            <v>932.49999999999909</v>
          </cell>
          <cell r="V96">
            <v>906.59999999999945</v>
          </cell>
          <cell r="W96">
            <v>2265.1999999999998</v>
          </cell>
          <cell r="X96">
            <v>2240.3249999999998</v>
          </cell>
          <cell r="Y96">
            <v>2435.1999999999998</v>
          </cell>
        </row>
        <row r="97">
          <cell r="B97">
            <v>906.59999999999945</v>
          </cell>
          <cell r="C97">
            <v>990.77499999999873</v>
          </cell>
          <cell r="D97">
            <v>906.59999999999945</v>
          </cell>
          <cell r="E97">
            <v>-660.25</v>
          </cell>
          <cell r="F97">
            <v>-660.25</v>
          </cell>
          <cell r="G97">
            <v>-2382.6000000000004</v>
          </cell>
          <cell r="K97">
            <v>0</v>
          </cell>
          <cell r="L97">
            <v>0</v>
          </cell>
          <cell r="M97">
            <v>0</v>
          </cell>
          <cell r="N97">
            <v>214</v>
          </cell>
          <cell r="O97">
            <v>161</v>
          </cell>
          <cell r="P97">
            <v>331</v>
          </cell>
          <cell r="T97">
            <v>906.59999999999945</v>
          </cell>
          <cell r="U97">
            <v>945.44999999999982</v>
          </cell>
          <cell r="V97">
            <v>919.54999999999927</v>
          </cell>
          <cell r="W97">
            <v>2238.0877754030098</v>
          </cell>
          <cell r="X97">
            <v>2271.3749999999995</v>
          </cell>
          <cell r="Y97">
            <v>-817.42198897927392</v>
          </cell>
        </row>
        <row r="98">
          <cell r="B98">
            <v>906.59999999999945</v>
          </cell>
          <cell r="C98">
            <v>984.29999999999927</v>
          </cell>
          <cell r="D98">
            <v>906.60000000000036</v>
          </cell>
          <cell r="E98">
            <v>-996.95000000000073</v>
          </cell>
          <cell r="F98">
            <v>-511.32500000000073</v>
          </cell>
          <cell r="G98">
            <v>-2279</v>
          </cell>
          <cell r="K98">
            <v>0</v>
          </cell>
          <cell r="L98">
            <v>0</v>
          </cell>
          <cell r="M98">
            <v>0</v>
          </cell>
          <cell r="N98">
            <v>249</v>
          </cell>
          <cell r="O98">
            <v>170</v>
          </cell>
          <cell r="P98">
            <v>307</v>
          </cell>
          <cell r="T98">
            <v>906.59999999999945</v>
          </cell>
          <cell r="U98">
            <v>964.875</v>
          </cell>
          <cell r="V98">
            <v>906.59999999999945</v>
          </cell>
          <cell r="W98">
            <v>2235.1999999999998</v>
          </cell>
          <cell r="X98">
            <v>2301.3749999999991</v>
          </cell>
          <cell r="Y98">
            <v>2453.1999999999998</v>
          </cell>
        </row>
        <row r="99">
          <cell r="B99">
            <v>906.59999999999945</v>
          </cell>
          <cell r="C99">
            <v>997.24999999999909</v>
          </cell>
          <cell r="D99">
            <v>906.60000000000036</v>
          </cell>
          <cell r="E99">
            <v>-1281.8500000000004</v>
          </cell>
          <cell r="F99">
            <v>-692.625</v>
          </cell>
          <cell r="G99">
            <v>-2304.9000000000005</v>
          </cell>
          <cell r="K99">
            <v>0</v>
          </cell>
          <cell r="L99">
            <v>0</v>
          </cell>
          <cell r="M99">
            <v>0</v>
          </cell>
          <cell r="N99">
            <v>221</v>
          </cell>
          <cell r="O99">
            <v>169</v>
          </cell>
          <cell r="P99">
            <v>321</v>
          </cell>
          <cell r="T99">
            <v>906.59999999999945</v>
          </cell>
          <cell r="U99">
            <v>951.92500000000018</v>
          </cell>
          <cell r="V99">
            <v>906.59999999999945</v>
          </cell>
          <cell r="W99">
            <v>2273.1999999999998</v>
          </cell>
          <cell r="X99">
            <v>-543.70000000000073</v>
          </cell>
          <cell r="Y99">
            <v>1145.1367353534024</v>
          </cell>
        </row>
        <row r="100">
          <cell r="B100">
            <v>906.59999999999945</v>
          </cell>
          <cell r="C100">
            <v>958.39999999999873</v>
          </cell>
          <cell r="D100">
            <v>906.60000000000036</v>
          </cell>
          <cell r="E100">
            <v>-1061.7000000000007</v>
          </cell>
          <cell r="F100">
            <v>-181.10000000000036</v>
          </cell>
          <cell r="G100">
            <v>-2460.3000000000002</v>
          </cell>
          <cell r="K100">
            <v>0</v>
          </cell>
          <cell r="L100">
            <v>0</v>
          </cell>
          <cell r="M100">
            <v>0</v>
          </cell>
          <cell r="N100">
            <v>229</v>
          </cell>
          <cell r="O100">
            <v>183</v>
          </cell>
          <cell r="P100">
            <v>329</v>
          </cell>
          <cell r="T100">
            <v>906.59999999999945</v>
          </cell>
          <cell r="U100">
            <v>977.82499999999891</v>
          </cell>
          <cell r="V100">
            <v>906.60000000000036</v>
          </cell>
          <cell r="W100">
            <v>679.25706206916584</v>
          </cell>
          <cell r="X100">
            <v>2241.9499999999994</v>
          </cell>
          <cell r="Y100">
            <v>2423.1999999999998</v>
          </cell>
        </row>
        <row r="101">
          <cell r="B101">
            <v>906.59999999999945</v>
          </cell>
          <cell r="C101">
            <v>964.875</v>
          </cell>
          <cell r="D101">
            <v>906.60000000000036</v>
          </cell>
          <cell r="E101">
            <v>-1074.6500000000005</v>
          </cell>
          <cell r="F101">
            <v>-336.5</v>
          </cell>
          <cell r="G101">
            <v>-2525.0500000000002</v>
          </cell>
          <cell r="K101">
            <v>0</v>
          </cell>
          <cell r="L101">
            <v>0</v>
          </cell>
          <cell r="M101">
            <v>0</v>
          </cell>
          <cell r="N101">
            <v>209</v>
          </cell>
          <cell r="O101">
            <v>181</v>
          </cell>
          <cell r="P101">
            <v>337</v>
          </cell>
          <cell r="T101">
            <v>906.59999999999945</v>
          </cell>
          <cell r="U101">
            <v>945.44999999999982</v>
          </cell>
          <cell r="V101">
            <v>906.59999999999945</v>
          </cell>
          <cell r="W101">
            <v>2241.1999999999994</v>
          </cell>
          <cell r="X101">
            <v>2277.375</v>
          </cell>
          <cell r="Y101">
            <v>2411.1999999999998</v>
          </cell>
        </row>
        <row r="102">
          <cell r="B102">
            <v>906.59999999999945</v>
          </cell>
          <cell r="C102">
            <v>977.82499999999982</v>
          </cell>
          <cell r="D102">
            <v>906.59999999999945</v>
          </cell>
          <cell r="E102">
            <v>-1022.8500000000004</v>
          </cell>
          <cell r="F102">
            <v>-556.64999999999964</v>
          </cell>
          <cell r="G102">
            <v>-2525.0500000000002</v>
          </cell>
          <cell r="K102">
            <v>0</v>
          </cell>
          <cell r="L102">
            <v>0</v>
          </cell>
          <cell r="M102">
            <v>0</v>
          </cell>
          <cell r="N102">
            <v>205</v>
          </cell>
          <cell r="O102">
            <v>191</v>
          </cell>
          <cell r="P102">
            <v>330</v>
          </cell>
          <cell r="T102">
            <v>906.59999999999945</v>
          </cell>
          <cell r="U102">
            <v>1003.7249999999985</v>
          </cell>
          <cell r="V102">
            <v>906.59999999999945</v>
          </cell>
          <cell r="W102">
            <v>-984</v>
          </cell>
          <cell r="X102">
            <v>2235.9499999999994</v>
          </cell>
          <cell r="Y102">
            <v>2501.1999999999998</v>
          </cell>
        </row>
        <row r="103">
          <cell r="B103">
            <v>906.59999999999945</v>
          </cell>
          <cell r="C103">
            <v>984.29999999999927</v>
          </cell>
          <cell r="D103">
            <v>906.59999999999945</v>
          </cell>
          <cell r="E103">
            <v>-945.15000000000055</v>
          </cell>
          <cell r="F103">
            <v>-537.22500000000036</v>
          </cell>
          <cell r="G103">
            <v>-2045.9000000000005</v>
          </cell>
          <cell r="K103">
            <v>0</v>
          </cell>
          <cell r="L103">
            <v>0</v>
          </cell>
          <cell r="M103">
            <v>0</v>
          </cell>
          <cell r="N103">
            <v>242</v>
          </cell>
          <cell r="O103">
            <v>173</v>
          </cell>
          <cell r="P103">
            <v>324</v>
          </cell>
          <cell r="T103">
            <v>906.59999999999945</v>
          </cell>
          <cell r="U103">
            <v>926.02499999999964</v>
          </cell>
          <cell r="V103">
            <v>906.60000000000036</v>
          </cell>
          <cell r="W103">
            <v>-672.46991014455739</v>
          </cell>
          <cell r="X103">
            <v>2221.4750000000004</v>
          </cell>
          <cell r="Y103">
            <v>2407.1999999999989</v>
          </cell>
        </row>
        <row r="104">
          <cell r="B104">
            <v>906.59999999999945</v>
          </cell>
          <cell r="C104">
            <v>1055.5249999999996</v>
          </cell>
          <cell r="D104">
            <v>906.60000000000036</v>
          </cell>
          <cell r="E104">
            <v>-893.35000000000036</v>
          </cell>
          <cell r="F104">
            <v>-744.42500000000018</v>
          </cell>
          <cell r="G104">
            <v>-2628.6500000000005</v>
          </cell>
          <cell r="K104">
            <v>0</v>
          </cell>
          <cell r="L104">
            <v>0</v>
          </cell>
          <cell r="M104">
            <v>0</v>
          </cell>
          <cell r="N104">
            <v>227</v>
          </cell>
          <cell r="O104">
            <v>180</v>
          </cell>
          <cell r="P104">
            <v>332</v>
          </cell>
          <cell r="T104">
            <v>906.59999999999945</v>
          </cell>
          <cell r="U104">
            <v>958.39999999999873</v>
          </cell>
          <cell r="V104">
            <v>906.59999999999945</v>
          </cell>
          <cell r="W104">
            <v>-1113.5</v>
          </cell>
          <cell r="X104">
            <v>2280.4249999999988</v>
          </cell>
          <cell r="Y104">
            <v>2429.1999999999989</v>
          </cell>
        </row>
        <row r="105">
          <cell r="B105">
            <v>906.59999999999945</v>
          </cell>
          <cell r="C105">
            <v>984.29999999999927</v>
          </cell>
          <cell r="D105">
            <v>906.59999999999945</v>
          </cell>
          <cell r="E105">
            <v>-1385.4500000000007</v>
          </cell>
          <cell r="F105">
            <v>-265.27500000000055</v>
          </cell>
          <cell r="G105">
            <v>-2421.4499999999998</v>
          </cell>
          <cell r="K105">
            <v>0</v>
          </cell>
          <cell r="L105">
            <v>0</v>
          </cell>
          <cell r="M105">
            <v>0</v>
          </cell>
          <cell r="N105">
            <v>238</v>
          </cell>
          <cell r="O105">
            <v>199</v>
          </cell>
          <cell r="P105">
            <v>343</v>
          </cell>
          <cell r="T105">
            <v>906.59999999999945</v>
          </cell>
          <cell r="U105">
            <v>971.34999999999854</v>
          </cell>
          <cell r="V105">
            <v>906.60000000000036</v>
          </cell>
          <cell r="W105">
            <v>-202.37167280154949</v>
          </cell>
          <cell r="X105">
            <v>2218.4249999999997</v>
          </cell>
          <cell r="Y105">
            <v>-1707.6593277654188</v>
          </cell>
        </row>
        <row r="106">
          <cell r="B106">
            <v>906.59999999999945</v>
          </cell>
          <cell r="C106">
            <v>990.77499999999964</v>
          </cell>
          <cell r="D106">
            <v>906.60000000000036</v>
          </cell>
          <cell r="E106">
            <v>-1061.7000000000007</v>
          </cell>
          <cell r="F106">
            <v>-453.05000000000018</v>
          </cell>
          <cell r="G106">
            <v>-2525.0500000000002</v>
          </cell>
          <cell r="K106">
            <v>0</v>
          </cell>
          <cell r="L106">
            <v>0</v>
          </cell>
          <cell r="M106">
            <v>0</v>
          </cell>
          <cell r="N106">
            <v>187</v>
          </cell>
          <cell r="O106">
            <v>177</v>
          </cell>
          <cell r="P106">
            <v>323</v>
          </cell>
          <cell r="T106">
            <v>906.59999999999945</v>
          </cell>
          <cell r="U106">
            <v>977.82499999999982</v>
          </cell>
          <cell r="V106">
            <v>906.59999999999945</v>
          </cell>
          <cell r="W106">
            <v>923.50944106419206</v>
          </cell>
          <cell r="X106">
            <v>2240.4249999999988</v>
          </cell>
          <cell r="Y106">
            <v>-1916.4000000000005</v>
          </cell>
        </row>
        <row r="107">
          <cell r="B107">
            <v>906.59999999999945</v>
          </cell>
          <cell r="C107">
            <v>971.34999999999854</v>
          </cell>
          <cell r="D107">
            <v>906.59999999999945</v>
          </cell>
          <cell r="E107">
            <v>-1450.2000000000007</v>
          </cell>
          <cell r="F107">
            <v>-440.10000000000036</v>
          </cell>
          <cell r="G107">
            <v>-2123.6000000000004</v>
          </cell>
          <cell r="K107">
            <v>0</v>
          </cell>
          <cell r="L107">
            <v>0</v>
          </cell>
          <cell r="M107">
            <v>0</v>
          </cell>
          <cell r="N107">
            <v>244</v>
          </cell>
          <cell r="O107">
            <v>157</v>
          </cell>
          <cell r="P107">
            <v>323</v>
          </cell>
          <cell r="T107">
            <v>906.59999999999945</v>
          </cell>
          <cell r="U107">
            <v>951.92499999999927</v>
          </cell>
          <cell r="V107">
            <v>906.59999999999945</v>
          </cell>
          <cell r="W107">
            <v>-708.49369025900262</v>
          </cell>
          <cell r="X107">
            <v>2235</v>
          </cell>
          <cell r="Y107">
            <v>-211.14044138085137</v>
          </cell>
        </row>
        <row r="108">
          <cell r="B108">
            <v>906.59999999999945</v>
          </cell>
          <cell r="C108">
            <v>977.82499999999891</v>
          </cell>
          <cell r="D108">
            <v>906.59999999999945</v>
          </cell>
          <cell r="E108">
            <v>-1009.9000000000005</v>
          </cell>
          <cell r="F108">
            <v>-407.72500000000036</v>
          </cell>
          <cell r="G108">
            <v>-2317.8500000000004</v>
          </cell>
          <cell r="K108">
            <v>0</v>
          </cell>
          <cell r="L108">
            <v>0</v>
          </cell>
          <cell r="M108">
            <v>0</v>
          </cell>
          <cell r="N108">
            <v>199</v>
          </cell>
          <cell r="O108">
            <v>200</v>
          </cell>
          <cell r="P108">
            <v>321</v>
          </cell>
          <cell r="T108">
            <v>906.59999999999945</v>
          </cell>
          <cell r="U108">
            <v>971.34999999999945</v>
          </cell>
          <cell r="V108">
            <v>906.60000000000036</v>
          </cell>
          <cell r="W108">
            <v>1975.6145792099246</v>
          </cell>
          <cell r="X108">
            <v>2250.3249999999998</v>
          </cell>
          <cell r="Y108">
            <v>-290.86946844541035</v>
          </cell>
        </row>
        <row r="109">
          <cell r="B109">
            <v>906.59999999999945</v>
          </cell>
          <cell r="C109">
            <v>984.30000000000018</v>
          </cell>
          <cell r="D109">
            <v>906.60000000000036</v>
          </cell>
          <cell r="E109">
            <v>-1204.1500000000005</v>
          </cell>
          <cell r="F109">
            <v>-692.625</v>
          </cell>
          <cell r="G109">
            <v>-2563.9000000000005</v>
          </cell>
          <cell r="K109">
            <v>0</v>
          </cell>
          <cell r="L109">
            <v>0</v>
          </cell>
          <cell r="M109">
            <v>0</v>
          </cell>
          <cell r="N109">
            <v>203</v>
          </cell>
          <cell r="O109">
            <v>194</v>
          </cell>
          <cell r="P109">
            <v>321</v>
          </cell>
          <cell r="T109">
            <v>906.59999999999945</v>
          </cell>
          <cell r="U109">
            <v>997.24999999999909</v>
          </cell>
          <cell r="V109">
            <v>922.6</v>
          </cell>
          <cell r="W109">
            <v>2239.1999999999994</v>
          </cell>
          <cell r="X109">
            <v>2276.3249999999994</v>
          </cell>
          <cell r="Y109">
            <v>2477.1999999999998</v>
          </cell>
        </row>
        <row r="110">
          <cell r="B110">
            <v>906.59999999999945</v>
          </cell>
          <cell r="C110">
            <v>1016.6749999999993</v>
          </cell>
          <cell r="D110">
            <v>906.59999999999945</v>
          </cell>
          <cell r="E110">
            <v>-712.05000000000018</v>
          </cell>
          <cell r="F110">
            <v>-466</v>
          </cell>
          <cell r="G110">
            <v>-2434.4000000000005</v>
          </cell>
          <cell r="K110">
            <v>0</v>
          </cell>
          <cell r="L110">
            <v>0</v>
          </cell>
          <cell r="M110">
            <v>0</v>
          </cell>
          <cell r="N110">
            <v>246</v>
          </cell>
          <cell r="O110">
            <v>180</v>
          </cell>
          <cell r="P110">
            <v>323</v>
          </cell>
          <cell r="T110">
            <v>906.59999999999945</v>
          </cell>
          <cell r="U110">
            <v>984.30000000000018</v>
          </cell>
          <cell r="V110">
            <v>906.59999999999945</v>
          </cell>
          <cell r="W110">
            <v>-1230.0500000000002</v>
          </cell>
          <cell r="X110">
            <v>2215.3749999999995</v>
          </cell>
          <cell r="Y110">
            <v>2429.1999999999989</v>
          </cell>
        </row>
        <row r="111">
          <cell r="B111">
            <v>906.59999999999945</v>
          </cell>
          <cell r="C111">
            <v>951.92499999999927</v>
          </cell>
          <cell r="D111">
            <v>906.59999999999945</v>
          </cell>
          <cell r="E111">
            <v>-1204.1500000000005</v>
          </cell>
          <cell r="F111">
            <v>-679.67500000000109</v>
          </cell>
          <cell r="G111">
            <v>-2123.6000000000004</v>
          </cell>
          <cell r="K111">
            <v>0</v>
          </cell>
          <cell r="L111">
            <v>0</v>
          </cell>
          <cell r="M111">
            <v>0</v>
          </cell>
          <cell r="N111">
            <v>233</v>
          </cell>
          <cell r="O111">
            <v>183</v>
          </cell>
          <cell r="P111">
            <v>329</v>
          </cell>
          <cell r="T111">
            <v>906.59999999999945</v>
          </cell>
          <cell r="U111">
            <v>990.77499999999873</v>
          </cell>
          <cell r="V111">
            <v>906.60000000000036</v>
          </cell>
          <cell r="W111">
            <v>2261.1999999999994</v>
          </cell>
          <cell r="X111">
            <v>2211.3749999999995</v>
          </cell>
          <cell r="Y111">
            <v>577.85445385720914</v>
          </cell>
        </row>
        <row r="112">
          <cell r="B112">
            <v>906.59999999999945</v>
          </cell>
          <cell r="C112">
            <v>919.54999999999927</v>
          </cell>
          <cell r="D112">
            <v>906.60000000000036</v>
          </cell>
          <cell r="E112">
            <v>-1087.6000000000004</v>
          </cell>
          <cell r="F112">
            <v>-517.80000000000018</v>
          </cell>
          <cell r="G112">
            <v>-2304.9000000000005</v>
          </cell>
          <cell r="K112">
            <v>0</v>
          </cell>
          <cell r="L112">
            <v>0</v>
          </cell>
          <cell r="M112">
            <v>0</v>
          </cell>
          <cell r="N112">
            <v>213</v>
          </cell>
          <cell r="O112">
            <v>174</v>
          </cell>
          <cell r="P112">
            <v>310</v>
          </cell>
          <cell r="T112">
            <v>906.59999999999945</v>
          </cell>
          <cell r="U112">
            <v>971.35000000000036</v>
          </cell>
          <cell r="V112">
            <v>906.59999999999945</v>
          </cell>
          <cell r="W112">
            <v>2263.993863051121</v>
          </cell>
          <cell r="X112">
            <v>1348.1314221816258</v>
          </cell>
          <cell r="Y112">
            <v>388.17226478575549</v>
          </cell>
        </row>
        <row r="113">
          <cell r="B113">
            <v>906.59999999999945</v>
          </cell>
          <cell r="C113">
            <v>1010.1999999999989</v>
          </cell>
          <cell r="D113">
            <v>906.59999999999945</v>
          </cell>
          <cell r="E113">
            <v>-504.85000000000036</v>
          </cell>
          <cell r="F113">
            <v>-556.65000000000055</v>
          </cell>
          <cell r="G113">
            <v>-2240.1500000000005</v>
          </cell>
          <cell r="K113">
            <v>0</v>
          </cell>
          <cell r="L113">
            <v>0</v>
          </cell>
          <cell r="M113">
            <v>0</v>
          </cell>
          <cell r="N113">
            <v>226</v>
          </cell>
          <cell r="O113">
            <v>201</v>
          </cell>
          <cell r="P113">
            <v>335</v>
          </cell>
          <cell r="T113">
            <v>906.59999999999945</v>
          </cell>
          <cell r="U113">
            <v>945.44999999999982</v>
          </cell>
          <cell r="V113">
            <v>906.59999999999945</v>
          </cell>
          <cell r="W113">
            <v>2263.1999999999998</v>
          </cell>
          <cell r="X113">
            <v>1508.6845624665184</v>
          </cell>
          <cell r="Y113">
            <v>2465.1999999999998</v>
          </cell>
        </row>
        <row r="114">
          <cell r="B114">
            <v>906.59999999999945</v>
          </cell>
          <cell r="C114">
            <v>971.34999999999945</v>
          </cell>
          <cell r="D114">
            <v>906.59999999999945</v>
          </cell>
          <cell r="E114">
            <v>-1100.5500000000002</v>
          </cell>
          <cell r="F114">
            <v>-355.92500000000109</v>
          </cell>
          <cell r="G114">
            <v>-2188.3500000000004</v>
          </cell>
          <cell r="K114">
            <v>0</v>
          </cell>
          <cell r="L114">
            <v>0</v>
          </cell>
          <cell r="M114">
            <v>0</v>
          </cell>
          <cell r="N114">
            <v>222</v>
          </cell>
          <cell r="O114">
            <v>159</v>
          </cell>
          <cell r="P114">
            <v>313</v>
          </cell>
          <cell r="T114">
            <v>906.59999999999945</v>
          </cell>
          <cell r="U114">
            <v>971.34999999999945</v>
          </cell>
          <cell r="V114">
            <v>906.59999999999945</v>
          </cell>
          <cell r="W114">
            <v>733.34271733980904</v>
          </cell>
          <cell r="X114">
            <v>2252.8999999999996</v>
          </cell>
          <cell r="Y114">
            <v>580.77354407763733</v>
          </cell>
        </row>
        <row r="115">
          <cell r="B115">
            <v>906.59999999999945</v>
          </cell>
          <cell r="C115">
            <v>964.87499999999909</v>
          </cell>
          <cell r="D115">
            <v>906.59999999999945</v>
          </cell>
          <cell r="E115">
            <v>-880.40000000000055</v>
          </cell>
          <cell r="F115">
            <v>-491.90000000000055</v>
          </cell>
          <cell r="G115">
            <v>-2447.3500000000004</v>
          </cell>
          <cell r="K115">
            <v>0</v>
          </cell>
          <cell r="L115">
            <v>0</v>
          </cell>
          <cell r="M115">
            <v>0</v>
          </cell>
          <cell r="N115">
            <v>208</v>
          </cell>
          <cell r="O115">
            <v>168</v>
          </cell>
          <cell r="P115">
            <v>318</v>
          </cell>
          <cell r="T115">
            <v>906.59999999999945</v>
          </cell>
          <cell r="U115">
            <v>958.39999999999964</v>
          </cell>
          <cell r="V115">
            <v>906.60000000000036</v>
          </cell>
          <cell r="W115">
            <v>2281.1999999999994</v>
          </cell>
          <cell r="X115">
            <v>290.54927018312253</v>
          </cell>
          <cell r="Y115">
            <v>-1911.6604682361265</v>
          </cell>
        </row>
        <row r="116">
          <cell r="B116">
            <v>906.59999999999945</v>
          </cell>
          <cell r="C116">
            <v>997.25</v>
          </cell>
          <cell r="D116">
            <v>906.59999999999945</v>
          </cell>
          <cell r="E116">
            <v>-1217.1000000000004</v>
          </cell>
          <cell r="F116">
            <v>-330.02500000000055</v>
          </cell>
          <cell r="G116">
            <v>-2486.1999999999998</v>
          </cell>
          <cell r="K116">
            <v>0</v>
          </cell>
          <cell r="L116">
            <v>0</v>
          </cell>
          <cell r="M116">
            <v>0</v>
          </cell>
          <cell r="N116">
            <v>219</v>
          </cell>
          <cell r="O116">
            <v>194</v>
          </cell>
          <cell r="P116">
            <v>307</v>
          </cell>
          <cell r="T116">
            <v>906.59999999999945</v>
          </cell>
          <cell r="U116">
            <v>964.875</v>
          </cell>
          <cell r="V116">
            <v>919.54999999999927</v>
          </cell>
          <cell r="W116">
            <v>-996.95000000000073</v>
          </cell>
          <cell r="X116">
            <v>2227.4749999999999</v>
          </cell>
          <cell r="Y116">
            <v>2161.62323596646</v>
          </cell>
        </row>
        <row r="117">
          <cell r="B117">
            <v>906.59999999999945</v>
          </cell>
          <cell r="C117">
            <v>964.87499999999909</v>
          </cell>
          <cell r="D117">
            <v>906.59999999999945</v>
          </cell>
          <cell r="E117">
            <v>-1281.8500000000004</v>
          </cell>
          <cell r="F117">
            <v>-252.32500000000073</v>
          </cell>
          <cell r="G117">
            <v>-2279</v>
          </cell>
          <cell r="K117">
            <v>0</v>
          </cell>
          <cell r="L117">
            <v>0</v>
          </cell>
          <cell r="M117">
            <v>0</v>
          </cell>
          <cell r="N117">
            <v>212</v>
          </cell>
          <cell r="O117">
            <v>183</v>
          </cell>
          <cell r="P117">
            <v>318</v>
          </cell>
          <cell r="T117">
            <v>906.59999999999945</v>
          </cell>
          <cell r="U117">
            <v>958.39999999999873</v>
          </cell>
          <cell r="V117">
            <v>906.59999999999945</v>
          </cell>
          <cell r="W117">
            <v>2289.1999999999994</v>
          </cell>
          <cell r="X117">
            <v>2212.8999999999996</v>
          </cell>
          <cell r="Y117">
            <v>-2084.75</v>
          </cell>
        </row>
        <row r="118">
          <cell r="B118">
            <v>906.59999999999945</v>
          </cell>
          <cell r="C118">
            <v>984.29999999999927</v>
          </cell>
          <cell r="D118">
            <v>906.59999999999945</v>
          </cell>
          <cell r="E118">
            <v>-1243</v>
          </cell>
          <cell r="F118">
            <v>-291.17500000000109</v>
          </cell>
          <cell r="G118">
            <v>-2097.7000000000007</v>
          </cell>
          <cell r="K118">
            <v>0</v>
          </cell>
          <cell r="L118">
            <v>0</v>
          </cell>
          <cell r="M118">
            <v>0</v>
          </cell>
          <cell r="N118">
            <v>237</v>
          </cell>
          <cell r="O118">
            <v>179</v>
          </cell>
          <cell r="P118">
            <v>327</v>
          </cell>
          <cell r="T118">
            <v>906.59999999999945</v>
          </cell>
          <cell r="U118">
            <v>971.34999999999854</v>
          </cell>
          <cell r="V118">
            <v>906.60000000000036</v>
          </cell>
          <cell r="W118">
            <v>2265.1999999999998</v>
          </cell>
          <cell r="X118">
            <v>2250.0499999999997</v>
          </cell>
          <cell r="Y118">
            <v>2423.1999999999998</v>
          </cell>
        </row>
        <row r="119">
          <cell r="B119">
            <v>906.59999999999945</v>
          </cell>
          <cell r="C119">
            <v>964.875</v>
          </cell>
          <cell r="D119">
            <v>906.60000000000036</v>
          </cell>
          <cell r="E119">
            <v>-1385.4500000000007</v>
          </cell>
          <cell r="F119">
            <v>-576.07500000000073</v>
          </cell>
          <cell r="G119">
            <v>-2408.5</v>
          </cell>
          <cell r="K119">
            <v>0</v>
          </cell>
          <cell r="L119">
            <v>0</v>
          </cell>
          <cell r="M119">
            <v>0</v>
          </cell>
          <cell r="N119">
            <v>223</v>
          </cell>
          <cell r="O119">
            <v>161</v>
          </cell>
          <cell r="P119">
            <v>326</v>
          </cell>
          <cell r="T119">
            <v>906.59999999999945</v>
          </cell>
          <cell r="U119">
            <v>945.44999999999982</v>
          </cell>
          <cell r="V119">
            <v>906.60000000000036</v>
          </cell>
          <cell r="W119">
            <v>-542.47976627114645</v>
          </cell>
          <cell r="X119">
            <v>2232.4249999999997</v>
          </cell>
          <cell r="Y119">
            <v>-1883.2902866041388</v>
          </cell>
        </row>
        <row r="120">
          <cell r="B120">
            <v>906.59999999999945</v>
          </cell>
          <cell r="C120">
            <v>984.29999999999927</v>
          </cell>
          <cell r="D120">
            <v>777.09999999999945</v>
          </cell>
          <cell r="E120">
            <v>-945.15000000000055</v>
          </cell>
          <cell r="F120">
            <v>-660.25</v>
          </cell>
          <cell r="G120">
            <v>-2732.25</v>
          </cell>
          <cell r="K120">
            <v>0</v>
          </cell>
          <cell r="L120">
            <v>0</v>
          </cell>
          <cell r="M120">
            <v>0</v>
          </cell>
          <cell r="N120">
            <v>212</v>
          </cell>
          <cell r="O120">
            <v>203</v>
          </cell>
          <cell r="P120">
            <v>352</v>
          </cell>
          <cell r="T120">
            <v>906.59999999999945</v>
          </cell>
          <cell r="U120">
            <v>938.97499999999945</v>
          </cell>
          <cell r="V120">
            <v>906.60000000000036</v>
          </cell>
          <cell r="W120">
            <v>1599.5997963661139</v>
          </cell>
          <cell r="X120">
            <v>2233.4749999999995</v>
          </cell>
          <cell r="Y120">
            <v>2417.1999999999989</v>
          </cell>
        </row>
        <row r="121">
          <cell r="B121">
            <v>906.59999999999945</v>
          </cell>
          <cell r="C121">
            <v>971.34999999999945</v>
          </cell>
          <cell r="D121">
            <v>906.60000000000036</v>
          </cell>
          <cell r="E121">
            <v>-1113.5</v>
          </cell>
          <cell r="F121">
            <v>-576.07500000000073</v>
          </cell>
          <cell r="G121">
            <v>-2576.8500000000004</v>
          </cell>
          <cell r="K121">
            <v>0</v>
          </cell>
          <cell r="L121">
            <v>0</v>
          </cell>
          <cell r="M121">
            <v>0</v>
          </cell>
          <cell r="N121">
            <v>226</v>
          </cell>
          <cell r="O121">
            <v>191</v>
          </cell>
          <cell r="P121">
            <v>314</v>
          </cell>
          <cell r="T121">
            <v>906.59999999999945</v>
          </cell>
          <cell r="U121">
            <v>1023.1499999999996</v>
          </cell>
          <cell r="V121">
            <v>906.60000000000036</v>
          </cell>
          <cell r="W121">
            <v>2309.1999999999994</v>
          </cell>
          <cell r="X121">
            <v>2285.8499999999995</v>
          </cell>
          <cell r="Y121">
            <v>323.50163319371268</v>
          </cell>
        </row>
        <row r="122">
          <cell r="B122">
            <v>906.59999999999945</v>
          </cell>
          <cell r="C122">
            <v>958.39999999999964</v>
          </cell>
          <cell r="D122">
            <v>906.59999999999945</v>
          </cell>
          <cell r="E122">
            <v>-919.25</v>
          </cell>
          <cell r="F122">
            <v>-459.52500000000055</v>
          </cell>
          <cell r="G122">
            <v>-2188.3500000000004</v>
          </cell>
          <cell r="K122">
            <v>0</v>
          </cell>
          <cell r="L122">
            <v>0</v>
          </cell>
          <cell r="M122">
            <v>0</v>
          </cell>
          <cell r="N122">
            <v>233</v>
          </cell>
          <cell r="O122">
            <v>161</v>
          </cell>
          <cell r="P122">
            <v>328</v>
          </cell>
          <cell r="T122">
            <v>906.59999999999945</v>
          </cell>
          <cell r="U122">
            <v>990.77499999999873</v>
          </cell>
          <cell r="V122">
            <v>906.59999999999945</v>
          </cell>
          <cell r="W122">
            <v>2243.1999999999998</v>
          </cell>
          <cell r="X122">
            <v>2230.9999999999995</v>
          </cell>
          <cell r="Y122">
            <v>-2382.6000000000004</v>
          </cell>
        </row>
        <row r="123">
          <cell r="B123">
            <v>906.59999999999945</v>
          </cell>
          <cell r="C123">
            <v>938.97499999999854</v>
          </cell>
          <cell r="D123">
            <v>906.60000000000036</v>
          </cell>
          <cell r="E123">
            <v>-958.10000000000036</v>
          </cell>
          <cell r="F123">
            <v>-517.80000000000018</v>
          </cell>
          <cell r="G123">
            <v>-2460.3000000000002</v>
          </cell>
          <cell r="K123">
            <v>0</v>
          </cell>
          <cell r="L123">
            <v>0</v>
          </cell>
          <cell r="M123">
            <v>0</v>
          </cell>
          <cell r="N123">
            <v>231</v>
          </cell>
          <cell r="O123">
            <v>194</v>
          </cell>
          <cell r="P123">
            <v>324</v>
          </cell>
          <cell r="T123">
            <v>906.59999999999945</v>
          </cell>
          <cell r="U123">
            <v>971.35000000000036</v>
          </cell>
          <cell r="V123">
            <v>906.60000000000036</v>
          </cell>
          <cell r="W123">
            <v>2261.1999999999994</v>
          </cell>
          <cell r="X123">
            <v>1573.9484409784477</v>
          </cell>
          <cell r="Y123">
            <v>-1462.4760560015288</v>
          </cell>
        </row>
        <row r="124">
          <cell r="B124">
            <v>906.59999999999945</v>
          </cell>
          <cell r="C124">
            <v>984.29999999999927</v>
          </cell>
          <cell r="D124">
            <v>906.59999999999945</v>
          </cell>
          <cell r="E124">
            <v>-906.30000000000018</v>
          </cell>
          <cell r="F124">
            <v>-207</v>
          </cell>
          <cell r="G124">
            <v>-2032.9500000000007</v>
          </cell>
          <cell r="K124">
            <v>0</v>
          </cell>
          <cell r="L124">
            <v>0</v>
          </cell>
          <cell r="M124">
            <v>0</v>
          </cell>
          <cell r="N124">
            <v>206</v>
          </cell>
          <cell r="O124">
            <v>174</v>
          </cell>
          <cell r="P124">
            <v>321</v>
          </cell>
          <cell r="T124">
            <v>906.59999999999945</v>
          </cell>
          <cell r="U124">
            <v>964.875</v>
          </cell>
          <cell r="V124">
            <v>906.59999999999945</v>
          </cell>
          <cell r="W124">
            <v>2275.1999999999998</v>
          </cell>
          <cell r="X124">
            <v>2273.3749999999995</v>
          </cell>
          <cell r="Y124">
            <v>-275.55766165008708</v>
          </cell>
        </row>
        <row r="125">
          <cell r="B125">
            <v>906.59999999999945</v>
          </cell>
          <cell r="C125">
            <v>971.34999999999945</v>
          </cell>
          <cell r="D125">
            <v>906.60000000000036</v>
          </cell>
          <cell r="E125">
            <v>-1255.9500000000007</v>
          </cell>
          <cell r="F125">
            <v>-226.42500000000018</v>
          </cell>
          <cell r="G125">
            <v>-2667.5</v>
          </cell>
          <cell r="K125">
            <v>0</v>
          </cell>
          <cell r="L125">
            <v>0</v>
          </cell>
          <cell r="M125">
            <v>0</v>
          </cell>
          <cell r="N125">
            <v>225</v>
          </cell>
          <cell r="O125">
            <v>184</v>
          </cell>
          <cell r="P125">
            <v>314</v>
          </cell>
          <cell r="T125">
            <v>906.59999999999945</v>
          </cell>
          <cell r="U125">
            <v>926.02499999999964</v>
          </cell>
          <cell r="V125">
            <v>906.59999999999945</v>
          </cell>
          <cell r="W125">
            <v>-684.04712272285769</v>
          </cell>
          <cell r="X125">
            <v>2276.7999999999993</v>
          </cell>
          <cell r="Y125">
            <v>2433.1999999999998</v>
          </cell>
        </row>
        <row r="126">
          <cell r="B126">
            <v>906.59999999999945</v>
          </cell>
          <cell r="C126">
            <v>971.34999999999945</v>
          </cell>
          <cell r="D126">
            <v>906.59999999999945</v>
          </cell>
          <cell r="E126">
            <v>-1022.8500000000004</v>
          </cell>
          <cell r="F126">
            <v>-245.85000000000036</v>
          </cell>
          <cell r="G126">
            <v>-2512.1000000000004</v>
          </cell>
          <cell r="K126">
            <v>0</v>
          </cell>
          <cell r="L126">
            <v>0</v>
          </cell>
          <cell r="M126">
            <v>0</v>
          </cell>
          <cell r="N126">
            <v>253</v>
          </cell>
          <cell r="O126">
            <v>171</v>
          </cell>
          <cell r="P126">
            <v>294</v>
          </cell>
          <cell r="T126">
            <v>906.59999999999945</v>
          </cell>
          <cell r="U126">
            <v>932.5</v>
          </cell>
          <cell r="V126">
            <v>906.59999999999945</v>
          </cell>
          <cell r="W126">
            <v>1909.7986760049721</v>
          </cell>
          <cell r="X126">
            <v>2271.849999999999</v>
          </cell>
          <cell r="Y126">
            <v>-621.76696373756704</v>
          </cell>
        </row>
        <row r="127">
          <cell r="B127">
            <v>906.59999999999945</v>
          </cell>
          <cell r="C127">
            <v>1036.0999999999995</v>
          </cell>
          <cell r="D127">
            <v>906.59999999999945</v>
          </cell>
          <cell r="E127">
            <v>-880.40000000000055</v>
          </cell>
          <cell r="F127">
            <v>-478.95000000000073</v>
          </cell>
          <cell r="G127">
            <v>-2395.5500000000002</v>
          </cell>
          <cell r="K127">
            <v>0</v>
          </cell>
          <cell r="L127">
            <v>0</v>
          </cell>
          <cell r="M127">
            <v>0</v>
          </cell>
          <cell r="N127">
            <v>216</v>
          </cell>
          <cell r="O127">
            <v>176</v>
          </cell>
          <cell r="P127">
            <v>332</v>
          </cell>
          <cell r="T127">
            <v>906.59999999999945</v>
          </cell>
          <cell r="U127">
            <v>977.82499999999982</v>
          </cell>
          <cell r="V127">
            <v>906.60000000000036</v>
          </cell>
          <cell r="W127">
            <v>2283.1999999999998</v>
          </cell>
          <cell r="X127">
            <v>2315.2749999999996</v>
          </cell>
          <cell r="Y127">
            <v>2471.1999999999998</v>
          </cell>
        </row>
        <row r="128">
          <cell r="B128">
            <v>906.59999999999945</v>
          </cell>
          <cell r="C128">
            <v>926.02499999999964</v>
          </cell>
          <cell r="D128">
            <v>906.59999999999945</v>
          </cell>
          <cell r="E128">
            <v>-932.20000000000073</v>
          </cell>
          <cell r="F128">
            <v>-342.97500000000036</v>
          </cell>
          <cell r="G128">
            <v>-2240.1500000000005</v>
          </cell>
          <cell r="K128">
            <v>0</v>
          </cell>
          <cell r="L128">
            <v>0</v>
          </cell>
          <cell r="M128">
            <v>0</v>
          </cell>
          <cell r="N128">
            <v>251</v>
          </cell>
          <cell r="O128">
            <v>169</v>
          </cell>
          <cell r="P128">
            <v>313</v>
          </cell>
          <cell r="T128">
            <v>906.59999999999945</v>
          </cell>
          <cell r="U128">
            <v>971.34999999999854</v>
          </cell>
          <cell r="V128">
            <v>906.59999999999945</v>
          </cell>
          <cell r="W128">
            <v>2233.1999999999998</v>
          </cell>
          <cell r="X128">
            <v>2239.9499999999998</v>
          </cell>
          <cell r="Y128">
            <v>2305.3762647245812</v>
          </cell>
        </row>
        <row r="129">
          <cell r="B129">
            <v>906.59999999999945</v>
          </cell>
          <cell r="C129">
            <v>990.77499999999964</v>
          </cell>
          <cell r="D129">
            <v>906.59999999999945</v>
          </cell>
          <cell r="E129">
            <v>-971.05000000000018</v>
          </cell>
          <cell r="F129">
            <v>-517.80000000000018</v>
          </cell>
          <cell r="G129">
            <v>-2227.2000000000007</v>
          </cell>
          <cell r="K129">
            <v>0</v>
          </cell>
          <cell r="L129">
            <v>0</v>
          </cell>
          <cell r="M129">
            <v>0</v>
          </cell>
          <cell r="N129">
            <v>223</v>
          </cell>
          <cell r="O129">
            <v>199</v>
          </cell>
          <cell r="P129">
            <v>342</v>
          </cell>
          <cell r="T129">
            <v>906.59999999999945</v>
          </cell>
          <cell r="U129">
            <v>958.39999999999964</v>
          </cell>
          <cell r="V129">
            <v>906.60000000000036</v>
          </cell>
          <cell r="W129">
            <v>-945.15000000000055</v>
          </cell>
          <cell r="X129">
            <v>2204.5249999999992</v>
          </cell>
          <cell r="Y129">
            <v>2469.1999999999989</v>
          </cell>
        </row>
        <row r="130">
          <cell r="B130">
            <v>906.59999999999945</v>
          </cell>
          <cell r="C130">
            <v>958.39999999999964</v>
          </cell>
          <cell r="D130">
            <v>906.59999999999945</v>
          </cell>
          <cell r="E130">
            <v>-996.95000000000073</v>
          </cell>
          <cell r="F130">
            <v>-245.85000000000036</v>
          </cell>
          <cell r="G130">
            <v>-2291.9499999999998</v>
          </cell>
          <cell r="K130">
            <v>0</v>
          </cell>
          <cell r="L130">
            <v>0</v>
          </cell>
          <cell r="M130">
            <v>0</v>
          </cell>
          <cell r="N130">
            <v>238</v>
          </cell>
          <cell r="O130">
            <v>194</v>
          </cell>
          <cell r="P130">
            <v>322</v>
          </cell>
          <cell r="T130">
            <v>906.59999999999945</v>
          </cell>
          <cell r="U130">
            <v>1023.1499999999996</v>
          </cell>
          <cell r="V130">
            <v>906.59999999999945</v>
          </cell>
          <cell r="W130">
            <v>365.89586561942338</v>
          </cell>
          <cell r="X130">
            <v>2197.9499999999998</v>
          </cell>
          <cell r="Y130">
            <v>2396.6207468303055</v>
          </cell>
        </row>
        <row r="131">
          <cell r="B131">
            <v>906.59999999999945</v>
          </cell>
          <cell r="C131">
            <v>971.34999999999945</v>
          </cell>
          <cell r="D131">
            <v>906.59999999999945</v>
          </cell>
          <cell r="E131">
            <v>-867.45000000000073</v>
          </cell>
          <cell r="F131">
            <v>-427.15000000000055</v>
          </cell>
          <cell r="G131">
            <v>-2408.5</v>
          </cell>
          <cell r="K131">
            <v>0</v>
          </cell>
          <cell r="L131">
            <v>0</v>
          </cell>
          <cell r="M131">
            <v>0</v>
          </cell>
          <cell r="N131">
            <v>211</v>
          </cell>
          <cell r="O131">
            <v>178</v>
          </cell>
          <cell r="P131">
            <v>326</v>
          </cell>
          <cell r="T131">
            <v>906.59999999999945</v>
          </cell>
          <cell r="U131">
            <v>945.44999999999982</v>
          </cell>
          <cell r="V131">
            <v>906.59999999999945</v>
          </cell>
          <cell r="W131">
            <v>2215.1999999999998</v>
          </cell>
          <cell r="X131">
            <v>2248.8999999999992</v>
          </cell>
          <cell r="Y131">
            <v>127.65352470660628</v>
          </cell>
        </row>
        <row r="132">
          <cell r="B132">
            <v>906.59999999999945</v>
          </cell>
          <cell r="C132">
            <v>1003.7249999999985</v>
          </cell>
          <cell r="D132">
            <v>906.59999999999945</v>
          </cell>
          <cell r="E132">
            <v>-1398.4000000000005</v>
          </cell>
          <cell r="F132">
            <v>-440.10000000000036</v>
          </cell>
          <cell r="G132">
            <v>-2084.75</v>
          </cell>
          <cell r="K132">
            <v>0</v>
          </cell>
          <cell r="L132">
            <v>0</v>
          </cell>
          <cell r="M132">
            <v>0</v>
          </cell>
          <cell r="N132">
            <v>212</v>
          </cell>
          <cell r="O132">
            <v>202</v>
          </cell>
          <cell r="P132">
            <v>337</v>
          </cell>
          <cell r="T132">
            <v>906.59999999999945</v>
          </cell>
          <cell r="U132">
            <v>958.39999999999964</v>
          </cell>
          <cell r="V132">
            <v>906.59999999999945</v>
          </cell>
          <cell r="W132">
            <v>2229.1999999999994</v>
          </cell>
          <cell r="X132">
            <v>2190.9999999999995</v>
          </cell>
          <cell r="Y132">
            <v>2502.1499999999996</v>
          </cell>
        </row>
        <row r="133">
          <cell r="B133">
            <v>906.59999999999945</v>
          </cell>
          <cell r="C133">
            <v>964.875</v>
          </cell>
          <cell r="D133">
            <v>906.59999999999945</v>
          </cell>
          <cell r="E133">
            <v>-1178.25</v>
          </cell>
          <cell r="F133">
            <v>-362.40000000000055</v>
          </cell>
          <cell r="G133">
            <v>-2369.6500000000005</v>
          </cell>
          <cell r="K133">
            <v>0</v>
          </cell>
          <cell r="L133">
            <v>0</v>
          </cell>
          <cell r="M133">
            <v>0</v>
          </cell>
          <cell r="N133">
            <v>214</v>
          </cell>
          <cell r="O133">
            <v>190</v>
          </cell>
          <cell r="P133">
            <v>331</v>
          </cell>
          <cell r="T133">
            <v>906.59999999999945</v>
          </cell>
          <cell r="U133">
            <v>938.97499999999945</v>
          </cell>
          <cell r="V133">
            <v>906.59999999999945</v>
          </cell>
          <cell r="W133">
            <v>2295.1999999999998</v>
          </cell>
          <cell r="X133">
            <v>2255.3749999999995</v>
          </cell>
          <cell r="Y133">
            <v>2192.0345346989889</v>
          </cell>
        </row>
        <row r="134">
          <cell r="B134">
            <v>906.59999999999945</v>
          </cell>
          <cell r="C134">
            <v>971.35000000000036</v>
          </cell>
          <cell r="D134">
            <v>906.59999999999945</v>
          </cell>
          <cell r="E134">
            <v>-1074.6500000000005</v>
          </cell>
          <cell r="F134">
            <v>-427.15000000000055</v>
          </cell>
          <cell r="G134">
            <v>-2628.6500000000005</v>
          </cell>
          <cell r="K134">
            <v>0</v>
          </cell>
          <cell r="L134">
            <v>0</v>
          </cell>
          <cell r="M134">
            <v>0</v>
          </cell>
          <cell r="N134">
            <v>233</v>
          </cell>
          <cell r="O134">
            <v>196</v>
          </cell>
          <cell r="P134">
            <v>332</v>
          </cell>
          <cell r="T134">
            <v>906.59999999999945</v>
          </cell>
          <cell r="U134">
            <v>932.5</v>
          </cell>
          <cell r="V134">
            <v>906.60000000000036</v>
          </cell>
          <cell r="W134">
            <v>2243.1999999999998</v>
          </cell>
          <cell r="X134">
            <v>1516.3956882200494</v>
          </cell>
          <cell r="Y134">
            <v>2459.1999999999989</v>
          </cell>
        </row>
        <row r="135">
          <cell r="B135">
            <v>906.59999999999945</v>
          </cell>
          <cell r="C135">
            <v>945.44999999999891</v>
          </cell>
          <cell r="D135">
            <v>906.60000000000036</v>
          </cell>
          <cell r="E135">
            <v>-867.45000000000073</v>
          </cell>
          <cell r="F135">
            <v>-530.75</v>
          </cell>
          <cell r="G135">
            <v>-2240.1500000000005</v>
          </cell>
          <cell r="K135">
            <v>0</v>
          </cell>
          <cell r="L135">
            <v>0</v>
          </cell>
          <cell r="M135">
            <v>0</v>
          </cell>
          <cell r="N135">
            <v>223</v>
          </cell>
          <cell r="O135">
            <v>186</v>
          </cell>
          <cell r="P135">
            <v>312</v>
          </cell>
          <cell r="T135">
            <v>906.59999999999945</v>
          </cell>
          <cell r="U135">
            <v>958.39999999999964</v>
          </cell>
          <cell r="V135">
            <v>906.59999999999945</v>
          </cell>
          <cell r="W135">
            <v>2247.1999999999989</v>
          </cell>
          <cell r="X135">
            <v>1547.3138130589396</v>
          </cell>
          <cell r="Y135">
            <v>2423.1999999999998</v>
          </cell>
        </row>
        <row r="136">
          <cell r="B136">
            <v>906.59999999999945</v>
          </cell>
          <cell r="C136">
            <v>1023.1499999999987</v>
          </cell>
          <cell r="D136">
            <v>906.59999999999945</v>
          </cell>
          <cell r="E136">
            <v>-1411.3500000000004</v>
          </cell>
          <cell r="F136">
            <v>-712.05000000000018</v>
          </cell>
          <cell r="G136">
            <v>-2162.4500000000007</v>
          </cell>
          <cell r="K136">
            <v>0</v>
          </cell>
          <cell r="L136">
            <v>0</v>
          </cell>
          <cell r="M136">
            <v>0</v>
          </cell>
          <cell r="N136">
            <v>220</v>
          </cell>
          <cell r="O136">
            <v>173</v>
          </cell>
          <cell r="P136">
            <v>304</v>
          </cell>
          <cell r="T136">
            <v>906.59999999999945</v>
          </cell>
          <cell r="U136">
            <v>971.34999999999945</v>
          </cell>
          <cell r="V136">
            <v>906.59999999999945</v>
          </cell>
          <cell r="W136">
            <v>-1411.3500000000004</v>
          </cell>
          <cell r="X136">
            <v>1792.3539900946184</v>
          </cell>
          <cell r="Y136">
            <v>2449.1999999999989</v>
          </cell>
        </row>
        <row r="137">
          <cell r="B137">
            <v>906.59999999999945</v>
          </cell>
          <cell r="C137">
            <v>945.44999999999891</v>
          </cell>
          <cell r="D137">
            <v>906.59999999999945</v>
          </cell>
          <cell r="E137">
            <v>-1100.5500000000002</v>
          </cell>
          <cell r="F137">
            <v>-304.125</v>
          </cell>
          <cell r="G137">
            <v>-2045.9000000000005</v>
          </cell>
          <cell r="K137">
            <v>0</v>
          </cell>
          <cell r="L137">
            <v>0</v>
          </cell>
          <cell r="M137">
            <v>0</v>
          </cell>
          <cell r="N137">
            <v>219</v>
          </cell>
          <cell r="O137">
            <v>178</v>
          </cell>
          <cell r="P137">
            <v>315</v>
          </cell>
          <cell r="T137">
            <v>906.59999999999945</v>
          </cell>
          <cell r="U137">
            <v>964.87499999999909</v>
          </cell>
          <cell r="V137">
            <v>906.60000000000036</v>
          </cell>
          <cell r="W137">
            <v>2225.1999999999998</v>
          </cell>
          <cell r="X137">
            <v>2239.474999999999</v>
          </cell>
          <cell r="Y137">
            <v>2455.1999999999998</v>
          </cell>
        </row>
        <row r="138">
          <cell r="B138">
            <v>906.59999999999945</v>
          </cell>
          <cell r="C138">
            <v>977.82499999999891</v>
          </cell>
          <cell r="D138">
            <v>906.59999999999945</v>
          </cell>
          <cell r="E138">
            <v>-1009.9000000000005</v>
          </cell>
          <cell r="F138">
            <v>-232.90000000000055</v>
          </cell>
          <cell r="G138">
            <v>-2369.6500000000005</v>
          </cell>
          <cell r="K138">
            <v>0</v>
          </cell>
          <cell r="L138">
            <v>0</v>
          </cell>
          <cell r="M138">
            <v>0</v>
          </cell>
          <cell r="N138">
            <v>213</v>
          </cell>
          <cell r="O138">
            <v>179</v>
          </cell>
          <cell r="P138">
            <v>341</v>
          </cell>
          <cell r="T138">
            <v>906.59999999999945</v>
          </cell>
          <cell r="U138">
            <v>1023.1499999999996</v>
          </cell>
          <cell r="V138">
            <v>906.59999999999945</v>
          </cell>
          <cell r="W138">
            <v>2241.1999999999994</v>
          </cell>
          <cell r="X138">
            <v>2249.3749999999991</v>
          </cell>
          <cell r="Y138">
            <v>831.82252150774048</v>
          </cell>
        </row>
        <row r="139">
          <cell r="B139">
            <v>906.59999999999945</v>
          </cell>
          <cell r="C139">
            <v>951.92499999999927</v>
          </cell>
          <cell r="D139">
            <v>906.59999999999945</v>
          </cell>
          <cell r="E139">
            <v>-945.15000000000055</v>
          </cell>
          <cell r="F139">
            <v>-219.95000000000073</v>
          </cell>
          <cell r="G139">
            <v>-2266.0500000000002</v>
          </cell>
          <cell r="K139">
            <v>0</v>
          </cell>
          <cell r="L139">
            <v>0</v>
          </cell>
          <cell r="M139">
            <v>0</v>
          </cell>
          <cell r="N139">
            <v>246</v>
          </cell>
          <cell r="O139">
            <v>203</v>
          </cell>
          <cell r="P139">
            <v>291</v>
          </cell>
          <cell r="T139">
            <v>906.59999999999945</v>
          </cell>
          <cell r="U139">
            <v>990.77499999999964</v>
          </cell>
          <cell r="V139">
            <v>906.60000000000036</v>
          </cell>
          <cell r="W139">
            <v>435.1988039051862</v>
          </cell>
          <cell r="X139">
            <v>2275.9499999999994</v>
          </cell>
          <cell r="Y139">
            <v>2417.1999999999989</v>
          </cell>
        </row>
        <row r="140">
          <cell r="B140">
            <v>906.59999999999945</v>
          </cell>
          <cell r="C140">
            <v>984.29999999999927</v>
          </cell>
          <cell r="D140">
            <v>906.59999999999945</v>
          </cell>
          <cell r="E140">
            <v>-880.40000000000055</v>
          </cell>
          <cell r="F140">
            <v>-712.05000000000018</v>
          </cell>
          <cell r="G140">
            <v>-2188.3500000000004</v>
          </cell>
          <cell r="K140">
            <v>0</v>
          </cell>
          <cell r="L140">
            <v>0</v>
          </cell>
          <cell r="M140">
            <v>0</v>
          </cell>
          <cell r="N140">
            <v>199</v>
          </cell>
          <cell r="O140">
            <v>157</v>
          </cell>
          <cell r="P140">
            <v>335</v>
          </cell>
          <cell r="T140">
            <v>906.59999999999945</v>
          </cell>
          <cell r="U140">
            <v>984.29999999999927</v>
          </cell>
          <cell r="V140">
            <v>906.60000000000036</v>
          </cell>
          <cell r="W140">
            <v>2273.1999999999998</v>
          </cell>
          <cell r="X140">
            <v>2218.9999999999995</v>
          </cell>
          <cell r="Y140">
            <v>1096.5110131176907</v>
          </cell>
        </row>
        <row r="141">
          <cell r="B141">
            <v>906.59999999999945</v>
          </cell>
          <cell r="C141">
            <v>977.82499999999891</v>
          </cell>
          <cell r="D141">
            <v>906.59999999999945</v>
          </cell>
          <cell r="E141">
            <v>-1243</v>
          </cell>
          <cell r="F141">
            <v>-569.60000000000036</v>
          </cell>
          <cell r="G141">
            <v>-2136.5500000000002</v>
          </cell>
          <cell r="K141">
            <v>0</v>
          </cell>
          <cell r="L141">
            <v>0</v>
          </cell>
          <cell r="M141">
            <v>0</v>
          </cell>
          <cell r="N141">
            <v>216</v>
          </cell>
          <cell r="O141">
            <v>214</v>
          </cell>
          <cell r="P141">
            <v>309</v>
          </cell>
          <cell r="T141">
            <v>906.59999999999945</v>
          </cell>
          <cell r="U141">
            <v>1010.1999999999998</v>
          </cell>
          <cell r="V141">
            <v>906.59999999999945</v>
          </cell>
          <cell r="W141">
            <v>2269.1999999999994</v>
          </cell>
          <cell r="X141">
            <v>2236.9999999999991</v>
          </cell>
          <cell r="Y141">
            <v>2361.1999999999998</v>
          </cell>
        </row>
        <row r="142">
          <cell r="B142">
            <v>906.59999999999945</v>
          </cell>
          <cell r="C142">
            <v>932.5</v>
          </cell>
          <cell r="D142">
            <v>906.59999999999945</v>
          </cell>
          <cell r="E142">
            <v>-1035.8000000000002</v>
          </cell>
          <cell r="F142">
            <v>-433.625</v>
          </cell>
          <cell r="G142">
            <v>-1955.25</v>
          </cell>
          <cell r="K142">
            <v>0</v>
          </cell>
          <cell r="L142">
            <v>0</v>
          </cell>
          <cell r="M142">
            <v>0</v>
          </cell>
          <cell r="N142">
            <v>213</v>
          </cell>
          <cell r="O142">
            <v>188</v>
          </cell>
          <cell r="P142">
            <v>350</v>
          </cell>
          <cell r="T142">
            <v>906.59999999999945</v>
          </cell>
          <cell r="U142">
            <v>984.30000000000018</v>
          </cell>
          <cell r="V142">
            <v>906.59999999999945</v>
          </cell>
          <cell r="W142">
            <v>2289.1999999999994</v>
          </cell>
          <cell r="X142">
            <v>2203.9499999999994</v>
          </cell>
          <cell r="Y142">
            <v>1062.3520158569931</v>
          </cell>
        </row>
        <row r="143">
          <cell r="B143">
            <v>906.59999999999945</v>
          </cell>
          <cell r="C143">
            <v>977.82499999999891</v>
          </cell>
          <cell r="D143">
            <v>906.60000000000036</v>
          </cell>
          <cell r="E143">
            <v>-1579.7000000000007</v>
          </cell>
          <cell r="F143">
            <v>-634.35000000000036</v>
          </cell>
          <cell r="G143">
            <v>-2395.5500000000002</v>
          </cell>
          <cell r="K143">
            <v>0</v>
          </cell>
          <cell r="L143">
            <v>0</v>
          </cell>
          <cell r="M143">
            <v>0</v>
          </cell>
          <cell r="N143">
            <v>236</v>
          </cell>
          <cell r="O143">
            <v>187</v>
          </cell>
          <cell r="P143">
            <v>319</v>
          </cell>
          <cell r="T143">
            <v>906.59999999999945</v>
          </cell>
          <cell r="U143">
            <v>997.25</v>
          </cell>
          <cell r="V143">
            <v>922.6</v>
          </cell>
          <cell r="W143">
            <v>2269.1999999999994</v>
          </cell>
          <cell r="X143">
            <v>1824.2069606659688</v>
          </cell>
          <cell r="Y143">
            <v>287.16874448056569</v>
          </cell>
        </row>
        <row r="144">
          <cell r="B144">
            <v>906.59999999999945</v>
          </cell>
          <cell r="C144">
            <v>938.97499999999945</v>
          </cell>
          <cell r="D144">
            <v>906.59999999999945</v>
          </cell>
          <cell r="E144">
            <v>-1359.5500000000002</v>
          </cell>
          <cell r="F144">
            <v>-453.05000000000109</v>
          </cell>
          <cell r="G144">
            <v>-2408.5</v>
          </cell>
          <cell r="K144">
            <v>0</v>
          </cell>
          <cell r="L144">
            <v>0</v>
          </cell>
          <cell r="M144">
            <v>0</v>
          </cell>
          <cell r="N144">
            <v>237</v>
          </cell>
          <cell r="O144">
            <v>180</v>
          </cell>
          <cell r="P144">
            <v>351</v>
          </cell>
          <cell r="T144">
            <v>906.59999999999945</v>
          </cell>
          <cell r="U144">
            <v>958.39999999999964</v>
          </cell>
          <cell r="V144">
            <v>906.60000000000036</v>
          </cell>
          <cell r="W144">
            <v>2281.1999999999994</v>
          </cell>
          <cell r="X144">
            <v>2313.2749999999996</v>
          </cell>
          <cell r="Y144">
            <v>2409.1999999999989</v>
          </cell>
        </row>
        <row r="145">
          <cell r="B145">
            <v>906.59999999999945</v>
          </cell>
          <cell r="C145">
            <v>945.44999999999891</v>
          </cell>
          <cell r="D145">
            <v>906.59999999999945</v>
          </cell>
          <cell r="E145">
            <v>-1178.25</v>
          </cell>
          <cell r="F145">
            <v>-355.92500000000109</v>
          </cell>
          <cell r="G145">
            <v>-2097.7000000000007</v>
          </cell>
          <cell r="K145">
            <v>0</v>
          </cell>
          <cell r="L145">
            <v>0</v>
          </cell>
          <cell r="M145">
            <v>0</v>
          </cell>
          <cell r="N145">
            <v>228</v>
          </cell>
          <cell r="O145">
            <v>174</v>
          </cell>
          <cell r="P145">
            <v>326</v>
          </cell>
          <cell r="T145">
            <v>906.59999999999945</v>
          </cell>
          <cell r="U145">
            <v>938.97499999999945</v>
          </cell>
          <cell r="V145">
            <v>906.59999999999945</v>
          </cell>
          <cell r="W145">
            <v>1641.5169992559186</v>
          </cell>
          <cell r="X145">
            <v>2184.0500000000002</v>
          </cell>
          <cell r="Y145">
            <v>2453.1999999999998</v>
          </cell>
        </row>
        <row r="146">
          <cell r="B146">
            <v>906.59999999999945</v>
          </cell>
          <cell r="C146">
            <v>971.34999999999945</v>
          </cell>
          <cell r="D146">
            <v>906.59999999999945</v>
          </cell>
          <cell r="E146">
            <v>-1009.9000000000005</v>
          </cell>
          <cell r="F146">
            <v>-491.90000000000055</v>
          </cell>
          <cell r="G146">
            <v>-2330.8000000000002</v>
          </cell>
          <cell r="K146">
            <v>0</v>
          </cell>
          <cell r="L146">
            <v>0</v>
          </cell>
          <cell r="M146">
            <v>0</v>
          </cell>
          <cell r="N146">
            <v>235</v>
          </cell>
          <cell r="O146">
            <v>178</v>
          </cell>
          <cell r="P146">
            <v>342</v>
          </cell>
          <cell r="T146">
            <v>906.59999999999945</v>
          </cell>
          <cell r="U146">
            <v>977.82499999999891</v>
          </cell>
          <cell r="V146">
            <v>906.59999999999945</v>
          </cell>
          <cell r="W146">
            <v>-1333.6500000000005</v>
          </cell>
          <cell r="X146">
            <v>2250.8999999999996</v>
          </cell>
          <cell r="Y146">
            <v>-2395.5500000000002</v>
          </cell>
        </row>
        <row r="147">
          <cell r="B147">
            <v>906.59999999999945</v>
          </cell>
          <cell r="C147">
            <v>977.82499999999982</v>
          </cell>
          <cell r="D147">
            <v>906.59999999999945</v>
          </cell>
          <cell r="E147">
            <v>-945.15000000000055</v>
          </cell>
          <cell r="F147">
            <v>-498.375</v>
          </cell>
          <cell r="G147">
            <v>-2253.1000000000004</v>
          </cell>
          <cell r="K147">
            <v>0</v>
          </cell>
          <cell r="L147">
            <v>0</v>
          </cell>
          <cell r="M147">
            <v>0</v>
          </cell>
          <cell r="N147">
            <v>201</v>
          </cell>
          <cell r="O147">
            <v>178</v>
          </cell>
          <cell r="P147">
            <v>365</v>
          </cell>
          <cell r="T147">
            <v>906.59999999999945</v>
          </cell>
          <cell r="U147">
            <v>977.82499999999891</v>
          </cell>
          <cell r="V147">
            <v>906.59999999999945</v>
          </cell>
          <cell r="W147">
            <v>2271.1999999999994</v>
          </cell>
          <cell r="X147">
            <v>2228.3249999999994</v>
          </cell>
          <cell r="Y147">
            <v>-1628.8530101057595</v>
          </cell>
        </row>
        <row r="148">
          <cell r="B148">
            <v>906.59999999999945</v>
          </cell>
          <cell r="C148">
            <v>971.34999999999945</v>
          </cell>
          <cell r="D148">
            <v>906.60000000000036</v>
          </cell>
          <cell r="E148">
            <v>-1048.75</v>
          </cell>
          <cell r="F148">
            <v>-368.875</v>
          </cell>
          <cell r="G148">
            <v>-2369.6500000000005</v>
          </cell>
          <cell r="K148">
            <v>0</v>
          </cell>
          <cell r="L148">
            <v>0</v>
          </cell>
          <cell r="M148">
            <v>0</v>
          </cell>
          <cell r="N148">
            <v>219</v>
          </cell>
          <cell r="O148">
            <v>165</v>
          </cell>
          <cell r="P148">
            <v>311</v>
          </cell>
          <cell r="T148">
            <v>906.59999999999945</v>
          </cell>
          <cell r="U148">
            <v>997.24999999999909</v>
          </cell>
          <cell r="V148">
            <v>906.59999999999945</v>
          </cell>
          <cell r="W148">
            <v>2291.1999999999994</v>
          </cell>
          <cell r="X148">
            <v>2220.9999999999995</v>
          </cell>
          <cell r="Y148">
            <v>2465.1999999999998</v>
          </cell>
        </row>
        <row r="149">
          <cell r="B149">
            <v>906.59999999999945</v>
          </cell>
          <cell r="C149">
            <v>990.77499999999964</v>
          </cell>
          <cell r="D149">
            <v>906.59999999999945</v>
          </cell>
          <cell r="E149">
            <v>-1126.4500000000007</v>
          </cell>
          <cell r="F149">
            <v>-1145.875</v>
          </cell>
          <cell r="G149">
            <v>-2279</v>
          </cell>
          <cell r="K149">
            <v>0</v>
          </cell>
          <cell r="L149">
            <v>0</v>
          </cell>
          <cell r="M149">
            <v>0</v>
          </cell>
          <cell r="N149">
            <v>212</v>
          </cell>
          <cell r="O149">
            <v>195</v>
          </cell>
          <cell r="P149">
            <v>303</v>
          </cell>
          <cell r="T149">
            <v>906.59999999999945</v>
          </cell>
          <cell r="U149">
            <v>926.02499999999964</v>
          </cell>
          <cell r="V149">
            <v>906.59999999999945</v>
          </cell>
          <cell r="W149">
            <v>2223.1999999999998</v>
          </cell>
          <cell r="X149">
            <v>2228.5249999999996</v>
          </cell>
          <cell r="Y149">
            <v>-1381.7437308609501</v>
          </cell>
        </row>
        <row r="150">
          <cell r="B150">
            <v>906.59999999999945</v>
          </cell>
          <cell r="C150">
            <v>1003.7249999999985</v>
          </cell>
          <cell r="D150">
            <v>906.59999999999945</v>
          </cell>
          <cell r="E150">
            <v>-1139.4000000000005</v>
          </cell>
          <cell r="F150">
            <v>-433.625</v>
          </cell>
          <cell r="G150">
            <v>-2149.5</v>
          </cell>
          <cell r="K150">
            <v>0</v>
          </cell>
          <cell r="L150">
            <v>0</v>
          </cell>
          <cell r="M150">
            <v>0</v>
          </cell>
          <cell r="N150">
            <v>214</v>
          </cell>
          <cell r="O150">
            <v>175</v>
          </cell>
          <cell r="P150">
            <v>343</v>
          </cell>
          <cell r="T150">
            <v>906.59999999999945</v>
          </cell>
          <cell r="U150">
            <v>951.92499999999927</v>
          </cell>
          <cell r="V150">
            <v>906.60000000000036</v>
          </cell>
          <cell r="W150">
            <v>642.72459153409704</v>
          </cell>
          <cell r="X150">
            <v>2235</v>
          </cell>
          <cell r="Y150">
            <v>2419.1999999999989</v>
          </cell>
        </row>
        <row r="151">
          <cell r="B151">
            <v>906.59999999999945</v>
          </cell>
          <cell r="C151">
            <v>984.30000000000018</v>
          </cell>
          <cell r="D151">
            <v>906.59999999999945</v>
          </cell>
          <cell r="E151">
            <v>-1100.5500000000002</v>
          </cell>
          <cell r="F151">
            <v>-168.15000000000055</v>
          </cell>
          <cell r="G151">
            <v>-2279</v>
          </cell>
          <cell r="K151">
            <v>0</v>
          </cell>
          <cell r="L151">
            <v>0</v>
          </cell>
          <cell r="M151">
            <v>0</v>
          </cell>
          <cell r="N151">
            <v>227</v>
          </cell>
          <cell r="O151">
            <v>172</v>
          </cell>
          <cell r="P151">
            <v>323</v>
          </cell>
          <cell r="T151">
            <v>906.59999999999945</v>
          </cell>
          <cell r="U151">
            <v>945.44999999999982</v>
          </cell>
          <cell r="V151">
            <v>906.59999999999945</v>
          </cell>
          <cell r="W151">
            <v>-753.55593343824933</v>
          </cell>
          <cell r="X151">
            <v>2194.9</v>
          </cell>
          <cell r="Y151">
            <v>-581.56608009242063</v>
          </cell>
        </row>
        <row r="152">
          <cell r="B152">
            <v>906.59999999999945</v>
          </cell>
          <cell r="C152">
            <v>984.30000000000018</v>
          </cell>
          <cell r="D152">
            <v>906.60000000000036</v>
          </cell>
          <cell r="E152">
            <v>-1204.1500000000005</v>
          </cell>
          <cell r="F152">
            <v>-530.75</v>
          </cell>
          <cell r="G152">
            <v>-2007.0500000000002</v>
          </cell>
          <cell r="K152">
            <v>0</v>
          </cell>
          <cell r="L152">
            <v>0</v>
          </cell>
          <cell r="M152">
            <v>0</v>
          </cell>
          <cell r="N152">
            <v>232</v>
          </cell>
          <cell r="O152">
            <v>192</v>
          </cell>
          <cell r="P152">
            <v>311</v>
          </cell>
          <cell r="T152">
            <v>906.59999999999945</v>
          </cell>
          <cell r="U152">
            <v>964.875</v>
          </cell>
          <cell r="V152">
            <v>906.59999999999945</v>
          </cell>
          <cell r="W152">
            <v>2205.1999999999998</v>
          </cell>
          <cell r="X152">
            <v>2223.9499999999994</v>
          </cell>
          <cell r="Y152">
            <v>1330.0915039546981</v>
          </cell>
        </row>
        <row r="153">
          <cell r="B153">
            <v>906.59999999999945</v>
          </cell>
          <cell r="C153">
            <v>945.44999999999982</v>
          </cell>
          <cell r="D153">
            <v>906.59999999999945</v>
          </cell>
          <cell r="E153">
            <v>-1165.3000000000002</v>
          </cell>
          <cell r="F153">
            <v>-446.57500000000073</v>
          </cell>
          <cell r="G153">
            <v>-2304.9000000000005</v>
          </cell>
          <cell r="K153">
            <v>0</v>
          </cell>
          <cell r="L153">
            <v>0</v>
          </cell>
          <cell r="M153">
            <v>0</v>
          </cell>
          <cell r="N153">
            <v>213</v>
          </cell>
          <cell r="O153">
            <v>169</v>
          </cell>
          <cell r="P153">
            <v>292</v>
          </cell>
          <cell r="T153">
            <v>906.59999999999945</v>
          </cell>
          <cell r="U153">
            <v>984.30000000000018</v>
          </cell>
          <cell r="V153">
            <v>906.60000000000036</v>
          </cell>
          <cell r="W153">
            <v>2275.1999999999998</v>
          </cell>
          <cell r="X153">
            <v>2250.3249999999998</v>
          </cell>
          <cell r="Y153">
            <v>2473.1999999999998</v>
          </cell>
        </row>
        <row r="154">
          <cell r="B154">
            <v>906.59999999999945</v>
          </cell>
          <cell r="C154">
            <v>971.34999999999945</v>
          </cell>
          <cell r="D154">
            <v>906.59999999999945</v>
          </cell>
          <cell r="E154">
            <v>-1204.1500000000005</v>
          </cell>
          <cell r="F154">
            <v>-478.95000000000073</v>
          </cell>
          <cell r="G154">
            <v>-2602.75</v>
          </cell>
          <cell r="K154">
            <v>0</v>
          </cell>
          <cell r="L154">
            <v>0</v>
          </cell>
          <cell r="M154">
            <v>0</v>
          </cell>
          <cell r="N154">
            <v>233</v>
          </cell>
          <cell r="O154">
            <v>168</v>
          </cell>
          <cell r="P154">
            <v>312</v>
          </cell>
          <cell r="T154">
            <v>906.59999999999945</v>
          </cell>
          <cell r="U154">
            <v>964.875</v>
          </cell>
          <cell r="V154">
            <v>906.59999999999945</v>
          </cell>
          <cell r="W154">
            <v>2291.1999999999994</v>
          </cell>
          <cell r="X154">
            <v>2269.9499999999998</v>
          </cell>
          <cell r="Y154">
            <v>896.29112110166398</v>
          </cell>
        </row>
        <row r="155">
          <cell r="B155">
            <v>906.59999999999945</v>
          </cell>
          <cell r="C155">
            <v>997.24999999999909</v>
          </cell>
          <cell r="D155">
            <v>906.59999999999945</v>
          </cell>
          <cell r="E155">
            <v>-1009.9000000000005</v>
          </cell>
          <cell r="F155">
            <v>-802.70000000000073</v>
          </cell>
          <cell r="G155">
            <v>-2175.4000000000005</v>
          </cell>
          <cell r="K155">
            <v>0</v>
          </cell>
          <cell r="L155">
            <v>0</v>
          </cell>
          <cell r="M155">
            <v>0</v>
          </cell>
          <cell r="N155">
            <v>240</v>
          </cell>
          <cell r="O155">
            <v>194</v>
          </cell>
          <cell r="P155">
            <v>326</v>
          </cell>
          <cell r="T155">
            <v>906.59999999999945</v>
          </cell>
          <cell r="U155">
            <v>1003.7250000000004</v>
          </cell>
          <cell r="V155">
            <v>906.59999999999945</v>
          </cell>
          <cell r="W155">
            <v>-971.05000000000018</v>
          </cell>
          <cell r="X155">
            <v>-679.67500000000109</v>
          </cell>
          <cell r="Y155">
            <v>2495.1999999999998</v>
          </cell>
        </row>
        <row r="156">
          <cell r="B156">
            <v>906.59999999999945</v>
          </cell>
          <cell r="C156">
            <v>971.35000000000036</v>
          </cell>
          <cell r="D156">
            <v>906.59999999999945</v>
          </cell>
          <cell r="E156">
            <v>-1139.4000000000005</v>
          </cell>
          <cell r="F156">
            <v>-543.70000000000073</v>
          </cell>
          <cell r="G156">
            <v>-2253.1000000000004</v>
          </cell>
          <cell r="K156">
            <v>0</v>
          </cell>
          <cell r="L156">
            <v>0</v>
          </cell>
          <cell r="M156">
            <v>0</v>
          </cell>
          <cell r="N156">
            <v>216</v>
          </cell>
          <cell r="O156">
            <v>188</v>
          </cell>
          <cell r="P156">
            <v>317</v>
          </cell>
          <cell r="T156">
            <v>906.59999999999945</v>
          </cell>
          <cell r="U156">
            <v>958.39999999999964</v>
          </cell>
          <cell r="V156">
            <v>906.59999999999945</v>
          </cell>
          <cell r="W156">
            <v>-1165.3000000000002</v>
          </cell>
          <cell r="X156">
            <v>1130.9848525330169</v>
          </cell>
          <cell r="Y156">
            <v>1927.9375616876391</v>
          </cell>
        </row>
        <row r="157">
          <cell r="B157">
            <v>906.59999999999945</v>
          </cell>
          <cell r="C157">
            <v>971.34999999999945</v>
          </cell>
          <cell r="D157">
            <v>906.59999999999945</v>
          </cell>
          <cell r="E157">
            <v>-1191.2000000000007</v>
          </cell>
          <cell r="F157">
            <v>-524.27499999999964</v>
          </cell>
          <cell r="G157">
            <v>-1968.2000000000007</v>
          </cell>
          <cell r="K157">
            <v>0</v>
          </cell>
          <cell r="L157">
            <v>0</v>
          </cell>
          <cell r="M157">
            <v>0</v>
          </cell>
          <cell r="N157">
            <v>207</v>
          </cell>
          <cell r="O157">
            <v>179</v>
          </cell>
          <cell r="P157">
            <v>329</v>
          </cell>
          <cell r="T157">
            <v>906.59999999999945</v>
          </cell>
          <cell r="U157">
            <v>964.875</v>
          </cell>
          <cell r="V157">
            <v>906.59999999999945</v>
          </cell>
          <cell r="W157">
            <v>-1152.3500000000004</v>
          </cell>
          <cell r="X157">
            <v>2273.8500000000004</v>
          </cell>
          <cell r="Y157">
            <v>-144.43998809507002</v>
          </cell>
        </row>
        <row r="158">
          <cell r="B158">
            <v>906.59999999999945</v>
          </cell>
          <cell r="C158">
            <v>971.34999999999854</v>
          </cell>
          <cell r="D158">
            <v>906.59999999999945</v>
          </cell>
          <cell r="E158">
            <v>-1268.9000000000005</v>
          </cell>
          <cell r="F158">
            <v>-187.57500000000073</v>
          </cell>
          <cell r="G158">
            <v>-2317.8500000000004</v>
          </cell>
          <cell r="K158">
            <v>0</v>
          </cell>
          <cell r="L158">
            <v>0</v>
          </cell>
          <cell r="M158">
            <v>0</v>
          </cell>
          <cell r="N158">
            <v>219</v>
          </cell>
          <cell r="O158">
            <v>166</v>
          </cell>
          <cell r="P158">
            <v>336</v>
          </cell>
          <cell r="T158">
            <v>906.59999999999945</v>
          </cell>
          <cell r="U158">
            <v>964.87499999999909</v>
          </cell>
          <cell r="V158">
            <v>906.59999999999945</v>
          </cell>
          <cell r="W158">
            <v>2263.1999999999998</v>
          </cell>
          <cell r="X158">
            <v>2377.7499999999995</v>
          </cell>
          <cell r="Y158">
            <v>-1282.0191957921641</v>
          </cell>
        </row>
        <row r="159">
          <cell r="B159">
            <v>906.59999999999945</v>
          </cell>
          <cell r="C159">
            <v>990.77499999999964</v>
          </cell>
          <cell r="D159">
            <v>906.59999999999945</v>
          </cell>
          <cell r="E159">
            <v>-1022.8500000000004</v>
          </cell>
          <cell r="F159">
            <v>-103.40000000000055</v>
          </cell>
          <cell r="G159">
            <v>-2291.9499999999998</v>
          </cell>
          <cell r="K159">
            <v>0</v>
          </cell>
          <cell r="L159">
            <v>0</v>
          </cell>
          <cell r="M159">
            <v>0</v>
          </cell>
          <cell r="N159">
            <v>215</v>
          </cell>
          <cell r="O159">
            <v>177</v>
          </cell>
          <cell r="P159">
            <v>336</v>
          </cell>
          <cell r="T159">
            <v>906.59999999999945</v>
          </cell>
          <cell r="U159">
            <v>945.44999999999982</v>
          </cell>
          <cell r="V159">
            <v>906.60000000000036</v>
          </cell>
          <cell r="W159">
            <v>2227.1999999999989</v>
          </cell>
          <cell r="X159">
            <v>2280.8999999999996</v>
          </cell>
          <cell r="Y159">
            <v>-1671.0733633445445</v>
          </cell>
        </row>
        <row r="160">
          <cell r="B160">
            <v>906.59999999999945</v>
          </cell>
          <cell r="C160">
            <v>977.82499999999891</v>
          </cell>
          <cell r="D160">
            <v>906.60000000000036</v>
          </cell>
          <cell r="E160">
            <v>-1022.8500000000004</v>
          </cell>
          <cell r="F160">
            <v>-478.95000000000073</v>
          </cell>
          <cell r="G160">
            <v>-2512.1000000000004</v>
          </cell>
          <cell r="K160">
            <v>0</v>
          </cell>
          <cell r="L160">
            <v>0</v>
          </cell>
          <cell r="M160">
            <v>0</v>
          </cell>
          <cell r="N160">
            <v>210</v>
          </cell>
          <cell r="O160">
            <v>168</v>
          </cell>
          <cell r="P160">
            <v>325</v>
          </cell>
          <cell r="T160">
            <v>906.59999999999945</v>
          </cell>
          <cell r="U160">
            <v>997.25</v>
          </cell>
          <cell r="V160">
            <v>906.60000000000036</v>
          </cell>
          <cell r="W160">
            <v>2313.1999999999998</v>
          </cell>
          <cell r="X160">
            <v>2212.5250000000001</v>
          </cell>
          <cell r="Y160">
            <v>2463.1999999999998</v>
          </cell>
        </row>
        <row r="161">
          <cell r="B161">
            <v>906.59999999999945</v>
          </cell>
          <cell r="C161">
            <v>997.24999999999909</v>
          </cell>
          <cell r="D161">
            <v>906.59999999999945</v>
          </cell>
          <cell r="E161">
            <v>-1126.4500000000007</v>
          </cell>
          <cell r="F161">
            <v>-718.52500000000055</v>
          </cell>
          <cell r="G161">
            <v>-2356.6999999999998</v>
          </cell>
          <cell r="K161">
            <v>0</v>
          </cell>
          <cell r="L161">
            <v>0</v>
          </cell>
          <cell r="M161">
            <v>0</v>
          </cell>
          <cell r="N161">
            <v>213</v>
          </cell>
          <cell r="O161">
            <v>193</v>
          </cell>
          <cell r="P161">
            <v>353</v>
          </cell>
          <cell r="T161">
            <v>906.59999999999945</v>
          </cell>
          <cell r="U161">
            <v>1016.6749999999993</v>
          </cell>
          <cell r="V161">
            <v>906.59999999999945</v>
          </cell>
          <cell r="W161">
            <v>2245.1999999999998</v>
          </cell>
          <cell r="X161">
            <v>2257.849999999999</v>
          </cell>
          <cell r="Y161">
            <v>2455.1999999999998</v>
          </cell>
        </row>
        <row r="162">
          <cell r="B162">
            <v>906.59999999999945</v>
          </cell>
          <cell r="C162">
            <v>984.29999999999927</v>
          </cell>
          <cell r="D162">
            <v>919.54999999999927</v>
          </cell>
          <cell r="E162">
            <v>-1048.75</v>
          </cell>
          <cell r="F162">
            <v>-634.35000000000036</v>
          </cell>
          <cell r="G162">
            <v>-2201.3000000000002</v>
          </cell>
          <cell r="K162">
            <v>0</v>
          </cell>
          <cell r="L162">
            <v>0</v>
          </cell>
          <cell r="M162">
            <v>0</v>
          </cell>
          <cell r="N162">
            <v>211</v>
          </cell>
          <cell r="O162">
            <v>166</v>
          </cell>
          <cell r="P162">
            <v>326</v>
          </cell>
          <cell r="T162">
            <v>906.59999999999945</v>
          </cell>
          <cell r="U162">
            <v>964.875</v>
          </cell>
          <cell r="V162">
            <v>919.55000000000018</v>
          </cell>
          <cell r="W162">
            <v>405.77140562026648</v>
          </cell>
          <cell r="X162">
            <v>2208.9999999999995</v>
          </cell>
          <cell r="Y162">
            <v>-1546.7417439386763</v>
          </cell>
        </row>
        <row r="163">
          <cell r="B163">
            <v>906.59999999999945</v>
          </cell>
          <cell r="C163">
            <v>971.34999999999945</v>
          </cell>
          <cell r="D163">
            <v>906.59999999999945</v>
          </cell>
          <cell r="E163">
            <v>-1294.8000000000002</v>
          </cell>
          <cell r="F163">
            <v>-174.625</v>
          </cell>
          <cell r="G163">
            <v>-2395.5500000000002</v>
          </cell>
          <cell r="K163">
            <v>0</v>
          </cell>
          <cell r="L163">
            <v>0</v>
          </cell>
          <cell r="M163">
            <v>0</v>
          </cell>
          <cell r="N163">
            <v>212</v>
          </cell>
          <cell r="O163">
            <v>216</v>
          </cell>
          <cell r="P163">
            <v>320</v>
          </cell>
          <cell r="T163">
            <v>906.59999999999945</v>
          </cell>
          <cell r="U163">
            <v>984.29999999999927</v>
          </cell>
          <cell r="V163">
            <v>906.59999999999945</v>
          </cell>
          <cell r="W163">
            <v>2301.1999999999994</v>
          </cell>
          <cell r="X163">
            <v>2256.9999999999991</v>
          </cell>
          <cell r="Y163">
            <v>230.43554811489366</v>
          </cell>
        </row>
        <row r="164">
          <cell r="B164">
            <v>906.59999999999945</v>
          </cell>
          <cell r="C164">
            <v>977.82499999999982</v>
          </cell>
          <cell r="D164">
            <v>828.89999999999964</v>
          </cell>
          <cell r="E164">
            <v>-932.20000000000073</v>
          </cell>
          <cell r="F164">
            <v>-614.92500000000018</v>
          </cell>
          <cell r="G164">
            <v>-2291.9499999999998</v>
          </cell>
          <cell r="K164">
            <v>0</v>
          </cell>
          <cell r="L164">
            <v>0</v>
          </cell>
          <cell r="M164">
            <v>0</v>
          </cell>
          <cell r="N164">
            <v>219</v>
          </cell>
          <cell r="O164">
            <v>176</v>
          </cell>
          <cell r="P164">
            <v>324</v>
          </cell>
          <cell r="T164">
            <v>906.59999999999945</v>
          </cell>
          <cell r="U164">
            <v>997.25</v>
          </cell>
          <cell r="V164">
            <v>906.59999999999945</v>
          </cell>
          <cell r="W164">
            <v>1179.1574389588745</v>
          </cell>
          <cell r="X164">
            <v>2242.9999999999995</v>
          </cell>
          <cell r="Y164">
            <v>-742.54223183344175</v>
          </cell>
        </row>
        <row r="165">
          <cell r="B165">
            <v>906.59999999999945</v>
          </cell>
          <cell r="C165">
            <v>964.875</v>
          </cell>
          <cell r="D165">
            <v>906.59999999999945</v>
          </cell>
          <cell r="E165">
            <v>-867.45000000000073</v>
          </cell>
          <cell r="F165">
            <v>-491.90000000000055</v>
          </cell>
          <cell r="G165">
            <v>-2343.75</v>
          </cell>
          <cell r="K165">
            <v>0</v>
          </cell>
          <cell r="L165">
            <v>0</v>
          </cell>
          <cell r="M165">
            <v>0</v>
          </cell>
          <cell r="N165">
            <v>227</v>
          </cell>
          <cell r="O165">
            <v>193</v>
          </cell>
          <cell r="P165">
            <v>302</v>
          </cell>
          <cell r="T165">
            <v>906.59999999999945</v>
          </cell>
          <cell r="U165">
            <v>958.39999999999873</v>
          </cell>
          <cell r="V165">
            <v>919.54999999999927</v>
          </cell>
          <cell r="W165">
            <v>2249.1999999999994</v>
          </cell>
          <cell r="X165">
            <v>2257.375</v>
          </cell>
          <cell r="Y165">
            <v>-2486.1999999999998</v>
          </cell>
        </row>
        <row r="166">
          <cell r="B166">
            <v>906.59999999999945</v>
          </cell>
          <cell r="C166">
            <v>964.875</v>
          </cell>
          <cell r="D166">
            <v>906.59999999999945</v>
          </cell>
          <cell r="E166">
            <v>-1359.5500000000002</v>
          </cell>
          <cell r="F166">
            <v>-336.5</v>
          </cell>
          <cell r="G166">
            <v>-2214.25</v>
          </cell>
          <cell r="K166">
            <v>0</v>
          </cell>
          <cell r="L166">
            <v>0</v>
          </cell>
          <cell r="M166">
            <v>0</v>
          </cell>
          <cell r="N166">
            <v>223</v>
          </cell>
          <cell r="O166">
            <v>192</v>
          </cell>
          <cell r="P166">
            <v>331</v>
          </cell>
          <cell r="T166">
            <v>906.59999999999945</v>
          </cell>
          <cell r="U166">
            <v>990.77499999999964</v>
          </cell>
          <cell r="V166">
            <v>906.59999999999945</v>
          </cell>
          <cell r="W166">
            <v>2261.1999999999994</v>
          </cell>
          <cell r="X166">
            <v>2112.7529072658226</v>
          </cell>
          <cell r="Y166">
            <v>2455.1999999999998</v>
          </cell>
        </row>
        <row r="167">
          <cell r="B167">
            <v>906.59999999999945</v>
          </cell>
          <cell r="C167">
            <v>964.875</v>
          </cell>
          <cell r="D167">
            <v>906.59999999999945</v>
          </cell>
          <cell r="E167">
            <v>-828.60000000000036</v>
          </cell>
          <cell r="F167">
            <v>-129.30000000000018</v>
          </cell>
          <cell r="G167">
            <v>-2512.1000000000004</v>
          </cell>
          <cell r="K167">
            <v>0</v>
          </cell>
          <cell r="L167">
            <v>0</v>
          </cell>
          <cell r="M167">
            <v>0</v>
          </cell>
          <cell r="N167">
            <v>212</v>
          </cell>
          <cell r="O167">
            <v>192</v>
          </cell>
          <cell r="P167">
            <v>316</v>
          </cell>
          <cell r="T167">
            <v>906.59999999999945</v>
          </cell>
          <cell r="U167">
            <v>984.29999999999927</v>
          </cell>
          <cell r="V167">
            <v>916.59999999999945</v>
          </cell>
          <cell r="W167">
            <v>2233.1999999999998</v>
          </cell>
          <cell r="X167">
            <v>2258.9999999999991</v>
          </cell>
          <cell r="Y167">
            <v>1383.3554089881</v>
          </cell>
        </row>
        <row r="168">
          <cell r="B168">
            <v>906.59999999999945</v>
          </cell>
          <cell r="C168">
            <v>951.92499999999927</v>
          </cell>
          <cell r="D168">
            <v>906.59999999999945</v>
          </cell>
          <cell r="E168">
            <v>-1178.25</v>
          </cell>
          <cell r="F168">
            <v>-524.27499999999964</v>
          </cell>
          <cell r="G168">
            <v>-2071.8000000000002</v>
          </cell>
          <cell r="K168">
            <v>0</v>
          </cell>
          <cell r="L168">
            <v>0</v>
          </cell>
          <cell r="M168">
            <v>0</v>
          </cell>
          <cell r="N168">
            <v>236</v>
          </cell>
          <cell r="O168">
            <v>187</v>
          </cell>
          <cell r="P168">
            <v>295</v>
          </cell>
          <cell r="T168">
            <v>906.59999999999945</v>
          </cell>
          <cell r="U168">
            <v>990.77499999999964</v>
          </cell>
          <cell r="V168">
            <v>906.60000000000036</v>
          </cell>
          <cell r="W168">
            <v>-450.03470514798494</v>
          </cell>
          <cell r="X168">
            <v>-647.30000000000018</v>
          </cell>
          <cell r="Y168">
            <v>-582.99586207762559</v>
          </cell>
        </row>
        <row r="169">
          <cell r="B169">
            <v>906.59999999999945</v>
          </cell>
          <cell r="C169">
            <v>971.34999999999945</v>
          </cell>
          <cell r="D169">
            <v>906.60000000000036</v>
          </cell>
          <cell r="E169">
            <v>-1139.4000000000005</v>
          </cell>
          <cell r="F169">
            <v>-116.35000000000036</v>
          </cell>
          <cell r="G169">
            <v>-2162.4500000000007</v>
          </cell>
          <cell r="K169">
            <v>0</v>
          </cell>
          <cell r="L169">
            <v>0</v>
          </cell>
          <cell r="M169">
            <v>0</v>
          </cell>
          <cell r="N169">
            <v>221</v>
          </cell>
          <cell r="O169">
            <v>199</v>
          </cell>
          <cell r="P169">
            <v>327</v>
          </cell>
          <cell r="T169">
            <v>906.59999999999945</v>
          </cell>
          <cell r="U169">
            <v>984.29999999999927</v>
          </cell>
          <cell r="V169">
            <v>906.59999999999945</v>
          </cell>
          <cell r="W169">
            <v>2247.1999999999989</v>
          </cell>
          <cell r="X169">
            <v>2252.4249999999997</v>
          </cell>
          <cell r="Y169">
            <v>1212.3712603401805</v>
          </cell>
        </row>
        <row r="170">
          <cell r="B170">
            <v>906.59999999999945</v>
          </cell>
          <cell r="C170">
            <v>938.97499999999945</v>
          </cell>
          <cell r="D170">
            <v>906.59999999999945</v>
          </cell>
          <cell r="E170">
            <v>-1152.3500000000004</v>
          </cell>
          <cell r="F170">
            <v>-407.72500000000036</v>
          </cell>
          <cell r="G170">
            <v>-2097.7000000000007</v>
          </cell>
          <cell r="K170">
            <v>0</v>
          </cell>
          <cell r="L170">
            <v>0</v>
          </cell>
          <cell r="M170">
            <v>0</v>
          </cell>
          <cell r="N170">
            <v>217</v>
          </cell>
          <cell r="O170">
            <v>178</v>
          </cell>
          <cell r="P170">
            <v>311</v>
          </cell>
          <cell r="T170">
            <v>906.59999999999945</v>
          </cell>
          <cell r="U170">
            <v>977.82499999999982</v>
          </cell>
          <cell r="V170">
            <v>906.60000000000036</v>
          </cell>
          <cell r="W170">
            <v>753.48541634146113</v>
          </cell>
          <cell r="X170">
            <v>2219.9499999999998</v>
          </cell>
          <cell r="Y170">
            <v>295.11076985824275</v>
          </cell>
        </row>
        <row r="171">
          <cell r="B171">
            <v>906.59999999999945</v>
          </cell>
          <cell r="C171">
            <v>964.87499999999909</v>
          </cell>
          <cell r="D171">
            <v>906.60000000000036</v>
          </cell>
          <cell r="E171">
            <v>-815.65000000000055</v>
          </cell>
          <cell r="F171">
            <v>-459.52499999999964</v>
          </cell>
          <cell r="G171">
            <v>-2240.1500000000005</v>
          </cell>
          <cell r="K171">
            <v>0</v>
          </cell>
          <cell r="L171">
            <v>0</v>
          </cell>
          <cell r="M171">
            <v>0</v>
          </cell>
          <cell r="N171">
            <v>230</v>
          </cell>
          <cell r="O171">
            <v>184</v>
          </cell>
          <cell r="P171">
            <v>307</v>
          </cell>
          <cell r="T171">
            <v>906.59999999999945</v>
          </cell>
          <cell r="U171">
            <v>971.34999999999945</v>
          </cell>
          <cell r="V171">
            <v>906.59999999999945</v>
          </cell>
          <cell r="W171">
            <v>2241.1999999999994</v>
          </cell>
          <cell r="X171">
            <v>553.59850372131314</v>
          </cell>
          <cell r="Y171">
            <v>2448.1499999999996</v>
          </cell>
        </row>
        <row r="172">
          <cell r="B172">
            <v>906.59999999999945</v>
          </cell>
          <cell r="C172">
            <v>958.39999999999964</v>
          </cell>
          <cell r="D172">
            <v>906.59999999999945</v>
          </cell>
          <cell r="E172">
            <v>-1100.5500000000002</v>
          </cell>
          <cell r="F172">
            <v>-491.90000000000055</v>
          </cell>
          <cell r="G172">
            <v>-2188.3500000000004</v>
          </cell>
          <cell r="K172">
            <v>0</v>
          </cell>
          <cell r="L172">
            <v>0</v>
          </cell>
          <cell r="M172">
            <v>0</v>
          </cell>
          <cell r="N172">
            <v>236</v>
          </cell>
          <cell r="O172">
            <v>159</v>
          </cell>
          <cell r="P172">
            <v>322</v>
          </cell>
          <cell r="T172">
            <v>906.59999999999945</v>
          </cell>
          <cell r="U172">
            <v>977.82499999999982</v>
          </cell>
          <cell r="V172">
            <v>919.55000000000018</v>
          </cell>
          <cell r="W172">
            <v>1326.8633934468016</v>
          </cell>
          <cell r="X172">
            <v>2300.3249999999998</v>
          </cell>
          <cell r="Y172">
            <v>1942.400947273557</v>
          </cell>
        </row>
        <row r="173">
          <cell r="B173">
            <v>906.59999999999945</v>
          </cell>
          <cell r="C173">
            <v>964.875</v>
          </cell>
          <cell r="D173">
            <v>803</v>
          </cell>
          <cell r="E173">
            <v>-1204.1500000000005</v>
          </cell>
          <cell r="F173">
            <v>-621.40000000000055</v>
          </cell>
          <cell r="G173">
            <v>-2136.5500000000002</v>
          </cell>
          <cell r="K173">
            <v>0</v>
          </cell>
          <cell r="L173">
            <v>0</v>
          </cell>
          <cell r="M173">
            <v>0</v>
          </cell>
          <cell r="N173">
            <v>205</v>
          </cell>
          <cell r="O173">
            <v>197</v>
          </cell>
          <cell r="P173">
            <v>300</v>
          </cell>
          <cell r="T173">
            <v>906.59999999999945</v>
          </cell>
          <cell r="U173">
            <v>997.25</v>
          </cell>
          <cell r="V173">
            <v>906.60000000000036</v>
          </cell>
          <cell r="W173">
            <v>2219.1999999999994</v>
          </cell>
          <cell r="X173">
            <v>-491.89999999999964</v>
          </cell>
          <cell r="Y173">
            <v>2443.1999999999998</v>
          </cell>
        </row>
        <row r="174">
          <cell r="B174">
            <v>906.59999999999945</v>
          </cell>
          <cell r="C174">
            <v>1016.6749999999993</v>
          </cell>
          <cell r="D174">
            <v>906.59999999999945</v>
          </cell>
          <cell r="E174">
            <v>-1230.0500000000002</v>
          </cell>
          <cell r="F174">
            <v>-466</v>
          </cell>
          <cell r="G174">
            <v>-2550.9499999999998</v>
          </cell>
          <cell r="K174">
            <v>0</v>
          </cell>
          <cell r="L174">
            <v>0</v>
          </cell>
          <cell r="M174">
            <v>0</v>
          </cell>
          <cell r="N174">
            <v>242</v>
          </cell>
          <cell r="O174">
            <v>171</v>
          </cell>
          <cell r="P174">
            <v>313</v>
          </cell>
          <cell r="T174">
            <v>906.59999999999945</v>
          </cell>
          <cell r="U174">
            <v>1016.6750000000002</v>
          </cell>
          <cell r="V174">
            <v>906.60000000000036</v>
          </cell>
          <cell r="W174">
            <v>2287.1999999999989</v>
          </cell>
          <cell r="X174">
            <v>2245.9499999999994</v>
          </cell>
          <cell r="Y174">
            <v>2380.2563909068276</v>
          </cell>
        </row>
        <row r="175">
          <cell r="B175">
            <v>906.59999999999945</v>
          </cell>
          <cell r="C175">
            <v>964.87499999999909</v>
          </cell>
          <cell r="D175">
            <v>906.60000000000036</v>
          </cell>
          <cell r="E175">
            <v>-1074.6500000000005</v>
          </cell>
          <cell r="F175">
            <v>-401.25</v>
          </cell>
          <cell r="G175">
            <v>-2240.1500000000005</v>
          </cell>
          <cell r="K175">
            <v>0</v>
          </cell>
          <cell r="L175">
            <v>0</v>
          </cell>
          <cell r="M175">
            <v>0</v>
          </cell>
          <cell r="N175">
            <v>218</v>
          </cell>
          <cell r="O175">
            <v>186</v>
          </cell>
          <cell r="P175">
            <v>315</v>
          </cell>
          <cell r="T175">
            <v>906.59999999999945</v>
          </cell>
          <cell r="U175">
            <v>977.82499999999891</v>
          </cell>
          <cell r="V175">
            <v>906.59999999999945</v>
          </cell>
          <cell r="W175">
            <v>2251.1999999999994</v>
          </cell>
          <cell r="X175">
            <v>-174.625</v>
          </cell>
          <cell r="Y175">
            <v>2439.1999999999989</v>
          </cell>
        </row>
        <row r="176">
          <cell r="B176">
            <v>906.59999999999945</v>
          </cell>
          <cell r="C176">
            <v>945.44999999999982</v>
          </cell>
          <cell r="D176">
            <v>906.59999999999945</v>
          </cell>
          <cell r="E176">
            <v>-1048.75</v>
          </cell>
          <cell r="F176">
            <v>-414.20000000000073</v>
          </cell>
          <cell r="G176">
            <v>-2175.4000000000005</v>
          </cell>
          <cell r="K176">
            <v>0</v>
          </cell>
          <cell r="L176">
            <v>0</v>
          </cell>
          <cell r="M176">
            <v>0</v>
          </cell>
          <cell r="N176">
            <v>231</v>
          </cell>
          <cell r="O176">
            <v>206</v>
          </cell>
          <cell r="P176">
            <v>326</v>
          </cell>
          <cell r="T176">
            <v>906.59999999999945</v>
          </cell>
          <cell r="U176">
            <v>1010.1999999999998</v>
          </cell>
          <cell r="V176">
            <v>906.59999999999945</v>
          </cell>
          <cell r="W176">
            <v>1398.2734025295226</v>
          </cell>
          <cell r="X176">
            <v>2249.9499999999998</v>
          </cell>
          <cell r="Y176">
            <v>1425.0215428501438</v>
          </cell>
        </row>
        <row r="177">
          <cell r="B177">
            <v>906.59999999999945</v>
          </cell>
          <cell r="C177">
            <v>932.49999999999909</v>
          </cell>
          <cell r="D177">
            <v>906.59999999999945</v>
          </cell>
          <cell r="E177">
            <v>-984</v>
          </cell>
          <cell r="F177">
            <v>-809.17500000000109</v>
          </cell>
          <cell r="G177">
            <v>-2473.25</v>
          </cell>
          <cell r="K177">
            <v>0</v>
          </cell>
          <cell r="L177">
            <v>0</v>
          </cell>
          <cell r="M177">
            <v>0</v>
          </cell>
          <cell r="N177">
            <v>214</v>
          </cell>
          <cell r="O177">
            <v>191</v>
          </cell>
          <cell r="P177">
            <v>321</v>
          </cell>
          <cell r="T177">
            <v>906.59999999999945</v>
          </cell>
          <cell r="U177">
            <v>990.77499999999964</v>
          </cell>
          <cell r="V177">
            <v>906.59999999999945</v>
          </cell>
          <cell r="W177">
            <v>2249.1999999999994</v>
          </cell>
          <cell r="X177">
            <v>2218.8999999999992</v>
          </cell>
          <cell r="Y177">
            <v>927.73594596579551</v>
          </cell>
        </row>
        <row r="178">
          <cell r="B178">
            <v>906.59999999999945</v>
          </cell>
          <cell r="C178">
            <v>984.29999999999927</v>
          </cell>
          <cell r="D178">
            <v>906.59999999999945</v>
          </cell>
          <cell r="E178">
            <v>-906.30000000000018</v>
          </cell>
          <cell r="F178">
            <v>-485.42500000000109</v>
          </cell>
          <cell r="G178">
            <v>-2356.6999999999998</v>
          </cell>
          <cell r="K178">
            <v>0</v>
          </cell>
          <cell r="L178">
            <v>0</v>
          </cell>
          <cell r="M178">
            <v>0</v>
          </cell>
          <cell r="N178">
            <v>225</v>
          </cell>
          <cell r="O178">
            <v>208</v>
          </cell>
          <cell r="P178">
            <v>318</v>
          </cell>
          <cell r="T178">
            <v>906.59999999999945</v>
          </cell>
          <cell r="U178">
            <v>958.39999999999873</v>
          </cell>
          <cell r="V178">
            <v>906.59999999999945</v>
          </cell>
          <cell r="W178">
            <v>1452.8048083668905</v>
          </cell>
          <cell r="X178">
            <v>2313.7499999999991</v>
          </cell>
          <cell r="Y178">
            <v>2507.1999999999998</v>
          </cell>
        </row>
        <row r="179">
          <cell r="B179">
            <v>906.59999999999945</v>
          </cell>
          <cell r="C179">
            <v>1023.1499999999996</v>
          </cell>
          <cell r="D179">
            <v>906.60000000000036</v>
          </cell>
          <cell r="E179">
            <v>-1152.3500000000004</v>
          </cell>
          <cell r="F179">
            <v>-284.70000000000073</v>
          </cell>
          <cell r="G179">
            <v>-2201.3000000000002</v>
          </cell>
          <cell r="K179">
            <v>0</v>
          </cell>
          <cell r="L179">
            <v>0</v>
          </cell>
          <cell r="M179">
            <v>0</v>
          </cell>
          <cell r="N179">
            <v>260</v>
          </cell>
          <cell r="O179">
            <v>175</v>
          </cell>
          <cell r="P179">
            <v>289</v>
          </cell>
          <cell r="T179">
            <v>906.59999999999945</v>
          </cell>
          <cell r="U179">
            <v>951.92499999999927</v>
          </cell>
          <cell r="V179">
            <v>906.59999999999945</v>
          </cell>
          <cell r="W179">
            <v>2249.1999999999994</v>
          </cell>
          <cell r="X179">
            <v>2212.0499999999993</v>
          </cell>
          <cell r="Y179">
            <v>2465.1999999999998</v>
          </cell>
        </row>
        <row r="180">
          <cell r="B180">
            <v>906.59999999999945</v>
          </cell>
          <cell r="C180">
            <v>977.82499999999982</v>
          </cell>
          <cell r="D180">
            <v>906.60000000000036</v>
          </cell>
          <cell r="E180">
            <v>-1061.7000000000007</v>
          </cell>
          <cell r="F180">
            <v>-660.25</v>
          </cell>
          <cell r="G180">
            <v>-2227.2000000000007</v>
          </cell>
          <cell r="K180">
            <v>0</v>
          </cell>
          <cell r="L180">
            <v>0</v>
          </cell>
          <cell r="M180">
            <v>0</v>
          </cell>
          <cell r="N180">
            <v>228</v>
          </cell>
          <cell r="O180">
            <v>176</v>
          </cell>
          <cell r="P180">
            <v>304</v>
          </cell>
          <cell r="T180">
            <v>906.59999999999945</v>
          </cell>
          <cell r="U180">
            <v>932.49999999999909</v>
          </cell>
          <cell r="V180">
            <v>906.59999999999945</v>
          </cell>
          <cell r="W180">
            <v>2283.1999999999998</v>
          </cell>
          <cell r="X180">
            <v>2151.0999999999995</v>
          </cell>
          <cell r="Y180">
            <v>2478.1499999999996</v>
          </cell>
        </row>
        <row r="181">
          <cell r="B181">
            <v>906.59999999999945</v>
          </cell>
          <cell r="C181">
            <v>1010.1999999999998</v>
          </cell>
          <cell r="D181">
            <v>906.59999999999945</v>
          </cell>
          <cell r="E181">
            <v>-763.85000000000036</v>
          </cell>
          <cell r="F181">
            <v>-258.80000000000018</v>
          </cell>
          <cell r="G181">
            <v>-2058.8500000000004</v>
          </cell>
          <cell r="K181">
            <v>0</v>
          </cell>
          <cell r="L181">
            <v>0</v>
          </cell>
          <cell r="M181">
            <v>0</v>
          </cell>
          <cell r="N181">
            <v>226</v>
          </cell>
          <cell r="O181">
            <v>158</v>
          </cell>
          <cell r="P181">
            <v>311</v>
          </cell>
          <cell r="T181">
            <v>906.59999999999945</v>
          </cell>
          <cell r="U181">
            <v>958.39999999999964</v>
          </cell>
          <cell r="V181">
            <v>906.59999999999945</v>
          </cell>
          <cell r="W181">
            <v>2281.1999999999994</v>
          </cell>
          <cell r="X181">
            <v>1180.1307403920707</v>
          </cell>
          <cell r="Y181">
            <v>1089.6750211820554</v>
          </cell>
        </row>
        <row r="182">
          <cell r="B182">
            <v>906.59999999999945</v>
          </cell>
          <cell r="C182">
            <v>1003.7249999999995</v>
          </cell>
          <cell r="D182">
            <v>906.60000000000036</v>
          </cell>
          <cell r="E182">
            <v>-517.80000000000018</v>
          </cell>
          <cell r="F182">
            <v>-310.60000000000036</v>
          </cell>
          <cell r="G182">
            <v>-2460.3000000000002</v>
          </cell>
          <cell r="K182">
            <v>0</v>
          </cell>
          <cell r="L182">
            <v>0</v>
          </cell>
          <cell r="M182">
            <v>0</v>
          </cell>
          <cell r="N182">
            <v>222</v>
          </cell>
          <cell r="O182">
            <v>180</v>
          </cell>
          <cell r="P182">
            <v>334</v>
          </cell>
          <cell r="T182">
            <v>906.59999999999945</v>
          </cell>
          <cell r="U182">
            <v>945.44999999999982</v>
          </cell>
          <cell r="V182">
            <v>906.60000000000036</v>
          </cell>
          <cell r="W182">
            <v>2225.1999999999998</v>
          </cell>
          <cell r="X182">
            <v>2228.9999999999995</v>
          </cell>
          <cell r="Y182">
            <v>1096.231951165008</v>
          </cell>
        </row>
        <row r="183">
          <cell r="B183">
            <v>906.59999999999945</v>
          </cell>
          <cell r="C183">
            <v>971.34999999999945</v>
          </cell>
          <cell r="D183">
            <v>906.59999999999945</v>
          </cell>
          <cell r="E183">
            <v>-1204.1500000000005</v>
          </cell>
          <cell r="F183">
            <v>-375.35000000000036</v>
          </cell>
          <cell r="G183">
            <v>-2667.5</v>
          </cell>
          <cell r="K183">
            <v>0</v>
          </cell>
          <cell r="L183">
            <v>0</v>
          </cell>
          <cell r="M183">
            <v>0</v>
          </cell>
          <cell r="N183">
            <v>227</v>
          </cell>
          <cell r="O183">
            <v>190</v>
          </cell>
          <cell r="P183">
            <v>326</v>
          </cell>
          <cell r="T183">
            <v>906.59999999999945</v>
          </cell>
          <cell r="U183">
            <v>951.92500000000018</v>
          </cell>
          <cell r="V183">
            <v>790.05000000000018</v>
          </cell>
          <cell r="W183">
            <v>2277.1999999999989</v>
          </cell>
          <cell r="X183">
            <v>-498.375</v>
          </cell>
          <cell r="Y183">
            <v>2088.7846558304736</v>
          </cell>
        </row>
        <row r="184">
          <cell r="B184">
            <v>906.59999999999945</v>
          </cell>
          <cell r="C184">
            <v>1010.1999999999989</v>
          </cell>
          <cell r="D184">
            <v>906.59999999999945</v>
          </cell>
          <cell r="E184">
            <v>-1411.3500000000004</v>
          </cell>
          <cell r="F184">
            <v>-673.20000000000073</v>
          </cell>
          <cell r="G184">
            <v>-2382.6000000000004</v>
          </cell>
          <cell r="K184">
            <v>0</v>
          </cell>
          <cell r="L184">
            <v>0</v>
          </cell>
          <cell r="M184">
            <v>0</v>
          </cell>
          <cell r="N184">
            <v>206</v>
          </cell>
          <cell r="O184">
            <v>174</v>
          </cell>
          <cell r="P184">
            <v>329</v>
          </cell>
          <cell r="T184">
            <v>906.59999999999945</v>
          </cell>
          <cell r="U184">
            <v>964.875</v>
          </cell>
          <cell r="V184">
            <v>906.60000000000036</v>
          </cell>
          <cell r="W184">
            <v>-996.95000000000073</v>
          </cell>
          <cell r="X184">
            <v>230.24223411297942</v>
          </cell>
          <cell r="Y184">
            <v>1120.1453158629943</v>
          </cell>
        </row>
        <row r="185">
          <cell r="B185">
            <v>906.59999999999945</v>
          </cell>
          <cell r="C185">
            <v>926.02499999999964</v>
          </cell>
          <cell r="D185">
            <v>906.59999999999945</v>
          </cell>
          <cell r="E185">
            <v>-1087.6000000000004</v>
          </cell>
          <cell r="F185">
            <v>-349.45000000000073</v>
          </cell>
          <cell r="G185">
            <v>-2317.8500000000004</v>
          </cell>
          <cell r="K185">
            <v>0</v>
          </cell>
          <cell r="L185">
            <v>0</v>
          </cell>
          <cell r="M185">
            <v>0</v>
          </cell>
          <cell r="N185">
            <v>236</v>
          </cell>
          <cell r="O185">
            <v>174</v>
          </cell>
          <cell r="P185">
            <v>309</v>
          </cell>
          <cell r="T185">
            <v>906.59999999999945</v>
          </cell>
          <cell r="U185">
            <v>997.24999999999909</v>
          </cell>
          <cell r="V185">
            <v>906.59999999999945</v>
          </cell>
          <cell r="W185">
            <v>1800.3283763480463</v>
          </cell>
          <cell r="X185">
            <v>1310.3193969972745</v>
          </cell>
          <cell r="Y185">
            <v>2475.1999999999998</v>
          </cell>
        </row>
        <row r="186">
          <cell r="B186">
            <v>906.59999999999945</v>
          </cell>
          <cell r="C186">
            <v>990.77499999999964</v>
          </cell>
          <cell r="D186">
            <v>906.60000000000036</v>
          </cell>
          <cell r="E186">
            <v>-932.20000000000073</v>
          </cell>
          <cell r="F186">
            <v>-349.45000000000073</v>
          </cell>
          <cell r="G186">
            <v>-2253.1000000000004</v>
          </cell>
          <cell r="K186">
            <v>0</v>
          </cell>
          <cell r="L186">
            <v>0</v>
          </cell>
          <cell r="M186">
            <v>0</v>
          </cell>
          <cell r="N186">
            <v>208</v>
          </cell>
          <cell r="O186">
            <v>153</v>
          </cell>
          <cell r="P186">
            <v>330</v>
          </cell>
          <cell r="T186">
            <v>906.59999999999945</v>
          </cell>
          <cell r="U186">
            <v>1003.7249999999995</v>
          </cell>
          <cell r="V186">
            <v>906.60000000000036</v>
          </cell>
          <cell r="W186">
            <v>2005.2646708244974</v>
          </cell>
          <cell r="X186">
            <v>2230.9999999999995</v>
          </cell>
          <cell r="Y186">
            <v>2437.1999999999989</v>
          </cell>
        </row>
        <row r="187">
          <cell r="B187">
            <v>906.59999999999945</v>
          </cell>
          <cell r="C187">
            <v>977.82499999999891</v>
          </cell>
          <cell r="D187">
            <v>906.59999999999945</v>
          </cell>
          <cell r="E187">
            <v>-996.95000000000073</v>
          </cell>
          <cell r="F187">
            <v>-394.77499999999964</v>
          </cell>
          <cell r="G187">
            <v>-2395.5500000000002</v>
          </cell>
          <cell r="K187">
            <v>0</v>
          </cell>
          <cell r="L187">
            <v>0</v>
          </cell>
          <cell r="M187">
            <v>0</v>
          </cell>
          <cell r="N187">
            <v>227</v>
          </cell>
          <cell r="O187">
            <v>165</v>
          </cell>
          <cell r="P187">
            <v>318</v>
          </cell>
          <cell r="T187">
            <v>906.59999999999945</v>
          </cell>
          <cell r="U187">
            <v>977.82499999999891</v>
          </cell>
          <cell r="V187">
            <v>906.60000000000036</v>
          </cell>
          <cell r="W187">
            <v>679.99669012003255</v>
          </cell>
          <cell r="X187">
            <v>2280.8999999999996</v>
          </cell>
          <cell r="Y187">
            <v>-1957.3164065365786</v>
          </cell>
        </row>
        <row r="188">
          <cell r="B188">
            <v>906.59999999999945</v>
          </cell>
          <cell r="C188">
            <v>951.92499999999927</v>
          </cell>
          <cell r="D188">
            <v>906.60000000000036</v>
          </cell>
          <cell r="E188">
            <v>-1074.6500000000005</v>
          </cell>
          <cell r="F188">
            <v>-446.57500000000073</v>
          </cell>
          <cell r="G188">
            <v>-2123.6000000000004</v>
          </cell>
          <cell r="K188">
            <v>0</v>
          </cell>
          <cell r="L188">
            <v>0</v>
          </cell>
          <cell r="M188">
            <v>0</v>
          </cell>
          <cell r="N188">
            <v>228</v>
          </cell>
          <cell r="O188">
            <v>199</v>
          </cell>
          <cell r="P188">
            <v>323</v>
          </cell>
          <cell r="T188">
            <v>906.59999999999945</v>
          </cell>
          <cell r="U188">
            <v>971.34999999999945</v>
          </cell>
          <cell r="V188">
            <v>919.55000000000018</v>
          </cell>
          <cell r="W188">
            <v>2255.1999999999998</v>
          </cell>
          <cell r="X188">
            <v>2234.9</v>
          </cell>
          <cell r="Y188">
            <v>358.00574615475489</v>
          </cell>
        </row>
        <row r="189">
          <cell r="B189">
            <v>906.59999999999945</v>
          </cell>
          <cell r="C189">
            <v>1036.0999999999995</v>
          </cell>
          <cell r="D189">
            <v>893.64999999999964</v>
          </cell>
          <cell r="E189">
            <v>-1255.9500000000007</v>
          </cell>
          <cell r="F189">
            <v>-466</v>
          </cell>
          <cell r="G189">
            <v>-2395.5500000000002</v>
          </cell>
          <cell r="K189">
            <v>0</v>
          </cell>
          <cell r="L189">
            <v>0</v>
          </cell>
          <cell r="M189">
            <v>0</v>
          </cell>
          <cell r="N189">
            <v>222</v>
          </cell>
          <cell r="O189">
            <v>199</v>
          </cell>
          <cell r="P189">
            <v>337</v>
          </cell>
          <cell r="T189">
            <v>906.59999999999945</v>
          </cell>
          <cell r="U189">
            <v>932.49999999999909</v>
          </cell>
          <cell r="V189">
            <v>906.60000000000036</v>
          </cell>
          <cell r="W189">
            <v>2275.1999999999998</v>
          </cell>
          <cell r="X189">
            <v>2229.474999999999</v>
          </cell>
          <cell r="Y189">
            <v>350.30053440012216</v>
          </cell>
        </row>
        <row r="190">
          <cell r="B190">
            <v>906.59999999999945</v>
          </cell>
          <cell r="C190">
            <v>977.82499999999982</v>
          </cell>
          <cell r="D190">
            <v>906.60000000000036</v>
          </cell>
          <cell r="E190">
            <v>-699.10000000000036</v>
          </cell>
          <cell r="F190">
            <v>-440.10000000000036</v>
          </cell>
          <cell r="G190">
            <v>-2110.6500000000005</v>
          </cell>
          <cell r="K190">
            <v>0</v>
          </cell>
          <cell r="L190">
            <v>0</v>
          </cell>
          <cell r="M190">
            <v>0</v>
          </cell>
          <cell r="N190">
            <v>210</v>
          </cell>
          <cell r="O190">
            <v>190</v>
          </cell>
          <cell r="P190">
            <v>325</v>
          </cell>
          <cell r="T190">
            <v>906.59999999999945</v>
          </cell>
          <cell r="U190">
            <v>977.82499999999891</v>
          </cell>
          <cell r="V190">
            <v>906.60000000000036</v>
          </cell>
          <cell r="W190">
            <v>945.96302588816161</v>
          </cell>
          <cell r="X190">
            <v>1050.310314872856</v>
          </cell>
          <cell r="Y190">
            <v>2439.1999999999989</v>
          </cell>
        </row>
        <row r="191">
          <cell r="B191">
            <v>906.59999999999945</v>
          </cell>
          <cell r="C191">
            <v>1036.0999999999985</v>
          </cell>
          <cell r="D191">
            <v>919.54999999999927</v>
          </cell>
          <cell r="E191">
            <v>-945.15000000000055</v>
          </cell>
          <cell r="F191">
            <v>-342.97500000000036</v>
          </cell>
          <cell r="G191">
            <v>-2538</v>
          </cell>
          <cell r="K191">
            <v>0</v>
          </cell>
          <cell r="L191">
            <v>0</v>
          </cell>
          <cell r="M191">
            <v>0</v>
          </cell>
          <cell r="N191">
            <v>221</v>
          </cell>
          <cell r="O191">
            <v>195</v>
          </cell>
          <cell r="P191">
            <v>328</v>
          </cell>
          <cell r="T191">
            <v>906.59999999999945</v>
          </cell>
          <cell r="U191">
            <v>951.92500000000018</v>
          </cell>
          <cell r="V191">
            <v>914.60000000000014</v>
          </cell>
          <cell r="W191">
            <v>-771.11136416715726</v>
          </cell>
          <cell r="X191">
            <v>2272.8999999999996</v>
          </cell>
          <cell r="Y191">
            <v>2469.1999999999989</v>
          </cell>
        </row>
        <row r="192">
          <cell r="B192">
            <v>906.59999999999945</v>
          </cell>
          <cell r="C192">
            <v>1010.1999999999989</v>
          </cell>
          <cell r="D192">
            <v>906.60000000000036</v>
          </cell>
          <cell r="E192">
            <v>-1489.0500000000002</v>
          </cell>
          <cell r="F192">
            <v>-297.65000000000055</v>
          </cell>
          <cell r="G192">
            <v>-2188.3500000000004</v>
          </cell>
          <cell r="K192">
            <v>0</v>
          </cell>
          <cell r="L192">
            <v>0</v>
          </cell>
          <cell r="M192">
            <v>0</v>
          </cell>
          <cell r="N192">
            <v>242</v>
          </cell>
          <cell r="O192">
            <v>181</v>
          </cell>
          <cell r="P192">
            <v>315</v>
          </cell>
          <cell r="T192">
            <v>906.59999999999945</v>
          </cell>
          <cell r="U192">
            <v>964.875</v>
          </cell>
          <cell r="V192">
            <v>906.59999999999945</v>
          </cell>
          <cell r="W192">
            <v>-815.65000000000055</v>
          </cell>
          <cell r="X192">
            <v>-401.25</v>
          </cell>
          <cell r="Y192">
            <v>2515.1999999999998</v>
          </cell>
        </row>
        <row r="193">
          <cell r="B193">
            <v>906.59999999999945</v>
          </cell>
          <cell r="C193">
            <v>964.875</v>
          </cell>
          <cell r="D193">
            <v>906.59999999999945</v>
          </cell>
          <cell r="E193">
            <v>-1191.2000000000007</v>
          </cell>
          <cell r="F193">
            <v>-595.5</v>
          </cell>
          <cell r="G193">
            <v>-2460.3000000000002</v>
          </cell>
          <cell r="K193">
            <v>0</v>
          </cell>
          <cell r="L193">
            <v>0</v>
          </cell>
          <cell r="M193">
            <v>0</v>
          </cell>
          <cell r="N193">
            <v>208</v>
          </cell>
          <cell r="O193">
            <v>158</v>
          </cell>
          <cell r="P193">
            <v>295</v>
          </cell>
          <cell r="T193">
            <v>906.59999999999945</v>
          </cell>
          <cell r="U193">
            <v>964.87499999999909</v>
          </cell>
          <cell r="V193">
            <v>906.59999999999945</v>
          </cell>
          <cell r="W193">
            <v>2267.1999999999989</v>
          </cell>
          <cell r="X193">
            <v>-337.11236395905792</v>
          </cell>
          <cell r="Y193">
            <v>1467.3937797547596</v>
          </cell>
        </row>
        <row r="194">
          <cell r="B194">
            <v>906.59999999999945</v>
          </cell>
          <cell r="C194">
            <v>958.39999999999964</v>
          </cell>
          <cell r="D194">
            <v>906.59999999999945</v>
          </cell>
          <cell r="E194">
            <v>-919.25</v>
          </cell>
          <cell r="F194">
            <v>-453.05000000000109</v>
          </cell>
          <cell r="G194">
            <v>-2304.9000000000005</v>
          </cell>
          <cell r="K194">
            <v>0</v>
          </cell>
          <cell r="L194">
            <v>0</v>
          </cell>
          <cell r="M194">
            <v>0</v>
          </cell>
          <cell r="N194">
            <v>207</v>
          </cell>
          <cell r="O194">
            <v>206</v>
          </cell>
          <cell r="P194">
            <v>311</v>
          </cell>
          <cell r="T194">
            <v>906.59999999999945</v>
          </cell>
          <cell r="U194">
            <v>1003.7249999999995</v>
          </cell>
          <cell r="V194">
            <v>906.59999999999945</v>
          </cell>
          <cell r="W194">
            <v>482.41092662975598</v>
          </cell>
          <cell r="X194">
            <v>2216.9999999999991</v>
          </cell>
          <cell r="Y194">
            <v>-2207.0448526070923</v>
          </cell>
        </row>
        <row r="195">
          <cell r="B195">
            <v>906.59999999999945</v>
          </cell>
          <cell r="C195">
            <v>951.92500000000018</v>
          </cell>
          <cell r="D195">
            <v>906.59999999999945</v>
          </cell>
          <cell r="E195">
            <v>-854.5</v>
          </cell>
          <cell r="F195">
            <v>-524.27499999999964</v>
          </cell>
          <cell r="G195">
            <v>-2732.25</v>
          </cell>
          <cell r="K195">
            <v>0</v>
          </cell>
          <cell r="L195">
            <v>0</v>
          </cell>
          <cell r="M195">
            <v>0</v>
          </cell>
          <cell r="N195">
            <v>214</v>
          </cell>
          <cell r="O195">
            <v>176</v>
          </cell>
          <cell r="P195">
            <v>343</v>
          </cell>
          <cell r="T195">
            <v>906.59999999999945</v>
          </cell>
          <cell r="U195">
            <v>951.92500000000018</v>
          </cell>
          <cell r="V195">
            <v>906.60000000000036</v>
          </cell>
          <cell r="W195">
            <v>2241.1999999999994</v>
          </cell>
          <cell r="X195">
            <v>2178.5249999999996</v>
          </cell>
          <cell r="Y195">
            <v>2007.707004109584</v>
          </cell>
        </row>
        <row r="196">
          <cell r="B196">
            <v>906.59999999999945</v>
          </cell>
          <cell r="C196">
            <v>951.92499999999927</v>
          </cell>
          <cell r="D196">
            <v>906.60000000000036</v>
          </cell>
          <cell r="E196">
            <v>-789.75</v>
          </cell>
          <cell r="F196">
            <v>-342.97500000000036</v>
          </cell>
          <cell r="G196">
            <v>-2589.8000000000002</v>
          </cell>
          <cell r="K196">
            <v>0</v>
          </cell>
          <cell r="L196">
            <v>0</v>
          </cell>
          <cell r="M196">
            <v>0</v>
          </cell>
          <cell r="N196">
            <v>209</v>
          </cell>
          <cell r="O196">
            <v>181</v>
          </cell>
          <cell r="P196">
            <v>330</v>
          </cell>
          <cell r="T196">
            <v>906.59999999999945</v>
          </cell>
          <cell r="U196">
            <v>951.92500000000018</v>
          </cell>
          <cell r="V196">
            <v>906.60000000000036</v>
          </cell>
          <cell r="W196">
            <v>1757.2750136317177</v>
          </cell>
          <cell r="X196">
            <v>905.04226862420342</v>
          </cell>
          <cell r="Y196">
            <v>2495.1999999999998</v>
          </cell>
        </row>
        <row r="197">
          <cell r="B197">
            <v>906.59999999999945</v>
          </cell>
          <cell r="C197">
            <v>977.82499999999891</v>
          </cell>
          <cell r="D197">
            <v>906.59999999999945</v>
          </cell>
          <cell r="E197">
            <v>-1243</v>
          </cell>
          <cell r="F197">
            <v>-103.40000000000055</v>
          </cell>
          <cell r="G197">
            <v>-2473.25</v>
          </cell>
          <cell r="K197">
            <v>0</v>
          </cell>
          <cell r="L197">
            <v>0</v>
          </cell>
          <cell r="M197">
            <v>0</v>
          </cell>
          <cell r="N197">
            <v>207</v>
          </cell>
          <cell r="O197">
            <v>195</v>
          </cell>
          <cell r="P197">
            <v>341</v>
          </cell>
          <cell r="T197">
            <v>906.59999999999945</v>
          </cell>
          <cell r="U197">
            <v>990.77499999999873</v>
          </cell>
          <cell r="V197">
            <v>906.59999999999945</v>
          </cell>
          <cell r="W197">
            <v>132.69492646609979</v>
          </cell>
          <cell r="X197">
            <v>-569.60000000000036</v>
          </cell>
          <cell r="Y197">
            <v>1754.9743845083076</v>
          </cell>
        </row>
        <row r="198">
          <cell r="B198">
            <v>906.59999999999945</v>
          </cell>
          <cell r="C198">
            <v>990.77499999999873</v>
          </cell>
          <cell r="D198">
            <v>906.60000000000036</v>
          </cell>
          <cell r="E198">
            <v>-1217.1000000000004</v>
          </cell>
          <cell r="F198">
            <v>-647.30000000000109</v>
          </cell>
          <cell r="G198">
            <v>-2408.5</v>
          </cell>
          <cell r="K198">
            <v>0</v>
          </cell>
          <cell r="L198">
            <v>0</v>
          </cell>
          <cell r="M198">
            <v>0</v>
          </cell>
          <cell r="N198">
            <v>206</v>
          </cell>
          <cell r="O198">
            <v>171</v>
          </cell>
          <cell r="P198">
            <v>318</v>
          </cell>
          <cell r="T198">
            <v>906.59999999999945</v>
          </cell>
          <cell r="U198">
            <v>971.34999999999945</v>
          </cell>
          <cell r="V198">
            <v>906.59999999999945</v>
          </cell>
          <cell r="W198">
            <v>2289.1999999999994</v>
          </cell>
          <cell r="X198">
            <v>2274.7999999999997</v>
          </cell>
          <cell r="Y198">
            <v>-435.23808141161658</v>
          </cell>
        </row>
        <row r="199">
          <cell r="B199">
            <v>906.59999999999945</v>
          </cell>
          <cell r="C199">
            <v>951.92500000000018</v>
          </cell>
          <cell r="D199">
            <v>906.59999999999945</v>
          </cell>
          <cell r="E199">
            <v>-945.15000000000055</v>
          </cell>
          <cell r="F199">
            <v>-466</v>
          </cell>
          <cell r="G199">
            <v>-2369.6500000000005</v>
          </cell>
          <cell r="K199">
            <v>0</v>
          </cell>
          <cell r="L199">
            <v>0</v>
          </cell>
          <cell r="M199">
            <v>0</v>
          </cell>
          <cell r="N199">
            <v>221</v>
          </cell>
          <cell r="O199">
            <v>168</v>
          </cell>
          <cell r="P199">
            <v>319</v>
          </cell>
          <cell r="T199">
            <v>906.59999999999945</v>
          </cell>
          <cell r="U199">
            <v>984.29999999999927</v>
          </cell>
          <cell r="V199">
            <v>906.59999999999945</v>
          </cell>
          <cell r="W199">
            <v>2279.1999999999994</v>
          </cell>
          <cell r="X199">
            <v>2212.0499999999993</v>
          </cell>
          <cell r="Y199">
            <v>2455.1999999999998</v>
          </cell>
        </row>
        <row r="200">
          <cell r="B200">
            <v>906.59999999999945</v>
          </cell>
          <cell r="C200">
            <v>945.44999999999891</v>
          </cell>
          <cell r="D200">
            <v>906.59999999999945</v>
          </cell>
          <cell r="E200">
            <v>-763.85000000000036</v>
          </cell>
          <cell r="F200">
            <v>-550.17500000000109</v>
          </cell>
          <cell r="G200">
            <v>-2330.8000000000002</v>
          </cell>
          <cell r="K200">
            <v>0</v>
          </cell>
          <cell r="L200">
            <v>0</v>
          </cell>
          <cell r="M200">
            <v>0</v>
          </cell>
          <cell r="N200">
            <v>218</v>
          </cell>
          <cell r="O200">
            <v>172</v>
          </cell>
          <cell r="P200">
            <v>321</v>
          </cell>
          <cell r="T200">
            <v>906.59999999999945</v>
          </cell>
          <cell r="U200">
            <v>964.87499999999909</v>
          </cell>
          <cell r="V200">
            <v>906.59999999999945</v>
          </cell>
          <cell r="W200">
            <v>1837.9286831110435</v>
          </cell>
          <cell r="X200">
            <v>2305.9499999999994</v>
          </cell>
          <cell r="Y200">
            <v>2485.1999999999998</v>
          </cell>
        </row>
        <row r="201">
          <cell r="B201">
            <v>906.59999999999945</v>
          </cell>
          <cell r="C201">
            <v>990.77499999999964</v>
          </cell>
          <cell r="D201">
            <v>906.60000000000036</v>
          </cell>
          <cell r="E201">
            <v>-1061.7000000000007</v>
          </cell>
          <cell r="F201">
            <v>-407.72500000000036</v>
          </cell>
          <cell r="G201">
            <v>-2175.4000000000005</v>
          </cell>
          <cell r="K201">
            <v>0</v>
          </cell>
          <cell r="L201">
            <v>0</v>
          </cell>
          <cell r="M201">
            <v>0</v>
          </cell>
          <cell r="N201">
            <v>231</v>
          </cell>
          <cell r="O201">
            <v>192</v>
          </cell>
          <cell r="P201">
            <v>341</v>
          </cell>
          <cell r="T201">
            <v>906.59999999999945</v>
          </cell>
          <cell r="U201">
            <v>951.92499999999927</v>
          </cell>
          <cell r="V201">
            <v>906.59999999999945</v>
          </cell>
          <cell r="W201">
            <v>2259.1999999999994</v>
          </cell>
          <cell r="X201">
            <v>1619.0115418053629</v>
          </cell>
          <cell r="Y201">
            <v>2489.1999999999989</v>
          </cell>
        </row>
        <row r="202">
          <cell r="B202">
            <v>906.59999999999945</v>
          </cell>
          <cell r="C202">
            <v>951.92499999999927</v>
          </cell>
          <cell r="D202">
            <v>906.59999999999945</v>
          </cell>
          <cell r="E202">
            <v>-1074.6500000000005</v>
          </cell>
          <cell r="F202">
            <v>-187.57500000000073</v>
          </cell>
          <cell r="G202">
            <v>-2589.8000000000002</v>
          </cell>
          <cell r="K202">
            <v>0</v>
          </cell>
          <cell r="L202">
            <v>0</v>
          </cell>
          <cell r="M202">
            <v>0</v>
          </cell>
          <cell r="N202">
            <v>220</v>
          </cell>
          <cell r="O202">
            <v>191</v>
          </cell>
          <cell r="P202">
            <v>307</v>
          </cell>
          <cell r="T202">
            <v>906.59999999999945</v>
          </cell>
          <cell r="U202">
            <v>971.34999999999854</v>
          </cell>
          <cell r="V202">
            <v>908.59999999999968</v>
          </cell>
          <cell r="W202">
            <v>2233.1999999999998</v>
          </cell>
          <cell r="X202">
            <v>1063.069598255905</v>
          </cell>
          <cell r="Y202">
            <v>-2602.75</v>
          </cell>
        </row>
        <row r="203">
          <cell r="B203">
            <v>906.59999999999945</v>
          </cell>
          <cell r="C203">
            <v>984.29999999999927</v>
          </cell>
          <cell r="D203">
            <v>906.60000000000036</v>
          </cell>
          <cell r="E203">
            <v>-1022.8500000000004</v>
          </cell>
          <cell r="F203">
            <v>-304.125</v>
          </cell>
          <cell r="G203">
            <v>-2279</v>
          </cell>
          <cell r="K203">
            <v>0</v>
          </cell>
          <cell r="L203">
            <v>0</v>
          </cell>
          <cell r="M203">
            <v>0</v>
          </cell>
          <cell r="N203">
            <v>193</v>
          </cell>
          <cell r="O203">
            <v>173</v>
          </cell>
          <cell r="P203">
            <v>286</v>
          </cell>
          <cell r="T203">
            <v>906.59999999999945</v>
          </cell>
          <cell r="U203">
            <v>958.39999999999964</v>
          </cell>
          <cell r="V203">
            <v>906.60000000000036</v>
          </cell>
          <cell r="W203">
            <v>2287.1999999999989</v>
          </cell>
          <cell r="X203">
            <v>2249.9499999999998</v>
          </cell>
          <cell r="Y203">
            <v>-1937.9890106228356</v>
          </cell>
        </row>
        <row r="204">
          <cell r="B204">
            <v>906.59999999999945</v>
          </cell>
          <cell r="C204">
            <v>990.77499999999873</v>
          </cell>
          <cell r="D204">
            <v>906.59999999999945</v>
          </cell>
          <cell r="E204">
            <v>-1022.8500000000004</v>
          </cell>
          <cell r="F204">
            <v>-174.625</v>
          </cell>
          <cell r="G204">
            <v>-2473.25</v>
          </cell>
          <cell r="K204">
            <v>0</v>
          </cell>
          <cell r="L204">
            <v>0</v>
          </cell>
          <cell r="M204">
            <v>0</v>
          </cell>
          <cell r="N204">
            <v>236</v>
          </cell>
          <cell r="O204">
            <v>182</v>
          </cell>
          <cell r="P204">
            <v>306</v>
          </cell>
          <cell r="T204">
            <v>906.59999999999945</v>
          </cell>
          <cell r="U204">
            <v>964.875</v>
          </cell>
          <cell r="V204">
            <v>906.59999999999945</v>
          </cell>
          <cell r="W204">
            <v>1310.3510213913569</v>
          </cell>
          <cell r="X204">
            <v>-252.32500000000073</v>
          </cell>
          <cell r="Y204">
            <v>2467.1999999999998</v>
          </cell>
        </row>
        <row r="205">
          <cell r="B205">
            <v>906.59999999999945</v>
          </cell>
          <cell r="C205">
            <v>964.875</v>
          </cell>
          <cell r="D205">
            <v>906.60000000000036</v>
          </cell>
          <cell r="E205">
            <v>-1048.75</v>
          </cell>
          <cell r="F205">
            <v>-323.55000000000018</v>
          </cell>
          <cell r="G205">
            <v>-2382.6000000000004</v>
          </cell>
          <cell r="K205">
            <v>0</v>
          </cell>
          <cell r="L205">
            <v>0</v>
          </cell>
          <cell r="M205">
            <v>0</v>
          </cell>
          <cell r="N205">
            <v>221</v>
          </cell>
          <cell r="O205">
            <v>199</v>
          </cell>
          <cell r="P205">
            <v>326</v>
          </cell>
          <cell r="T205">
            <v>906.59999999999945</v>
          </cell>
          <cell r="U205">
            <v>1003.7250000000004</v>
          </cell>
          <cell r="V205">
            <v>906.60000000000036</v>
          </cell>
          <cell r="W205">
            <v>529.88451739847687</v>
          </cell>
          <cell r="X205">
            <v>2224.4249999999993</v>
          </cell>
          <cell r="Y205">
            <v>2503.1999999999998</v>
          </cell>
        </row>
        <row r="206">
          <cell r="B206">
            <v>906.59999999999945</v>
          </cell>
          <cell r="C206">
            <v>977.82499999999891</v>
          </cell>
          <cell r="D206">
            <v>906.59999999999945</v>
          </cell>
          <cell r="E206">
            <v>-1048.75</v>
          </cell>
          <cell r="F206">
            <v>-608.45000000000073</v>
          </cell>
          <cell r="G206">
            <v>-2266.0500000000002</v>
          </cell>
          <cell r="K206">
            <v>0</v>
          </cell>
          <cell r="L206">
            <v>0</v>
          </cell>
          <cell r="M206">
            <v>0</v>
          </cell>
          <cell r="N206">
            <v>235</v>
          </cell>
          <cell r="O206">
            <v>183</v>
          </cell>
          <cell r="P206">
            <v>325</v>
          </cell>
          <cell r="T206">
            <v>906.59999999999945</v>
          </cell>
          <cell r="U206">
            <v>977.82499999999982</v>
          </cell>
          <cell r="V206">
            <v>906.59999999999945</v>
          </cell>
          <cell r="W206">
            <v>2281.1999999999994</v>
          </cell>
          <cell r="X206">
            <v>2215</v>
          </cell>
          <cell r="Y206">
            <v>2453.1999999999998</v>
          </cell>
        </row>
        <row r="207">
          <cell r="B207">
            <v>906.59999999999945</v>
          </cell>
          <cell r="C207">
            <v>984.30000000000018</v>
          </cell>
          <cell r="D207">
            <v>906.59999999999945</v>
          </cell>
          <cell r="E207">
            <v>-1048.75</v>
          </cell>
          <cell r="F207">
            <v>-407.72500000000036</v>
          </cell>
          <cell r="G207">
            <v>-2434.4000000000005</v>
          </cell>
          <cell r="K207">
            <v>0</v>
          </cell>
          <cell r="L207">
            <v>0</v>
          </cell>
          <cell r="M207">
            <v>0</v>
          </cell>
          <cell r="N207">
            <v>225</v>
          </cell>
          <cell r="O207">
            <v>187</v>
          </cell>
          <cell r="P207">
            <v>337</v>
          </cell>
          <cell r="T207">
            <v>906.59999999999945</v>
          </cell>
          <cell r="U207">
            <v>984.30000000000018</v>
          </cell>
          <cell r="V207">
            <v>926.59999999999945</v>
          </cell>
          <cell r="W207">
            <v>2281.1999999999994</v>
          </cell>
          <cell r="X207">
            <v>2243.9499999999994</v>
          </cell>
          <cell r="Y207">
            <v>869.74173292418754</v>
          </cell>
        </row>
        <row r="208">
          <cell r="B208">
            <v>906.59999999999945</v>
          </cell>
          <cell r="C208">
            <v>1016.6750000000002</v>
          </cell>
          <cell r="D208">
            <v>777.09999999999945</v>
          </cell>
          <cell r="E208">
            <v>-1126.4500000000007</v>
          </cell>
          <cell r="F208">
            <v>-491.90000000000055</v>
          </cell>
          <cell r="G208">
            <v>-2356.6999999999998</v>
          </cell>
          <cell r="K208">
            <v>0</v>
          </cell>
          <cell r="L208">
            <v>0</v>
          </cell>
          <cell r="M208">
            <v>4</v>
          </cell>
          <cell r="N208">
            <v>241</v>
          </cell>
          <cell r="O208">
            <v>179</v>
          </cell>
          <cell r="P208">
            <v>321</v>
          </cell>
          <cell r="T208">
            <v>906.59999999999945</v>
          </cell>
          <cell r="U208">
            <v>977.82499999999891</v>
          </cell>
          <cell r="V208">
            <v>906.59999999999945</v>
          </cell>
          <cell r="W208">
            <v>2269.1999999999994</v>
          </cell>
          <cell r="X208">
            <v>2272.3249999999998</v>
          </cell>
          <cell r="Y208">
            <v>-2434.4000000000005</v>
          </cell>
        </row>
        <row r="209">
          <cell r="B209">
            <v>906.59999999999945</v>
          </cell>
          <cell r="C209">
            <v>964.875</v>
          </cell>
          <cell r="D209">
            <v>906.60000000000036</v>
          </cell>
          <cell r="E209">
            <v>-802.70000000000073</v>
          </cell>
          <cell r="F209">
            <v>-265.27499999999964</v>
          </cell>
          <cell r="G209">
            <v>-2317.8500000000004</v>
          </cell>
          <cell r="K209">
            <v>0</v>
          </cell>
          <cell r="L209">
            <v>0</v>
          </cell>
          <cell r="M209">
            <v>0</v>
          </cell>
          <cell r="N209">
            <v>231</v>
          </cell>
          <cell r="O209">
            <v>169</v>
          </cell>
          <cell r="P209">
            <v>317</v>
          </cell>
          <cell r="T209">
            <v>906.59999999999945</v>
          </cell>
          <cell r="U209">
            <v>1016.6750000000002</v>
          </cell>
          <cell r="V209">
            <v>906.59999999999945</v>
          </cell>
          <cell r="W209">
            <v>1935.0147369820693</v>
          </cell>
          <cell r="X209">
            <v>2208.9999999999995</v>
          </cell>
          <cell r="Y209">
            <v>2479.1999999999989</v>
          </cell>
        </row>
        <row r="210">
          <cell r="B210">
            <v>906.59999999999945</v>
          </cell>
          <cell r="C210">
            <v>958.39999999999964</v>
          </cell>
          <cell r="D210">
            <v>906.59999999999945</v>
          </cell>
          <cell r="E210">
            <v>-1126.4500000000007</v>
          </cell>
          <cell r="F210">
            <v>-472.47500000000036</v>
          </cell>
          <cell r="G210">
            <v>-2343.75</v>
          </cell>
          <cell r="K210">
            <v>0</v>
          </cell>
          <cell r="L210">
            <v>0</v>
          </cell>
          <cell r="M210">
            <v>0</v>
          </cell>
          <cell r="N210">
            <v>223</v>
          </cell>
          <cell r="O210">
            <v>191</v>
          </cell>
          <cell r="P210">
            <v>319</v>
          </cell>
          <cell r="T210">
            <v>906.59999999999945</v>
          </cell>
          <cell r="U210">
            <v>971.34999999999854</v>
          </cell>
          <cell r="V210">
            <v>906.60000000000036</v>
          </cell>
          <cell r="W210">
            <v>13.820090471960157</v>
          </cell>
          <cell r="X210">
            <v>2183.4749999999995</v>
          </cell>
          <cell r="Y210">
            <v>1845.8460893902393</v>
          </cell>
        </row>
        <row r="211">
          <cell r="B211">
            <v>906.59999999999945</v>
          </cell>
          <cell r="C211">
            <v>977.82499999999982</v>
          </cell>
          <cell r="D211">
            <v>906.60000000000036</v>
          </cell>
          <cell r="E211">
            <v>-984</v>
          </cell>
          <cell r="F211">
            <v>-433.625</v>
          </cell>
          <cell r="G211">
            <v>-2563.9000000000005</v>
          </cell>
          <cell r="K211">
            <v>0</v>
          </cell>
          <cell r="L211">
            <v>0</v>
          </cell>
          <cell r="M211">
            <v>0</v>
          </cell>
          <cell r="N211">
            <v>236</v>
          </cell>
          <cell r="O211">
            <v>180</v>
          </cell>
          <cell r="P211">
            <v>325</v>
          </cell>
          <cell r="T211">
            <v>906.59999999999945</v>
          </cell>
          <cell r="U211">
            <v>997.25</v>
          </cell>
          <cell r="V211">
            <v>906.59999999999945</v>
          </cell>
          <cell r="W211">
            <v>814.41028691900692</v>
          </cell>
          <cell r="X211">
            <v>2211.9499999999994</v>
          </cell>
          <cell r="Y211">
            <v>2453.1999999999998</v>
          </cell>
        </row>
        <row r="212">
          <cell r="B212">
            <v>906.59999999999945</v>
          </cell>
          <cell r="C212">
            <v>971.34999999999945</v>
          </cell>
          <cell r="D212">
            <v>906.59999999999945</v>
          </cell>
          <cell r="E212">
            <v>-1514.9500000000007</v>
          </cell>
          <cell r="F212">
            <v>-692.625</v>
          </cell>
          <cell r="G212">
            <v>-2253.1000000000004</v>
          </cell>
          <cell r="K212">
            <v>0</v>
          </cell>
          <cell r="L212">
            <v>0</v>
          </cell>
          <cell r="M212">
            <v>0</v>
          </cell>
          <cell r="N212">
            <v>220</v>
          </cell>
          <cell r="O212">
            <v>181</v>
          </cell>
          <cell r="P212">
            <v>311</v>
          </cell>
          <cell r="T212">
            <v>906.59999999999945</v>
          </cell>
          <cell r="U212">
            <v>945.44999999999982</v>
          </cell>
          <cell r="V212">
            <v>906.59999999999945</v>
          </cell>
          <cell r="W212">
            <v>2255.1999999999998</v>
          </cell>
          <cell r="X212">
            <v>2246.9999999999991</v>
          </cell>
          <cell r="Y212">
            <v>2469.1999999999989</v>
          </cell>
        </row>
        <row r="213">
          <cell r="B213">
            <v>906.59999999999945</v>
          </cell>
          <cell r="C213">
            <v>1023.1499999999996</v>
          </cell>
          <cell r="D213">
            <v>906.59999999999945</v>
          </cell>
          <cell r="E213">
            <v>-634.35000000000036</v>
          </cell>
          <cell r="F213">
            <v>-718.52499999999964</v>
          </cell>
          <cell r="G213">
            <v>-2330.8000000000002</v>
          </cell>
          <cell r="K213">
            <v>0</v>
          </cell>
          <cell r="L213">
            <v>0</v>
          </cell>
          <cell r="M213">
            <v>0</v>
          </cell>
          <cell r="N213">
            <v>218</v>
          </cell>
          <cell r="O213">
            <v>214</v>
          </cell>
          <cell r="P213">
            <v>320</v>
          </cell>
          <cell r="T213">
            <v>906.59999999999945</v>
          </cell>
          <cell r="U213">
            <v>964.87499999999909</v>
          </cell>
          <cell r="V213">
            <v>906.59999999999945</v>
          </cell>
          <cell r="W213">
            <v>1320.8919236007155</v>
          </cell>
          <cell r="X213">
            <v>2187.2062066223248</v>
          </cell>
          <cell r="Y213">
            <v>2447.1999999999998</v>
          </cell>
        </row>
        <row r="214">
          <cell r="B214">
            <v>906.59999999999945</v>
          </cell>
          <cell r="C214">
            <v>971.35000000000036</v>
          </cell>
          <cell r="D214">
            <v>906.60000000000036</v>
          </cell>
          <cell r="E214">
            <v>-1048.75</v>
          </cell>
          <cell r="F214">
            <v>-601.97500000000036</v>
          </cell>
          <cell r="G214">
            <v>-2123.6000000000004</v>
          </cell>
          <cell r="K214">
            <v>0</v>
          </cell>
          <cell r="L214">
            <v>0</v>
          </cell>
          <cell r="M214">
            <v>0</v>
          </cell>
          <cell r="N214">
            <v>228</v>
          </cell>
          <cell r="O214">
            <v>188</v>
          </cell>
          <cell r="P214">
            <v>303</v>
          </cell>
          <cell r="T214">
            <v>906.59999999999945</v>
          </cell>
          <cell r="U214">
            <v>997.25</v>
          </cell>
          <cell r="V214">
            <v>906.60000000000036</v>
          </cell>
          <cell r="W214">
            <v>2247.1999999999989</v>
          </cell>
          <cell r="X214">
            <v>1507.8435445251707</v>
          </cell>
          <cell r="Y214">
            <v>2370.3319403954001</v>
          </cell>
        </row>
        <row r="215">
          <cell r="B215">
            <v>906.59999999999945</v>
          </cell>
          <cell r="C215">
            <v>951.92500000000018</v>
          </cell>
          <cell r="D215">
            <v>906.59999999999945</v>
          </cell>
          <cell r="E215">
            <v>-958.10000000000036</v>
          </cell>
          <cell r="F215">
            <v>-666.72500000000036</v>
          </cell>
          <cell r="G215">
            <v>-2434.4000000000005</v>
          </cell>
          <cell r="K215">
            <v>0</v>
          </cell>
          <cell r="L215">
            <v>0</v>
          </cell>
          <cell r="M215">
            <v>0</v>
          </cell>
          <cell r="N215">
            <v>222</v>
          </cell>
          <cell r="O215">
            <v>182</v>
          </cell>
          <cell r="P215">
            <v>314</v>
          </cell>
          <cell r="T215">
            <v>906.59999999999945</v>
          </cell>
          <cell r="U215">
            <v>951.92499999999927</v>
          </cell>
          <cell r="V215">
            <v>906.59999999999945</v>
          </cell>
          <cell r="W215">
            <v>2253.1999999999998</v>
          </cell>
          <cell r="X215">
            <v>2238.9999999999995</v>
          </cell>
          <cell r="Y215">
            <v>1471.5383231655387</v>
          </cell>
        </row>
        <row r="216">
          <cell r="B216">
            <v>906.59999999999945</v>
          </cell>
          <cell r="C216">
            <v>977.82499999999982</v>
          </cell>
          <cell r="D216">
            <v>906.59999999999945</v>
          </cell>
          <cell r="E216">
            <v>-828.60000000000036</v>
          </cell>
          <cell r="F216">
            <v>-472.47500000000036</v>
          </cell>
          <cell r="G216">
            <v>-2291.9499999999998</v>
          </cell>
          <cell r="K216">
            <v>0</v>
          </cell>
          <cell r="L216">
            <v>0</v>
          </cell>
          <cell r="M216">
            <v>0</v>
          </cell>
          <cell r="N216">
            <v>209</v>
          </cell>
          <cell r="O216">
            <v>184</v>
          </cell>
          <cell r="P216">
            <v>329</v>
          </cell>
          <cell r="T216">
            <v>906.59999999999945</v>
          </cell>
          <cell r="U216">
            <v>964.87499999999909</v>
          </cell>
          <cell r="V216">
            <v>906.59999999999945</v>
          </cell>
          <cell r="W216">
            <v>2295.1999999999998</v>
          </cell>
          <cell r="X216">
            <v>2258.3249999999994</v>
          </cell>
          <cell r="Y216">
            <v>2463.1999999999998</v>
          </cell>
        </row>
        <row r="217">
          <cell r="B217">
            <v>906.59999999999945</v>
          </cell>
          <cell r="C217">
            <v>958.39999999999964</v>
          </cell>
          <cell r="D217">
            <v>906.59999999999945</v>
          </cell>
          <cell r="E217">
            <v>-1191.2000000000007</v>
          </cell>
          <cell r="F217">
            <v>-420.67500000000018</v>
          </cell>
          <cell r="G217">
            <v>-2317.8500000000004</v>
          </cell>
          <cell r="K217">
            <v>0</v>
          </cell>
          <cell r="L217">
            <v>0</v>
          </cell>
          <cell r="M217">
            <v>0</v>
          </cell>
          <cell r="N217">
            <v>217</v>
          </cell>
          <cell r="O217">
            <v>189</v>
          </cell>
          <cell r="P217">
            <v>312</v>
          </cell>
          <cell r="T217">
            <v>906.59999999999945</v>
          </cell>
          <cell r="U217">
            <v>964.87499999999909</v>
          </cell>
          <cell r="V217">
            <v>906.59999999999945</v>
          </cell>
          <cell r="W217">
            <v>2267.1999999999989</v>
          </cell>
          <cell r="X217">
            <v>2232.5250000000001</v>
          </cell>
          <cell r="Y217">
            <v>-2382.6000000000004</v>
          </cell>
        </row>
        <row r="218">
          <cell r="B218">
            <v>906.59999999999945</v>
          </cell>
          <cell r="C218">
            <v>990.77499999999964</v>
          </cell>
          <cell r="D218">
            <v>906.59999999999945</v>
          </cell>
          <cell r="E218">
            <v>-1152.3500000000004</v>
          </cell>
          <cell r="F218">
            <v>-550.17500000000109</v>
          </cell>
          <cell r="G218">
            <v>-2343.75</v>
          </cell>
          <cell r="K218">
            <v>0</v>
          </cell>
          <cell r="L218">
            <v>0</v>
          </cell>
          <cell r="M218">
            <v>0</v>
          </cell>
          <cell r="N218">
            <v>235</v>
          </cell>
          <cell r="O218">
            <v>178</v>
          </cell>
          <cell r="P218">
            <v>287</v>
          </cell>
          <cell r="T218">
            <v>906.59999999999945</v>
          </cell>
          <cell r="U218">
            <v>990.77499999999964</v>
          </cell>
          <cell r="V218">
            <v>906.60000000000036</v>
          </cell>
          <cell r="W218">
            <v>2273.1999999999998</v>
          </cell>
          <cell r="X218">
            <v>155.74983136574178</v>
          </cell>
          <cell r="Y218">
            <v>2475.1999999999998</v>
          </cell>
        </row>
        <row r="219">
          <cell r="B219">
            <v>906.59999999999945</v>
          </cell>
          <cell r="C219">
            <v>990.77499999999964</v>
          </cell>
          <cell r="D219">
            <v>906.60000000000036</v>
          </cell>
          <cell r="E219">
            <v>-971.05000000000018</v>
          </cell>
          <cell r="F219">
            <v>-453.05000000000109</v>
          </cell>
          <cell r="G219">
            <v>-2460.3000000000002</v>
          </cell>
          <cell r="K219">
            <v>0</v>
          </cell>
          <cell r="L219">
            <v>0</v>
          </cell>
          <cell r="M219">
            <v>0</v>
          </cell>
          <cell r="N219">
            <v>219</v>
          </cell>
          <cell r="O219">
            <v>188</v>
          </cell>
          <cell r="P219">
            <v>309</v>
          </cell>
          <cell r="T219">
            <v>906.59999999999945</v>
          </cell>
          <cell r="U219">
            <v>958.39999999999964</v>
          </cell>
          <cell r="V219">
            <v>906.60000000000036</v>
          </cell>
          <cell r="W219">
            <v>2263.1999999999998</v>
          </cell>
          <cell r="X219">
            <v>-420.67500000000018</v>
          </cell>
          <cell r="Y219">
            <v>2070.2896114077394</v>
          </cell>
        </row>
        <row r="220">
          <cell r="B220">
            <v>906.59999999999945</v>
          </cell>
          <cell r="C220">
            <v>971.34999999999945</v>
          </cell>
          <cell r="D220">
            <v>906.60000000000036</v>
          </cell>
          <cell r="E220">
            <v>-1320.7000000000007</v>
          </cell>
          <cell r="F220">
            <v>-601.97500000000036</v>
          </cell>
          <cell r="G220">
            <v>-2058.8500000000004</v>
          </cell>
          <cell r="K220">
            <v>0</v>
          </cell>
          <cell r="L220">
            <v>0</v>
          </cell>
          <cell r="M220">
            <v>0</v>
          </cell>
          <cell r="N220">
            <v>189</v>
          </cell>
          <cell r="O220">
            <v>182</v>
          </cell>
          <cell r="P220">
            <v>298</v>
          </cell>
          <cell r="T220">
            <v>906.59999999999945</v>
          </cell>
          <cell r="U220">
            <v>945.44999999999982</v>
          </cell>
          <cell r="V220">
            <v>906.60000000000036</v>
          </cell>
          <cell r="W220">
            <v>2243.1999999999998</v>
          </cell>
          <cell r="X220">
            <v>2227.4749999999999</v>
          </cell>
          <cell r="Y220">
            <v>1343.0508209253226</v>
          </cell>
        </row>
        <row r="221">
          <cell r="B221">
            <v>906.59999999999945</v>
          </cell>
          <cell r="C221">
            <v>1029.625</v>
          </cell>
          <cell r="D221">
            <v>906.59999999999945</v>
          </cell>
          <cell r="E221">
            <v>-1268.9000000000005</v>
          </cell>
          <cell r="F221">
            <v>-511.32500000000073</v>
          </cell>
          <cell r="G221">
            <v>-2408.5</v>
          </cell>
          <cell r="K221">
            <v>0</v>
          </cell>
          <cell r="L221">
            <v>0</v>
          </cell>
          <cell r="M221">
            <v>0</v>
          </cell>
          <cell r="N221">
            <v>218</v>
          </cell>
          <cell r="O221">
            <v>189</v>
          </cell>
          <cell r="P221">
            <v>319</v>
          </cell>
          <cell r="T221">
            <v>906.59999999999945</v>
          </cell>
          <cell r="U221">
            <v>984.29999999999927</v>
          </cell>
          <cell r="V221">
            <v>906.59999999999945</v>
          </cell>
          <cell r="W221">
            <v>2265.1999999999998</v>
          </cell>
          <cell r="X221">
            <v>2275.2749999999996</v>
          </cell>
          <cell r="Y221">
            <v>2423.1999999999998</v>
          </cell>
        </row>
        <row r="222">
          <cell r="B222">
            <v>906.59999999999945</v>
          </cell>
          <cell r="C222">
            <v>977.82499999999982</v>
          </cell>
          <cell r="D222">
            <v>906.59999999999945</v>
          </cell>
          <cell r="E222">
            <v>-1100.5500000000002</v>
          </cell>
          <cell r="F222">
            <v>-550.17500000000109</v>
          </cell>
          <cell r="G222">
            <v>-2499.1500000000005</v>
          </cell>
          <cell r="K222">
            <v>0</v>
          </cell>
          <cell r="L222">
            <v>0</v>
          </cell>
          <cell r="M222">
            <v>0</v>
          </cell>
          <cell r="N222">
            <v>204</v>
          </cell>
          <cell r="O222">
            <v>191</v>
          </cell>
          <cell r="P222">
            <v>344</v>
          </cell>
          <cell r="T222">
            <v>906.59999999999945</v>
          </cell>
          <cell r="U222">
            <v>997.25</v>
          </cell>
          <cell r="V222">
            <v>906.60000000000036</v>
          </cell>
          <cell r="W222">
            <v>2225.1999999999998</v>
          </cell>
          <cell r="X222">
            <v>2243.4749999999995</v>
          </cell>
          <cell r="Y222">
            <v>1289.0138951530444</v>
          </cell>
        </row>
        <row r="223">
          <cell r="B223">
            <v>906.59999999999945</v>
          </cell>
          <cell r="C223">
            <v>971.35000000000036</v>
          </cell>
          <cell r="D223">
            <v>906.60000000000036</v>
          </cell>
          <cell r="E223">
            <v>-1191.2000000000007</v>
          </cell>
          <cell r="F223">
            <v>-330.02500000000055</v>
          </cell>
          <cell r="G223">
            <v>-2732.25</v>
          </cell>
          <cell r="K223">
            <v>0</v>
          </cell>
          <cell r="L223">
            <v>0</v>
          </cell>
          <cell r="M223">
            <v>0</v>
          </cell>
          <cell r="N223">
            <v>215</v>
          </cell>
          <cell r="O223">
            <v>187</v>
          </cell>
          <cell r="P223">
            <v>319</v>
          </cell>
          <cell r="T223">
            <v>906.59999999999945</v>
          </cell>
          <cell r="U223">
            <v>971.35000000000036</v>
          </cell>
          <cell r="V223">
            <v>906.59999999999945</v>
          </cell>
          <cell r="W223">
            <v>2273.1999999999998</v>
          </cell>
          <cell r="X223">
            <v>221.19342237734162</v>
          </cell>
          <cell r="Y223">
            <v>853.98372994155852</v>
          </cell>
        </row>
        <row r="224">
          <cell r="B224">
            <v>906.59999999999945</v>
          </cell>
          <cell r="C224">
            <v>977.82499999999982</v>
          </cell>
          <cell r="D224">
            <v>906.59999999999945</v>
          </cell>
          <cell r="E224">
            <v>-996.95000000000073</v>
          </cell>
          <cell r="F224">
            <v>-375.35000000000036</v>
          </cell>
          <cell r="G224">
            <v>-2020</v>
          </cell>
          <cell r="K224">
            <v>0</v>
          </cell>
          <cell r="L224">
            <v>0</v>
          </cell>
          <cell r="M224">
            <v>0</v>
          </cell>
          <cell r="N224">
            <v>218</v>
          </cell>
          <cell r="O224">
            <v>169</v>
          </cell>
          <cell r="P224">
            <v>319</v>
          </cell>
          <cell r="T224">
            <v>906.59999999999945</v>
          </cell>
          <cell r="U224">
            <v>964.875</v>
          </cell>
          <cell r="V224">
            <v>906.59999999999945</v>
          </cell>
          <cell r="W224">
            <v>2281.1999999999994</v>
          </cell>
          <cell r="X224">
            <v>2080.293558065548</v>
          </cell>
          <cell r="Y224">
            <v>2397.1999999999989</v>
          </cell>
        </row>
        <row r="225">
          <cell r="B225">
            <v>906.59999999999945</v>
          </cell>
          <cell r="C225">
            <v>964.875</v>
          </cell>
          <cell r="D225">
            <v>906.60000000000036</v>
          </cell>
          <cell r="E225">
            <v>-906.30000000000018</v>
          </cell>
          <cell r="F225">
            <v>-446.57500000000073</v>
          </cell>
          <cell r="G225">
            <v>-2214.25</v>
          </cell>
          <cell r="K225">
            <v>0</v>
          </cell>
          <cell r="L225">
            <v>0</v>
          </cell>
          <cell r="M225">
            <v>0</v>
          </cell>
          <cell r="N225">
            <v>219</v>
          </cell>
          <cell r="O225">
            <v>180</v>
          </cell>
          <cell r="P225">
            <v>314</v>
          </cell>
          <cell r="T225">
            <v>906.59999999999945</v>
          </cell>
          <cell r="U225">
            <v>964.875</v>
          </cell>
          <cell r="V225">
            <v>906.59999999999945</v>
          </cell>
          <cell r="W225">
            <v>2279.1999999999994</v>
          </cell>
          <cell r="X225">
            <v>2250.8999999999996</v>
          </cell>
          <cell r="Y225">
            <v>2487.1999999999998</v>
          </cell>
        </row>
        <row r="226">
          <cell r="B226">
            <v>906.59999999999945</v>
          </cell>
          <cell r="C226">
            <v>964.87499999999909</v>
          </cell>
          <cell r="D226">
            <v>906.59999999999945</v>
          </cell>
          <cell r="E226">
            <v>-1022.8500000000004</v>
          </cell>
          <cell r="F226">
            <v>-362.40000000000055</v>
          </cell>
          <cell r="G226">
            <v>-2330.8000000000002</v>
          </cell>
          <cell r="K226">
            <v>0</v>
          </cell>
          <cell r="L226">
            <v>0</v>
          </cell>
          <cell r="M226">
            <v>0</v>
          </cell>
          <cell r="N226">
            <v>210</v>
          </cell>
          <cell r="O226">
            <v>178</v>
          </cell>
          <cell r="P226">
            <v>331</v>
          </cell>
          <cell r="T226">
            <v>906.59999999999945</v>
          </cell>
          <cell r="U226">
            <v>958.39999999999873</v>
          </cell>
          <cell r="V226">
            <v>906.59999999999945</v>
          </cell>
          <cell r="W226">
            <v>-984</v>
          </cell>
          <cell r="X226">
            <v>2257.9499999999998</v>
          </cell>
          <cell r="Y226">
            <v>1773.4378330804448</v>
          </cell>
        </row>
        <row r="227">
          <cell r="B227">
            <v>906.59999999999945</v>
          </cell>
          <cell r="C227">
            <v>958.39999999999873</v>
          </cell>
          <cell r="D227">
            <v>906.59999999999945</v>
          </cell>
          <cell r="E227">
            <v>-932.20000000000073</v>
          </cell>
          <cell r="F227">
            <v>-627.875</v>
          </cell>
          <cell r="G227">
            <v>-2356.6999999999998</v>
          </cell>
          <cell r="K227">
            <v>0</v>
          </cell>
          <cell r="L227">
            <v>0</v>
          </cell>
          <cell r="M227">
            <v>0</v>
          </cell>
          <cell r="N227">
            <v>214</v>
          </cell>
          <cell r="O227">
            <v>187</v>
          </cell>
          <cell r="P227">
            <v>335</v>
          </cell>
          <cell r="T227">
            <v>906.59999999999945</v>
          </cell>
          <cell r="U227">
            <v>984.29999999999927</v>
          </cell>
          <cell r="V227">
            <v>906.59999999999945</v>
          </cell>
          <cell r="W227">
            <v>466.79303047840745</v>
          </cell>
          <cell r="X227">
            <v>2235</v>
          </cell>
          <cell r="Y227">
            <v>2401.1999999999998</v>
          </cell>
        </row>
        <row r="228">
          <cell r="B228">
            <v>906.59999999999945</v>
          </cell>
          <cell r="C228">
            <v>964.875</v>
          </cell>
          <cell r="D228">
            <v>906.59999999999945</v>
          </cell>
          <cell r="E228">
            <v>-1268.9000000000005</v>
          </cell>
          <cell r="F228">
            <v>-278.22500000000036</v>
          </cell>
          <cell r="G228">
            <v>-2680.45</v>
          </cell>
          <cell r="K228">
            <v>0</v>
          </cell>
          <cell r="L228">
            <v>0</v>
          </cell>
          <cell r="M228">
            <v>0</v>
          </cell>
          <cell r="N228">
            <v>234</v>
          </cell>
          <cell r="O228">
            <v>174</v>
          </cell>
          <cell r="P228">
            <v>329</v>
          </cell>
          <cell r="T228">
            <v>906.59999999999945</v>
          </cell>
          <cell r="U228">
            <v>1036.1000000000004</v>
          </cell>
          <cell r="V228">
            <v>906.59999999999945</v>
          </cell>
          <cell r="W228">
            <v>2275.1999999999998</v>
          </cell>
          <cell r="X228">
            <v>2218.5249999999996</v>
          </cell>
          <cell r="Y228">
            <v>-509.98880521776437</v>
          </cell>
        </row>
        <row r="229">
          <cell r="B229">
            <v>906.59999999999945</v>
          </cell>
          <cell r="C229">
            <v>997.25</v>
          </cell>
          <cell r="D229">
            <v>919.54999999999927</v>
          </cell>
          <cell r="E229">
            <v>-1230.0500000000002</v>
          </cell>
          <cell r="F229">
            <v>-614.92500000000109</v>
          </cell>
          <cell r="G229">
            <v>-2330.8000000000002</v>
          </cell>
          <cell r="K229">
            <v>0</v>
          </cell>
          <cell r="L229">
            <v>0</v>
          </cell>
          <cell r="M229">
            <v>0</v>
          </cell>
          <cell r="N229">
            <v>217</v>
          </cell>
          <cell r="O229">
            <v>195</v>
          </cell>
          <cell r="P229">
            <v>312</v>
          </cell>
          <cell r="T229">
            <v>906.59999999999945</v>
          </cell>
          <cell r="U229">
            <v>945.44999999999982</v>
          </cell>
          <cell r="V229">
            <v>906.60000000000036</v>
          </cell>
          <cell r="W229">
            <v>-340.08329778996278</v>
          </cell>
          <cell r="X229">
            <v>2204.5249999999992</v>
          </cell>
          <cell r="Y229">
            <v>2467.1999999999998</v>
          </cell>
        </row>
        <row r="230">
          <cell r="B230">
            <v>906.59999999999945</v>
          </cell>
          <cell r="C230">
            <v>958.39999999999964</v>
          </cell>
          <cell r="D230">
            <v>906.59999999999945</v>
          </cell>
          <cell r="E230">
            <v>-1048.75</v>
          </cell>
          <cell r="F230">
            <v>-297.65000000000055</v>
          </cell>
          <cell r="G230">
            <v>-2291.9499999999998</v>
          </cell>
          <cell r="K230">
            <v>0</v>
          </cell>
          <cell r="L230">
            <v>0</v>
          </cell>
          <cell r="M230">
            <v>0</v>
          </cell>
          <cell r="N230">
            <v>227</v>
          </cell>
          <cell r="O230">
            <v>212</v>
          </cell>
          <cell r="P230">
            <v>326</v>
          </cell>
          <cell r="T230">
            <v>906.59999999999945</v>
          </cell>
          <cell r="U230">
            <v>977.82499999999891</v>
          </cell>
          <cell r="V230">
            <v>906.60000000000036</v>
          </cell>
          <cell r="W230">
            <v>355.49954814346938</v>
          </cell>
          <cell r="X230">
            <v>2212.9999999999995</v>
          </cell>
          <cell r="Y230">
            <v>2126.2040528954249</v>
          </cell>
        </row>
        <row r="231">
          <cell r="B231">
            <v>906.59999999999945</v>
          </cell>
          <cell r="C231">
            <v>958.39999999999873</v>
          </cell>
          <cell r="D231">
            <v>906.59999999999945</v>
          </cell>
          <cell r="E231">
            <v>-1022.8500000000004</v>
          </cell>
          <cell r="F231">
            <v>-524.27499999999964</v>
          </cell>
          <cell r="G231">
            <v>-2266.0500000000002</v>
          </cell>
          <cell r="K231">
            <v>0</v>
          </cell>
          <cell r="L231">
            <v>0</v>
          </cell>
          <cell r="M231">
            <v>0</v>
          </cell>
          <cell r="N231">
            <v>239</v>
          </cell>
          <cell r="O231">
            <v>177</v>
          </cell>
          <cell r="P231">
            <v>356</v>
          </cell>
          <cell r="T231">
            <v>906.59999999999945</v>
          </cell>
          <cell r="U231">
            <v>964.87499999999909</v>
          </cell>
          <cell r="V231">
            <v>906.59999999999945</v>
          </cell>
          <cell r="W231">
            <v>2283.1999999999998</v>
          </cell>
          <cell r="X231">
            <v>2189.5749999999994</v>
          </cell>
          <cell r="Y231">
            <v>2469.1999999999989</v>
          </cell>
        </row>
        <row r="232">
          <cell r="B232">
            <v>906.59999999999945</v>
          </cell>
          <cell r="C232">
            <v>938.97499999999854</v>
          </cell>
          <cell r="D232">
            <v>906.59999999999945</v>
          </cell>
          <cell r="E232">
            <v>-1074.6500000000005</v>
          </cell>
          <cell r="F232">
            <v>-478.95000000000073</v>
          </cell>
          <cell r="G232">
            <v>-2291.9499999999998</v>
          </cell>
          <cell r="K232">
            <v>0</v>
          </cell>
          <cell r="L232">
            <v>0</v>
          </cell>
          <cell r="M232">
            <v>0</v>
          </cell>
          <cell r="N232">
            <v>239</v>
          </cell>
          <cell r="O232">
            <v>184</v>
          </cell>
          <cell r="P232">
            <v>316</v>
          </cell>
          <cell r="T232">
            <v>906.59999999999945</v>
          </cell>
          <cell r="U232">
            <v>990.77499999999964</v>
          </cell>
          <cell r="V232">
            <v>906.59999999999945</v>
          </cell>
          <cell r="W232">
            <v>2261.1999999999994</v>
          </cell>
          <cell r="X232">
            <v>-401.25</v>
          </cell>
          <cell r="Y232">
            <v>937.39565665557348</v>
          </cell>
        </row>
        <row r="233">
          <cell r="B233">
            <v>906.59999999999945</v>
          </cell>
          <cell r="C233">
            <v>1003.7249999999995</v>
          </cell>
          <cell r="D233">
            <v>906.59999999999945</v>
          </cell>
          <cell r="E233">
            <v>-1320.7000000000007</v>
          </cell>
          <cell r="F233">
            <v>-355.92500000000109</v>
          </cell>
          <cell r="G233">
            <v>-2291.9499999999998</v>
          </cell>
          <cell r="K233">
            <v>0</v>
          </cell>
          <cell r="L233">
            <v>0</v>
          </cell>
          <cell r="M233">
            <v>0</v>
          </cell>
          <cell r="N233">
            <v>219</v>
          </cell>
          <cell r="O233">
            <v>166</v>
          </cell>
          <cell r="P233">
            <v>311</v>
          </cell>
          <cell r="T233">
            <v>906.59999999999945</v>
          </cell>
          <cell r="U233">
            <v>951.92499999999927</v>
          </cell>
          <cell r="V233">
            <v>906.59999999999945</v>
          </cell>
          <cell r="W233">
            <v>763.85392389221988</v>
          </cell>
          <cell r="X233">
            <v>62.010301043842446</v>
          </cell>
          <cell r="Y233">
            <v>2495.1999999999998</v>
          </cell>
        </row>
        <row r="234">
          <cell r="B234">
            <v>906.59999999999945</v>
          </cell>
          <cell r="C234">
            <v>977.82499999999891</v>
          </cell>
          <cell r="D234">
            <v>906.60000000000036</v>
          </cell>
          <cell r="E234">
            <v>-1165.3000000000002</v>
          </cell>
          <cell r="F234">
            <v>-446.57500000000073</v>
          </cell>
          <cell r="G234">
            <v>-2382.6000000000004</v>
          </cell>
          <cell r="K234">
            <v>0</v>
          </cell>
          <cell r="L234">
            <v>0</v>
          </cell>
          <cell r="M234">
            <v>0</v>
          </cell>
          <cell r="N234">
            <v>229</v>
          </cell>
          <cell r="O234">
            <v>191</v>
          </cell>
          <cell r="P234">
            <v>334</v>
          </cell>
          <cell r="T234">
            <v>906.59999999999945</v>
          </cell>
          <cell r="U234">
            <v>984.30000000000018</v>
          </cell>
          <cell r="V234">
            <v>906.60000000000036</v>
          </cell>
          <cell r="W234">
            <v>-1139.4000000000005</v>
          </cell>
          <cell r="X234">
            <v>2239.3749999999991</v>
          </cell>
          <cell r="Y234">
            <v>2403.1999999999998</v>
          </cell>
        </row>
        <row r="235">
          <cell r="B235">
            <v>906.59999999999945</v>
          </cell>
          <cell r="C235">
            <v>990.77499999999873</v>
          </cell>
          <cell r="D235">
            <v>906.59999999999945</v>
          </cell>
          <cell r="E235">
            <v>-1126.4500000000007</v>
          </cell>
          <cell r="F235">
            <v>-569.60000000000036</v>
          </cell>
          <cell r="G235">
            <v>-2343.75</v>
          </cell>
          <cell r="K235">
            <v>0</v>
          </cell>
          <cell r="L235">
            <v>0</v>
          </cell>
          <cell r="M235">
            <v>0</v>
          </cell>
          <cell r="N235">
            <v>228</v>
          </cell>
          <cell r="O235">
            <v>173</v>
          </cell>
          <cell r="P235">
            <v>313</v>
          </cell>
          <cell r="T235">
            <v>906.59999999999945</v>
          </cell>
          <cell r="U235">
            <v>951.92499999999927</v>
          </cell>
          <cell r="V235">
            <v>906.59999999999945</v>
          </cell>
          <cell r="W235">
            <v>-1074.6500000000005</v>
          </cell>
          <cell r="X235">
            <v>2223.4749999999995</v>
          </cell>
          <cell r="Y235">
            <v>-2136.5500000000002</v>
          </cell>
        </row>
        <row r="236">
          <cell r="B236">
            <v>906.59999999999945</v>
          </cell>
          <cell r="C236">
            <v>964.875</v>
          </cell>
          <cell r="D236">
            <v>919.54999999999927</v>
          </cell>
          <cell r="E236">
            <v>-1100.5500000000002</v>
          </cell>
          <cell r="F236">
            <v>-744.42500000000109</v>
          </cell>
          <cell r="G236">
            <v>-2382.6000000000004</v>
          </cell>
          <cell r="K236">
            <v>0</v>
          </cell>
          <cell r="L236">
            <v>0</v>
          </cell>
          <cell r="M236">
            <v>0</v>
          </cell>
          <cell r="N236">
            <v>220</v>
          </cell>
          <cell r="O236">
            <v>208</v>
          </cell>
          <cell r="P236">
            <v>325</v>
          </cell>
          <cell r="T236">
            <v>906.59999999999945</v>
          </cell>
          <cell r="U236">
            <v>971.34999999999945</v>
          </cell>
          <cell r="V236">
            <v>906.59999999999945</v>
          </cell>
          <cell r="W236">
            <v>2253.1999999999998</v>
          </cell>
          <cell r="X236">
            <v>-530.75</v>
          </cell>
          <cell r="Y236">
            <v>-1288.5662162055955</v>
          </cell>
        </row>
        <row r="237">
          <cell r="B237">
            <v>906.59999999999945</v>
          </cell>
          <cell r="C237">
            <v>932.5</v>
          </cell>
          <cell r="D237">
            <v>906.59999999999945</v>
          </cell>
          <cell r="E237">
            <v>-1074.6500000000005</v>
          </cell>
          <cell r="F237">
            <v>-802.70000000000073</v>
          </cell>
          <cell r="G237">
            <v>-2007.0500000000002</v>
          </cell>
          <cell r="K237">
            <v>0</v>
          </cell>
          <cell r="L237">
            <v>0</v>
          </cell>
          <cell r="M237">
            <v>0</v>
          </cell>
          <cell r="N237">
            <v>221</v>
          </cell>
          <cell r="O237">
            <v>170</v>
          </cell>
          <cell r="P237">
            <v>333</v>
          </cell>
          <cell r="T237">
            <v>906.59999999999945</v>
          </cell>
          <cell r="U237">
            <v>971.34999999999945</v>
          </cell>
          <cell r="V237">
            <v>906.59999999999945</v>
          </cell>
          <cell r="W237">
            <v>2253.1999999999998</v>
          </cell>
          <cell r="X237">
            <v>276.4752409610021</v>
          </cell>
          <cell r="Y237">
            <v>409.3584283195205</v>
          </cell>
        </row>
        <row r="238">
          <cell r="B238">
            <v>906.59999999999945</v>
          </cell>
          <cell r="C238">
            <v>938.97499999999945</v>
          </cell>
          <cell r="D238">
            <v>906.59999999999945</v>
          </cell>
          <cell r="E238">
            <v>-1087.6000000000004</v>
          </cell>
          <cell r="F238">
            <v>-453.05000000000109</v>
          </cell>
          <cell r="G238">
            <v>-2110.6500000000005</v>
          </cell>
          <cell r="K238">
            <v>0</v>
          </cell>
          <cell r="L238">
            <v>0</v>
          </cell>
          <cell r="M238">
            <v>0</v>
          </cell>
          <cell r="N238">
            <v>223</v>
          </cell>
          <cell r="O238">
            <v>202</v>
          </cell>
          <cell r="P238">
            <v>339</v>
          </cell>
          <cell r="T238">
            <v>906.59999999999945</v>
          </cell>
          <cell r="U238">
            <v>945.44999999999982</v>
          </cell>
          <cell r="V238">
            <v>906.60000000000036</v>
          </cell>
          <cell r="W238">
            <v>1786.9678085033966</v>
          </cell>
          <cell r="X238">
            <v>1529.9061141809893</v>
          </cell>
          <cell r="Y238">
            <v>2463.1999999999998</v>
          </cell>
        </row>
        <row r="239">
          <cell r="B239">
            <v>906.59999999999945</v>
          </cell>
          <cell r="C239">
            <v>964.875</v>
          </cell>
          <cell r="D239">
            <v>906.59999999999945</v>
          </cell>
          <cell r="E239">
            <v>-996.95000000000073</v>
          </cell>
          <cell r="F239">
            <v>-109.875</v>
          </cell>
          <cell r="G239">
            <v>-2253.1000000000004</v>
          </cell>
          <cell r="K239">
            <v>0</v>
          </cell>
          <cell r="L239">
            <v>0</v>
          </cell>
          <cell r="M239">
            <v>0</v>
          </cell>
          <cell r="N239">
            <v>207</v>
          </cell>
          <cell r="O239">
            <v>188</v>
          </cell>
          <cell r="P239">
            <v>332</v>
          </cell>
          <cell r="T239">
            <v>906.59999999999945</v>
          </cell>
          <cell r="U239">
            <v>938.97499999999945</v>
          </cell>
          <cell r="V239">
            <v>906.59999999999945</v>
          </cell>
          <cell r="W239">
            <v>-1230.0500000000002</v>
          </cell>
          <cell r="X239">
            <v>2290.4249999999988</v>
          </cell>
          <cell r="Y239">
            <v>2441.1999999999998</v>
          </cell>
        </row>
        <row r="240">
          <cell r="B240">
            <v>906.59999999999945</v>
          </cell>
          <cell r="C240">
            <v>958.39999999999964</v>
          </cell>
          <cell r="D240">
            <v>906.59999999999945</v>
          </cell>
          <cell r="E240">
            <v>-1476.1000000000004</v>
          </cell>
          <cell r="F240">
            <v>-511.32500000000073</v>
          </cell>
          <cell r="G240">
            <v>-2110.6500000000005</v>
          </cell>
          <cell r="K240">
            <v>0</v>
          </cell>
          <cell r="L240">
            <v>0</v>
          </cell>
          <cell r="M240">
            <v>15</v>
          </cell>
          <cell r="N240">
            <v>227</v>
          </cell>
          <cell r="O240">
            <v>199</v>
          </cell>
          <cell r="P240">
            <v>346</v>
          </cell>
          <cell r="T240">
            <v>906.59999999999945</v>
          </cell>
          <cell r="U240">
            <v>964.87499999999909</v>
          </cell>
          <cell r="V240">
            <v>906.60000000000036</v>
          </cell>
          <cell r="W240">
            <v>2235.1999999999998</v>
          </cell>
          <cell r="X240">
            <v>2260.4249999999988</v>
          </cell>
          <cell r="Y240">
            <v>1269.9086095932512</v>
          </cell>
        </row>
        <row r="241">
          <cell r="B241">
            <v>906.59999999999945</v>
          </cell>
          <cell r="C241">
            <v>958.39999999999964</v>
          </cell>
          <cell r="D241">
            <v>906.59999999999945</v>
          </cell>
          <cell r="E241">
            <v>-1139.4000000000005</v>
          </cell>
          <cell r="F241">
            <v>-563.125</v>
          </cell>
          <cell r="G241">
            <v>-2253.1000000000004</v>
          </cell>
          <cell r="K241">
            <v>0</v>
          </cell>
          <cell r="L241">
            <v>0</v>
          </cell>
          <cell r="M241">
            <v>0</v>
          </cell>
          <cell r="N241">
            <v>232</v>
          </cell>
          <cell r="O241">
            <v>174</v>
          </cell>
          <cell r="P241">
            <v>327</v>
          </cell>
          <cell r="T241">
            <v>906.59999999999945</v>
          </cell>
          <cell r="U241">
            <v>1003.7249999999995</v>
          </cell>
          <cell r="V241">
            <v>919.54999999999927</v>
          </cell>
          <cell r="W241">
            <v>768.57060748592357</v>
          </cell>
          <cell r="X241">
            <v>48.926863222835209</v>
          </cell>
          <cell r="Y241">
            <v>2427.1999999999989</v>
          </cell>
        </row>
        <row r="242">
          <cell r="B242">
            <v>906.59999999999945</v>
          </cell>
          <cell r="C242">
            <v>990.77499999999873</v>
          </cell>
          <cell r="D242">
            <v>906.59999999999945</v>
          </cell>
          <cell r="E242">
            <v>-1333.6500000000005</v>
          </cell>
          <cell r="F242">
            <v>-388.30000000000018</v>
          </cell>
          <cell r="G242">
            <v>-2680.45</v>
          </cell>
          <cell r="K242">
            <v>0</v>
          </cell>
          <cell r="L242">
            <v>0</v>
          </cell>
          <cell r="M242">
            <v>0</v>
          </cell>
          <cell r="N242">
            <v>243</v>
          </cell>
          <cell r="O242">
            <v>177</v>
          </cell>
          <cell r="P242">
            <v>295</v>
          </cell>
          <cell r="T242">
            <v>906.59999999999945</v>
          </cell>
          <cell r="U242">
            <v>984.29999999999927</v>
          </cell>
          <cell r="V242">
            <v>906.59999999999945</v>
          </cell>
          <cell r="W242">
            <v>2301.1999999999994</v>
          </cell>
          <cell r="X242">
            <v>2256.4250000000002</v>
          </cell>
          <cell r="Y242">
            <v>800.7740340431078</v>
          </cell>
        </row>
        <row r="243">
          <cell r="B243">
            <v>906.59999999999945</v>
          </cell>
          <cell r="C243">
            <v>977.82499999999891</v>
          </cell>
          <cell r="D243">
            <v>906.59999999999945</v>
          </cell>
          <cell r="E243">
            <v>-945.15000000000055</v>
          </cell>
          <cell r="F243">
            <v>-440.10000000000036</v>
          </cell>
          <cell r="G243">
            <v>-1864.6000000000004</v>
          </cell>
          <cell r="K243">
            <v>0</v>
          </cell>
          <cell r="L243">
            <v>0</v>
          </cell>
          <cell r="M243">
            <v>0</v>
          </cell>
          <cell r="N243">
            <v>212</v>
          </cell>
          <cell r="O243">
            <v>173</v>
          </cell>
          <cell r="P243">
            <v>307</v>
          </cell>
          <cell r="T243">
            <v>906.59999999999945</v>
          </cell>
          <cell r="U243">
            <v>958.39999999999964</v>
          </cell>
          <cell r="V243">
            <v>906.59999999999945</v>
          </cell>
          <cell r="W243">
            <v>2257.1999999999989</v>
          </cell>
          <cell r="X243">
            <v>-297.48612305338906</v>
          </cell>
          <cell r="Y243">
            <v>2451.1999999999998</v>
          </cell>
        </row>
        <row r="244">
          <cell r="B244">
            <v>906.59999999999945</v>
          </cell>
          <cell r="C244">
            <v>990.77499999999964</v>
          </cell>
          <cell r="D244">
            <v>919.55000000000018</v>
          </cell>
          <cell r="E244">
            <v>-1230.0500000000002</v>
          </cell>
          <cell r="F244">
            <v>-207</v>
          </cell>
          <cell r="G244">
            <v>-2227.2000000000007</v>
          </cell>
          <cell r="K244">
            <v>0</v>
          </cell>
          <cell r="L244">
            <v>0</v>
          </cell>
          <cell r="M244">
            <v>0</v>
          </cell>
          <cell r="N244">
            <v>235</v>
          </cell>
          <cell r="O244">
            <v>180</v>
          </cell>
          <cell r="P244">
            <v>331</v>
          </cell>
          <cell r="T244">
            <v>906.59999999999945</v>
          </cell>
          <cell r="U244">
            <v>1003.7249999999995</v>
          </cell>
          <cell r="V244">
            <v>906.60000000000036</v>
          </cell>
          <cell r="W244">
            <v>-599.40853403164863</v>
          </cell>
          <cell r="X244">
            <v>2223.9499999999994</v>
          </cell>
          <cell r="Y244">
            <v>2467.1999999999998</v>
          </cell>
        </row>
        <row r="245">
          <cell r="B245">
            <v>906.59999999999945</v>
          </cell>
          <cell r="C245">
            <v>958.39999999999964</v>
          </cell>
          <cell r="D245">
            <v>906.60000000000036</v>
          </cell>
          <cell r="E245">
            <v>-763.85000000000036</v>
          </cell>
          <cell r="F245">
            <v>-537.22500000000036</v>
          </cell>
          <cell r="G245">
            <v>-2382.6000000000004</v>
          </cell>
          <cell r="K245">
            <v>0</v>
          </cell>
          <cell r="L245">
            <v>0</v>
          </cell>
          <cell r="M245">
            <v>0</v>
          </cell>
          <cell r="N245">
            <v>211</v>
          </cell>
          <cell r="O245">
            <v>179</v>
          </cell>
          <cell r="P245">
            <v>339</v>
          </cell>
          <cell r="T245">
            <v>906.59999999999945</v>
          </cell>
          <cell r="U245">
            <v>977.82499999999982</v>
          </cell>
          <cell r="V245">
            <v>919.55000000000018</v>
          </cell>
          <cell r="W245">
            <v>1773.023101604314</v>
          </cell>
          <cell r="X245">
            <v>2343.8500000000004</v>
          </cell>
          <cell r="Y245">
            <v>-2576.8500000000004</v>
          </cell>
        </row>
        <row r="246">
          <cell r="B246">
            <v>906.59999999999945</v>
          </cell>
          <cell r="C246">
            <v>958.39999999999964</v>
          </cell>
          <cell r="D246">
            <v>906.60000000000036</v>
          </cell>
          <cell r="E246">
            <v>-1087.6000000000004</v>
          </cell>
          <cell r="F246">
            <v>-362.39999999999964</v>
          </cell>
          <cell r="G246">
            <v>-2408.5</v>
          </cell>
          <cell r="K246">
            <v>0</v>
          </cell>
          <cell r="L246">
            <v>0</v>
          </cell>
          <cell r="M246">
            <v>0</v>
          </cell>
          <cell r="N246">
            <v>224</v>
          </cell>
          <cell r="O246">
            <v>192</v>
          </cell>
          <cell r="P246">
            <v>324</v>
          </cell>
          <cell r="T246">
            <v>906.59999999999945</v>
          </cell>
          <cell r="U246">
            <v>964.87499999999909</v>
          </cell>
          <cell r="V246">
            <v>906.60000000000036</v>
          </cell>
          <cell r="W246">
            <v>2225.1999999999998</v>
          </cell>
          <cell r="X246">
            <v>2230.8999999999996</v>
          </cell>
          <cell r="Y246">
            <v>2427.1999999999989</v>
          </cell>
        </row>
        <row r="247">
          <cell r="B247">
            <v>906.59999999999945</v>
          </cell>
          <cell r="C247">
            <v>1042.5749999999998</v>
          </cell>
          <cell r="D247">
            <v>906.60000000000036</v>
          </cell>
          <cell r="E247">
            <v>-1294.8000000000002</v>
          </cell>
          <cell r="F247">
            <v>-653.77499999999964</v>
          </cell>
          <cell r="G247">
            <v>-1916.4000000000005</v>
          </cell>
          <cell r="K247">
            <v>0</v>
          </cell>
          <cell r="L247">
            <v>0</v>
          </cell>
          <cell r="M247">
            <v>0</v>
          </cell>
          <cell r="N247">
            <v>218</v>
          </cell>
          <cell r="O247">
            <v>165</v>
          </cell>
          <cell r="P247">
            <v>311</v>
          </cell>
          <cell r="T247">
            <v>906.59999999999945</v>
          </cell>
          <cell r="U247">
            <v>964.875</v>
          </cell>
          <cell r="V247">
            <v>906.59999999999945</v>
          </cell>
          <cell r="W247">
            <v>2227.1999999999989</v>
          </cell>
          <cell r="X247">
            <v>1482.5865179877524</v>
          </cell>
          <cell r="Y247">
            <v>2401.1999999999998</v>
          </cell>
        </row>
        <row r="248">
          <cell r="B248">
            <v>906.59999999999945</v>
          </cell>
          <cell r="C248">
            <v>958.39999999999964</v>
          </cell>
          <cell r="D248">
            <v>906.59999999999945</v>
          </cell>
          <cell r="E248">
            <v>-1035.8000000000002</v>
          </cell>
          <cell r="F248">
            <v>-634.35000000000036</v>
          </cell>
          <cell r="G248">
            <v>-2188.3500000000004</v>
          </cell>
          <cell r="K248">
            <v>0</v>
          </cell>
          <cell r="L248">
            <v>0</v>
          </cell>
          <cell r="M248">
            <v>0</v>
          </cell>
          <cell r="N248">
            <v>234</v>
          </cell>
          <cell r="O248">
            <v>188</v>
          </cell>
          <cell r="P248">
            <v>347</v>
          </cell>
          <cell r="T248">
            <v>906.59999999999945</v>
          </cell>
          <cell r="U248">
            <v>964.875</v>
          </cell>
          <cell r="V248">
            <v>908.59999999999968</v>
          </cell>
          <cell r="W248">
            <v>2317.1999999999989</v>
          </cell>
          <cell r="X248">
            <v>2273.8500000000004</v>
          </cell>
          <cell r="Y248">
            <v>2477.1999999999998</v>
          </cell>
        </row>
        <row r="249">
          <cell r="B249">
            <v>906.59999999999945</v>
          </cell>
          <cell r="C249">
            <v>964.875</v>
          </cell>
          <cell r="D249">
            <v>906.60000000000036</v>
          </cell>
          <cell r="E249">
            <v>-1009.9000000000005</v>
          </cell>
          <cell r="F249">
            <v>-271.75</v>
          </cell>
          <cell r="G249">
            <v>-1890.5</v>
          </cell>
          <cell r="K249">
            <v>0</v>
          </cell>
          <cell r="L249">
            <v>0</v>
          </cell>
          <cell r="M249">
            <v>0</v>
          </cell>
          <cell r="N249">
            <v>234</v>
          </cell>
          <cell r="O249">
            <v>193</v>
          </cell>
          <cell r="P249">
            <v>344</v>
          </cell>
          <cell r="T249">
            <v>906.59999999999945</v>
          </cell>
          <cell r="U249">
            <v>938.97499999999945</v>
          </cell>
          <cell r="V249">
            <v>906.60000000000036</v>
          </cell>
          <cell r="W249">
            <v>2325.1999999999998</v>
          </cell>
          <cell r="X249">
            <v>2215.1</v>
          </cell>
          <cell r="Y249">
            <v>757.64681913830691</v>
          </cell>
        </row>
        <row r="250">
          <cell r="B250">
            <v>906.59999999999945</v>
          </cell>
          <cell r="C250">
            <v>971.34999999999945</v>
          </cell>
          <cell r="D250">
            <v>906.59999999999945</v>
          </cell>
          <cell r="E250">
            <v>-841.55000000000018</v>
          </cell>
          <cell r="F250">
            <v>-135.77499999999964</v>
          </cell>
          <cell r="G250">
            <v>-2136.5500000000002</v>
          </cell>
          <cell r="K250">
            <v>0</v>
          </cell>
          <cell r="L250">
            <v>0</v>
          </cell>
          <cell r="M250">
            <v>0</v>
          </cell>
          <cell r="N250">
            <v>218</v>
          </cell>
          <cell r="O250">
            <v>186</v>
          </cell>
          <cell r="P250">
            <v>304</v>
          </cell>
          <cell r="T250">
            <v>906.59999999999945</v>
          </cell>
          <cell r="U250">
            <v>1029.625</v>
          </cell>
          <cell r="V250">
            <v>906.60000000000036</v>
          </cell>
          <cell r="W250">
            <v>2247.1999999999989</v>
          </cell>
          <cell r="X250">
            <v>-453.05000000000018</v>
          </cell>
          <cell r="Y250">
            <v>2455.1999999999998</v>
          </cell>
        </row>
        <row r="251">
          <cell r="B251">
            <v>906.59999999999945</v>
          </cell>
          <cell r="C251">
            <v>1003.7249999999995</v>
          </cell>
          <cell r="D251">
            <v>906.60000000000036</v>
          </cell>
          <cell r="E251">
            <v>-1074.6500000000005</v>
          </cell>
          <cell r="F251">
            <v>-537.22500000000036</v>
          </cell>
          <cell r="G251">
            <v>-2693.4000000000005</v>
          </cell>
          <cell r="K251">
            <v>0</v>
          </cell>
          <cell r="L251">
            <v>0</v>
          </cell>
          <cell r="M251">
            <v>0</v>
          </cell>
          <cell r="N251">
            <v>216</v>
          </cell>
          <cell r="O251">
            <v>164</v>
          </cell>
          <cell r="P251">
            <v>324</v>
          </cell>
          <cell r="T251">
            <v>906.59999999999945</v>
          </cell>
          <cell r="U251">
            <v>997.24999999999909</v>
          </cell>
          <cell r="V251">
            <v>919.55000000000018</v>
          </cell>
          <cell r="W251">
            <v>2251.1999999999994</v>
          </cell>
          <cell r="X251">
            <v>2296.3249999999994</v>
          </cell>
          <cell r="Y251">
            <v>-2329.4647248446067</v>
          </cell>
        </row>
        <row r="252">
          <cell r="B252">
            <v>906.59999999999945</v>
          </cell>
          <cell r="C252">
            <v>951.92499999999927</v>
          </cell>
          <cell r="D252">
            <v>906.59999999999945</v>
          </cell>
          <cell r="E252">
            <v>-1165.3000000000002</v>
          </cell>
          <cell r="F252">
            <v>-550.17500000000109</v>
          </cell>
          <cell r="G252">
            <v>-2201.3000000000002</v>
          </cell>
          <cell r="K252">
            <v>0</v>
          </cell>
          <cell r="L252">
            <v>0</v>
          </cell>
          <cell r="M252">
            <v>0</v>
          </cell>
          <cell r="N252">
            <v>222</v>
          </cell>
          <cell r="O252">
            <v>184</v>
          </cell>
          <cell r="P252">
            <v>319</v>
          </cell>
          <cell r="T252">
            <v>906.59999999999945</v>
          </cell>
          <cell r="U252">
            <v>990.77499999999964</v>
          </cell>
          <cell r="V252">
            <v>906.60000000000036</v>
          </cell>
          <cell r="W252">
            <v>2265.1999999999998</v>
          </cell>
          <cell r="X252">
            <v>-543.70000000000073</v>
          </cell>
          <cell r="Y252">
            <v>-1985.8519354646824</v>
          </cell>
        </row>
        <row r="253">
          <cell r="B253">
            <v>906.59999999999945</v>
          </cell>
          <cell r="C253">
            <v>971.34999999999945</v>
          </cell>
          <cell r="D253">
            <v>906.59999999999945</v>
          </cell>
          <cell r="E253">
            <v>-1100.5500000000002</v>
          </cell>
          <cell r="F253">
            <v>-504.85000000000036</v>
          </cell>
          <cell r="G253">
            <v>-2408.5</v>
          </cell>
          <cell r="K253">
            <v>0</v>
          </cell>
          <cell r="L253">
            <v>0</v>
          </cell>
          <cell r="M253">
            <v>0</v>
          </cell>
          <cell r="N253">
            <v>210</v>
          </cell>
          <cell r="O253">
            <v>196</v>
          </cell>
          <cell r="P253">
            <v>336</v>
          </cell>
          <cell r="T253">
            <v>906.59999999999945</v>
          </cell>
          <cell r="U253">
            <v>964.875</v>
          </cell>
          <cell r="V253">
            <v>906.59999999999945</v>
          </cell>
          <cell r="W253">
            <v>2261.1999999999994</v>
          </cell>
          <cell r="X253">
            <v>2263.4749999999995</v>
          </cell>
          <cell r="Y253">
            <v>2475.1999999999998</v>
          </cell>
        </row>
        <row r="254">
          <cell r="B254">
            <v>906.59999999999945</v>
          </cell>
          <cell r="C254">
            <v>958.39999999999964</v>
          </cell>
          <cell r="D254">
            <v>906.59999999999945</v>
          </cell>
          <cell r="E254">
            <v>-1074.6500000000005</v>
          </cell>
          <cell r="F254">
            <v>-478.95000000000073</v>
          </cell>
          <cell r="G254">
            <v>-2123.6000000000004</v>
          </cell>
          <cell r="K254">
            <v>0</v>
          </cell>
          <cell r="L254">
            <v>0</v>
          </cell>
          <cell r="M254">
            <v>0</v>
          </cell>
          <cell r="N254">
            <v>215</v>
          </cell>
          <cell r="O254">
            <v>179</v>
          </cell>
          <cell r="P254">
            <v>316</v>
          </cell>
          <cell r="T254">
            <v>906.59999999999945</v>
          </cell>
          <cell r="U254">
            <v>977.82499999999891</v>
          </cell>
          <cell r="V254">
            <v>906.60000000000036</v>
          </cell>
          <cell r="W254">
            <v>2275.1999999999998</v>
          </cell>
          <cell r="X254">
            <v>2263.2749999999996</v>
          </cell>
          <cell r="Y254">
            <v>-48.66257837350804</v>
          </cell>
        </row>
        <row r="255">
          <cell r="B255">
            <v>906.59999999999945</v>
          </cell>
          <cell r="C255">
            <v>984.29999999999927</v>
          </cell>
          <cell r="D255">
            <v>906.60000000000036</v>
          </cell>
          <cell r="E255">
            <v>-893.35000000000036</v>
          </cell>
          <cell r="F255">
            <v>-712.05000000000109</v>
          </cell>
          <cell r="G255">
            <v>-2512.1000000000004</v>
          </cell>
          <cell r="K255">
            <v>0</v>
          </cell>
          <cell r="L255">
            <v>0</v>
          </cell>
          <cell r="M255">
            <v>0</v>
          </cell>
          <cell r="N255">
            <v>229</v>
          </cell>
          <cell r="O255">
            <v>194</v>
          </cell>
          <cell r="P255">
            <v>328</v>
          </cell>
          <cell r="T255">
            <v>906.59999999999945</v>
          </cell>
          <cell r="U255">
            <v>971.35000000000036</v>
          </cell>
          <cell r="V255">
            <v>908.59999999999968</v>
          </cell>
          <cell r="W255">
            <v>2287.1999999999989</v>
          </cell>
          <cell r="X255">
            <v>2242.0499999999993</v>
          </cell>
          <cell r="Y255">
            <v>1304.1905727813601</v>
          </cell>
        </row>
        <row r="256">
          <cell r="B256">
            <v>906.59999999999945</v>
          </cell>
          <cell r="C256">
            <v>977.82499999999891</v>
          </cell>
          <cell r="D256">
            <v>906.59999999999945</v>
          </cell>
          <cell r="E256">
            <v>-984</v>
          </cell>
          <cell r="F256">
            <v>-427.15000000000055</v>
          </cell>
          <cell r="G256">
            <v>-2460.3000000000002</v>
          </cell>
          <cell r="K256">
            <v>0</v>
          </cell>
          <cell r="L256">
            <v>0</v>
          </cell>
          <cell r="M256">
            <v>0</v>
          </cell>
          <cell r="N256">
            <v>231</v>
          </cell>
          <cell r="O256">
            <v>177</v>
          </cell>
          <cell r="P256">
            <v>327</v>
          </cell>
          <cell r="T256">
            <v>906.59999999999945</v>
          </cell>
          <cell r="U256">
            <v>984.30000000000018</v>
          </cell>
          <cell r="V256">
            <v>919.54999999999927</v>
          </cell>
          <cell r="W256">
            <v>225.38665670256296</v>
          </cell>
          <cell r="X256">
            <v>2227.9499999999998</v>
          </cell>
          <cell r="Y256">
            <v>1309.6846523154245</v>
          </cell>
        </row>
        <row r="257">
          <cell r="B257">
            <v>906.59999999999945</v>
          </cell>
          <cell r="C257">
            <v>951.92499999999927</v>
          </cell>
          <cell r="D257">
            <v>906.60000000000036</v>
          </cell>
          <cell r="E257">
            <v>-880.40000000000055</v>
          </cell>
          <cell r="F257">
            <v>-906.30000000000109</v>
          </cell>
          <cell r="G257">
            <v>-2434.4000000000005</v>
          </cell>
          <cell r="K257">
            <v>0</v>
          </cell>
          <cell r="L257">
            <v>0</v>
          </cell>
          <cell r="M257">
            <v>0</v>
          </cell>
          <cell r="N257">
            <v>230</v>
          </cell>
          <cell r="O257">
            <v>179</v>
          </cell>
          <cell r="P257">
            <v>312</v>
          </cell>
          <cell r="T257">
            <v>906.59999999999945</v>
          </cell>
          <cell r="U257">
            <v>1003.7249999999995</v>
          </cell>
          <cell r="V257">
            <v>906.60000000000036</v>
          </cell>
          <cell r="W257">
            <v>2285.1999999999998</v>
          </cell>
          <cell r="X257">
            <v>1262.536042774926</v>
          </cell>
          <cell r="Y257">
            <v>660.8816878179332</v>
          </cell>
        </row>
        <row r="258">
          <cell r="B258">
            <v>906.59999999999945</v>
          </cell>
          <cell r="C258">
            <v>984.29999999999927</v>
          </cell>
          <cell r="D258">
            <v>906.59999999999945</v>
          </cell>
          <cell r="E258">
            <v>-1165.3000000000002</v>
          </cell>
          <cell r="F258">
            <v>-420.67500000000109</v>
          </cell>
          <cell r="G258">
            <v>-2291.9499999999998</v>
          </cell>
          <cell r="K258">
            <v>0</v>
          </cell>
          <cell r="L258">
            <v>0</v>
          </cell>
          <cell r="M258">
            <v>0</v>
          </cell>
          <cell r="N258">
            <v>233</v>
          </cell>
          <cell r="O258">
            <v>202</v>
          </cell>
          <cell r="P258">
            <v>336</v>
          </cell>
          <cell r="T258">
            <v>906.59999999999945</v>
          </cell>
          <cell r="U258">
            <v>984.29999999999927</v>
          </cell>
          <cell r="V258">
            <v>906.60000000000036</v>
          </cell>
          <cell r="W258">
            <v>2271.1999999999994</v>
          </cell>
          <cell r="X258">
            <v>2251.3749999999995</v>
          </cell>
          <cell r="Y258">
            <v>2483.1999999999998</v>
          </cell>
        </row>
        <row r="259">
          <cell r="B259">
            <v>906.59999999999945</v>
          </cell>
          <cell r="C259">
            <v>958.39999999999964</v>
          </cell>
          <cell r="D259">
            <v>906.59999999999945</v>
          </cell>
          <cell r="E259">
            <v>-996.95000000000073</v>
          </cell>
          <cell r="F259">
            <v>-634.35000000000036</v>
          </cell>
          <cell r="G259">
            <v>-2719.3</v>
          </cell>
          <cell r="K259">
            <v>0</v>
          </cell>
          <cell r="L259">
            <v>0</v>
          </cell>
          <cell r="M259">
            <v>0</v>
          </cell>
          <cell r="N259">
            <v>226</v>
          </cell>
          <cell r="O259">
            <v>189</v>
          </cell>
          <cell r="P259">
            <v>335</v>
          </cell>
          <cell r="T259">
            <v>906.59999999999945</v>
          </cell>
          <cell r="U259">
            <v>958.39999999999873</v>
          </cell>
          <cell r="V259">
            <v>906.60000000000036</v>
          </cell>
          <cell r="W259">
            <v>2267.1999999999989</v>
          </cell>
          <cell r="X259">
            <v>2217.9499999999998</v>
          </cell>
          <cell r="Y259">
            <v>-192.9281889146223</v>
          </cell>
        </row>
        <row r="260">
          <cell r="B260">
            <v>906.59999999999945</v>
          </cell>
          <cell r="C260">
            <v>984.29999999999927</v>
          </cell>
          <cell r="D260">
            <v>906.60000000000036</v>
          </cell>
          <cell r="E260">
            <v>-1217.1000000000004</v>
          </cell>
          <cell r="F260">
            <v>-582.55000000000018</v>
          </cell>
          <cell r="G260">
            <v>-2162.4500000000007</v>
          </cell>
          <cell r="K260">
            <v>0</v>
          </cell>
          <cell r="L260">
            <v>0</v>
          </cell>
          <cell r="M260">
            <v>0</v>
          </cell>
          <cell r="N260">
            <v>242</v>
          </cell>
          <cell r="O260">
            <v>185</v>
          </cell>
          <cell r="P260">
            <v>319</v>
          </cell>
          <cell r="T260">
            <v>906.59999999999945</v>
          </cell>
          <cell r="U260">
            <v>964.875</v>
          </cell>
          <cell r="V260">
            <v>906.59999999999945</v>
          </cell>
          <cell r="W260">
            <v>2243.1999999999998</v>
          </cell>
          <cell r="X260">
            <v>2253.8500000000004</v>
          </cell>
          <cell r="Y260">
            <v>-2279</v>
          </cell>
        </row>
        <row r="261">
          <cell r="B261">
            <v>906.59999999999945</v>
          </cell>
          <cell r="C261">
            <v>984.29999999999927</v>
          </cell>
          <cell r="D261">
            <v>906.59999999999945</v>
          </cell>
          <cell r="E261">
            <v>-1074.6500000000005</v>
          </cell>
          <cell r="F261">
            <v>-174.625</v>
          </cell>
          <cell r="G261">
            <v>-2266.0500000000002</v>
          </cell>
          <cell r="K261">
            <v>0</v>
          </cell>
          <cell r="L261">
            <v>0</v>
          </cell>
          <cell r="M261">
            <v>0</v>
          </cell>
          <cell r="N261">
            <v>246</v>
          </cell>
          <cell r="O261">
            <v>194</v>
          </cell>
          <cell r="P261">
            <v>330</v>
          </cell>
          <cell r="T261">
            <v>906.59999999999945</v>
          </cell>
          <cell r="U261">
            <v>997.25</v>
          </cell>
          <cell r="V261">
            <v>906.59999999999945</v>
          </cell>
          <cell r="W261">
            <v>2273.1999999999998</v>
          </cell>
          <cell r="X261">
            <v>2246.8999999999992</v>
          </cell>
          <cell r="Y261">
            <v>2471.1999999999998</v>
          </cell>
        </row>
        <row r="262">
          <cell r="B262">
            <v>906.59999999999945</v>
          </cell>
          <cell r="C262">
            <v>977.82499999999982</v>
          </cell>
          <cell r="D262">
            <v>906.60000000000036</v>
          </cell>
          <cell r="E262">
            <v>-1087.6000000000004</v>
          </cell>
          <cell r="F262">
            <v>-569.60000000000036</v>
          </cell>
          <cell r="G262">
            <v>-2123.6000000000004</v>
          </cell>
          <cell r="K262">
            <v>0</v>
          </cell>
          <cell r="L262">
            <v>0</v>
          </cell>
          <cell r="M262">
            <v>0</v>
          </cell>
          <cell r="N262">
            <v>240</v>
          </cell>
          <cell r="O262">
            <v>177</v>
          </cell>
          <cell r="P262">
            <v>330</v>
          </cell>
          <cell r="T262">
            <v>906.59999999999945</v>
          </cell>
          <cell r="U262">
            <v>958.39999999999873</v>
          </cell>
          <cell r="V262">
            <v>906.60000000000036</v>
          </cell>
          <cell r="W262">
            <v>2315.1999999999998</v>
          </cell>
          <cell r="X262">
            <v>196.36353138242174</v>
          </cell>
          <cell r="Y262">
            <v>2431.1999999999998</v>
          </cell>
        </row>
        <row r="263">
          <cell r="B263">
            <v>906.59999999999945</v>
          </cell>
          <cell r="C263">
            <v>977.82499999999982</v>
          </cell>
          <cell r="D263">
            <v>906.59999999999945</v>
          </cell>
          <cell r="E263">
            <v>-1139.4000000000005</v>
          </cell>
          <cell r="F263">
            <v>-219.95000000000073</v>
          </cell>
          <cell r="G263">
            <v>-2486.1999999999998</v>
          </cell>
          <cell r="K263">
            <v>0</v>
          </cell>
          <cell r="L263">
            <v>0</v>
          </cell>
          <cell r="M263">
            <v>0</v>
          </cell>
          <cell r="N263">
            <v>245</v>
          </cell>
          <cell r="O263">
            <v>179</v>
          </cell>
          <cell r="P263">
            <v>302</v>
          </cell>
          <cell r="T263">
            <v>906.59999999999945</v>
          </cell>
          <cell r="U263">
            <v>945.44999999999982</v>
          </cell>
          <cell r="V263">
            <v>906.59999999999945</v>
          </cell>
          <cell r="W263">
            <v>-40.218591698901264</v>
          </cell>
          <cell r="X263">
            <v>2235.474999999999</v>
          </cell>
          <cell r="Y263">
            <v>-1978.615509044597</v>
          </cell>
        </row>
        <row r="264">
          <cell r="B264">
            <v>906.59999999999945</v>
          </cell>
          <cell r="C264">
            <v>945.44999999999982</v>
          </cell>
          <cell r="D264">
            <v>906.59999999999945</v>
          </cell>
          <cell r="E264">
            <v>-802.70000000000073</v>
          </cell>
          <cell r="F264">
            <v>-317.07500000000073</v>
          </cell>
          <cell r="G264">
            <v>-2253.1000000000004</v>
          </cell>
          <cell r="K264">
            <v>0</v>
          </cell>
          <cell r="L264">
            <v>0</v>
          </cell>
          <cell r="M264">
            <v>0</v>
          </cell>
          <cell r="N264">
            <v>240</v>
          </cell>
          <cell r="O264">
            <v>190</v>
          </cell>
          <cell r="P264">
            <v>314</v>
          </cell>
          <cell r="T264">
            <v>906.59999999999945</v>
          </cell>
          <cell r="U264">
            <v>984.29999999999927</v>
          </cell>
          <cell r="V264">
            <v>906.59999999999945</v>
          </cell>
          <cell r="W264">
            <v>2261.1999999999994</v>
          </cell>
          <cell r="X264">
            <v>-310.60000000000036</v>
          </cell>
          <cell r="Y264">
            <v>2427.1999999999989</v>
          </cell>
        </row>
        <row r="265">
          <cell r="B265">
            <v>906.59999999999945</v>
          </cell>
          <cell r="C265">
            <v>990.77499999999873</v>
          </cell>
          <cell r="D265">
            <v>906.60000000000036</v>
          </cell>
          <cell r="E265">
            <v>-1087.6000000000004</v>
          </cell>
          <cell r="F265">
            <v>-342.97500000000036</v>
          </cell>
          <cell r="G265">
            <v>-2343.75</v>
          </cell>
          <cell r="K265">
            <v>0</v>
          </cell>
          <cell r="L265">
            <v>0</v>
          </cell>
          <cell r="M265">
            <v>0</v>
          </cell>
          <cell r="N265">
            <v>219</v>
          </cell>
          <cell r="O265">
            <v>180</v>
          </cell>
          <cell r="P265">
            <v>334</v>
          </cell>
          <cell r="T265">
            <v>906.59999999999945</v>
          </cell>
          <cell r="U265">
            <v>984.29999999999927</v>
          </cell>
          <cell r="V265">
            <v>906.60000000000036</v>
          </cell>
          <cell r="W265">
            <v>2243.1999999999998</v>
          </cell>
          <cell r="X265">
            <v>1685.8175268552845</v>
          </cell>
          <cell r="Y265">
            <v>-704.36297473677837</v>
          </cell>
        </row>
        <row r="266">
          <cell r="B266">
            <v>906.59999999999945</v>
          </cell>
          <cell r="C266">
            <v>984.29999999999927</v>
          </cell>
          <cell r="D266">
            <v>906.60000000000036</v>
          </cell>
          <cell r="E266">
            <v>-1009.9000000000005</v>
          </cell>
          <cell r="F266">
            <v>-362.40000000000055</v>
          </cell>
          <cell r="G266">
            <v>-2356.6999999999998</v>
          </cell>
          <cell r="K266">
            <v>0</v>
          </cell>
          <cell r="L266">
            <v>0</v>
          </cell>
          <cell r="M266">
            <v>0</v>
          </cell>
          <cell r="N266">
            <v>220</v>
          </cell>
          <cell r="O266">
            <v>185</v>
          </cell>
          <cell r="P266">
            <v>312</v>
          </cell>
          <cell r="T266">
            <v>906.59999999999945</v>
          </cell>
          <cell r="U266">
            <v>1010.1999999999998</v>
          </cell>
          <cell r="V266">
            <v>906.59999999999945</v>
          </cell>
          <cell r="W266">
            <v>2263.1999999999998</v>
          </cell>
          <cell r="X266">
            <v>2229.9499999999998</v>
          </cell>
          <cell r="Y266">
            <v>438.6832191022304</v>
          </cell>
        </row>
        <row r="267">
          <cell r="B267">
            <v>906.59999999999945</v>
          </cell>
          <cell r="C267">
            <v>971.34999999999945</v>
          </cell>
          <cell r="D267">
            <v>906.60000000000036</v>
          </cell>
          <cell r="E267">
            <v>-1178.25</v>
          </cell>
          <cell r="F267">
            <v>-563.125</v>
          </cell>
          <cell r="G267">
            <v>-2123.6000000000004</v>
          </cell>
          <cell r="K267">
            <v>0</v>
          </cell>
          <cell r="L267">
            <v>0</v>
          </cell>
          <cell r="M267">
            <v>0</v>
          </cell>
          <cell r="N267">
            <v>232</v>
          </cell>
          <cell r="O267">
            <v>169</v>
          </cell>
          <cell r="P267">
            <v>314</v>
          </cell>
          <cell r="T267">
            <v>906.59999999999945</v>
          </cell>
          <cell r="U267">
            <v>990.77499999999873</v>
          </cell>
          <cell r="V267">
            <v>906.60000000000036</v>
          </cell>
          <cell r="W267">
            <v>721.54029410323142</v>
          </cell>
          <cell r="X267">
            <v>2171.5749999999994</v>
          </cell>
          <cell r="Y267">
            <v>2475.1999999999998</v>
          </cell>
        </row>
        <row r="268">
          <cell r="B268">
            <v>906.59999999999945</v>
          </cell>
          <cell r="C268">
            <v>971.34999999999854</v>
          </cell>
          <cell r="D268">
            <v>906.59999999999945</v>
          </cell>
          <cell r="E268">
            <v>-906.30000000000018</v>
          </cell>
          <cell r="F268">
            <v>-349.45000000000073</v>
          </cell>
          <cell r="G268">
            <v>-2654.55</v>
          </cell>
          <cell r="K268">
            <v>0</v>
          </cell>
          <cell r="L268">
            <v>0</v>
          </cell>
          <cell r="M268">
            <v>0</v>
          </cell>
          <cell r="N268">
            <v>207</v>
          </cell>
          <cell r="O268">
            <v>188</v>
          </cell>
          <cell r="P268">
            <v>306</v>
          </cell>
          <cell r="T268">
            <v>906.59999999999945</v>
          </cell>
          <cell r="U268">
            <v>990.77499999999964</v>
          </cell>
          <cell r="V268">
            <v>906.59999999999945</v>
          </cell>
          <cell r="W268">
            <v>2281.1999999999994</v>
          </cell>
          <cell r="X268">
            <v>2254.9</v>
          </cell>
          <cell r="Y268">
            <v>-212.19827179389631</v>
          </cell>
        </row>
        <row r="269">
          <cell r="B269">
            <v>906.59999999999945</v>
          </cell>
          <cell r="C269">
            <v>1023.1499999999996</v>
          </cell>
          <cell r="D269">
            <v>906.59999999999945</v>
          </cell>
          <cell r="E269">
            <v>-958.10000000000036</v>
          </cell>
          <cell r="F269">
            <v>-232.90000000000055</v>
          </cell>
          <cell r="G269">
            <v>-2097.7000000000007</v>
          </cell>
          <cell r="K269">
            <v>0</v>
          </cell>
          <cell r="L269">
            <v>0</v>
          </cell>
          <cell r="M269">
            <v>0</v>
          </cell>
          <cell r="N269">
            <v>257</v>
          </cell>
          <cell r="O269">
            <v>188</v>
          </cell>
          <cell r="P269">
            <v>309</v>
          </cell>
          <cell r="T269">
            <v>906.59999999999945</v>
          </cell>
          <cell r="U269">
            <v>984.29999999999927</v>
          </cell>
          <cell r="V269">
            <v>906.60000000000036</v>
          </cell>
          <cell r="W269">
            <v>456.21864803336962</v>
          </cell>
          <cell r="X269">
            <v>2278.4249999999993</v>
          </cell>
          <cell r="Y269">
            <v>2027.1112655386041</v>
          </cell>
        </row>
        <row r="270">
          <cell r="B270">
            <v>906.59999999999945</v>
          </cell>
          <cell r="C270">
            <v>926.02499999999964</v>
          </cell>
          <cell r="D270">
            <v>906.59999999999945</v>
          </cell>
          <cell r="E270">
            <v>-1113.5</v>
          </cell>
          <cell r="F270">
            <v>-556.65000000000055</v>
          </cell>
          <cell r="G270">
            <v>-2266.0500000000002</v>
          </cell>
          <cell r="K270">
            <v>0</v>
          </cell>
          <cell r="L270">
            <v>0</v>
          </cell>
          <cell r="M270">
            <v>0</v>
          </cell>
          <cell r="N270">
            <v>212</v>
          </cell>
          <cell r="O270">
            <v>185</v>
          </cell>
          <cell r="P270">
            <v>309</v>
          </cell>
          <cell r="T270">
            <v>906.59999999999945</v>
          </cell>
          <cell r="U270">
            <v>977.82499999999982</v>
          </cell>
          <cell r="V270">
            <v>906.59999999999945</v>
          </cell>
          <cell r="W270">
            <v>-916.60096805893522</v>
          </cell>
          <cell r="X270">
            <v>-550.17500000000018</v>
          </cell>
          <cell r="Y270">
            <v>2503.1999999999998</v>
          </cell>
        </row>
        <row r="271">
          <cell r="B271">
            <v>906.59999999999945</v>
          </cell>
          <cell r="C271">
            <v>1016.6749999999993</v>
          </cell>
          <cell r="D271">
            <v>906.59999999999945</v>
          </cell>
          <cell r="E271">
            <v>-1217.1000000000004</v>
          </cell>
          <cell r="F271">
            <v>-440.10000000000036</v>
          </cell>
          <cell r="G271">
            <v>-2266.0500000000002</v>
          </cell>
          <cell r="K271">
            <v>0</v>
          </cell>
          <cell r="L271">
            <v>0</v>
          </cell>
          <cell r="M271">
            <v>0</v>
          </cell>
          <cell r="N271">
            <v>208</v>
          </cell>
          <cell r="O271">
            <v>176</v>
          </cell>
          <cell r="P271">
            <v>293</v>
          </cell>
          <cell r="T271">
            <v>906.59999999999945</v>
          </cell>
          <cell r="U271">
            <v>1010.1999999999998</v>
          </cell>
          <cell r="V271">
            <v>906.60000000000036</v>
          </cell>
          <cell r="W271">
            <v>2241.1999999999994</v>
          </cell>
          <cell r="X271">
            <v>2239.474999999999</v>
          </cell>
          <cell r="Y271">
            <v>-2279</v>
          </cell>
        </row>
        <row r="272">
          <cell r="B272">
            <v>906.59999999999945</v>
          </cell>
          <cell r="C272">
            <v>938.97499999999854</v>
          </cell>
          <cell r="D272">
            <v>906.60000000000036</v>
          </cell>
          <cell r="E272">
            <v>-712.05000000000018</v>
          </cell>
          <cell r="F272">
            <v>-77.5</v>
          </cell>
          <cell r="G272">
            <v>-2240.1500000000005</v>
          </cell>
          <cell r="K272">
            <v>0</v>
          </cell>
          <cell r="L272">
            <v>0</v>
          </cell>
          <cell r="M272">
            <v>0</v>
          </cell>
          <cell r="N272">
            <v>221</v>
          </cell>
          <cell r="O272">
            <v>199</v>
          </cell>
          <cell r="P272">
            <v>335</v>
          </cell>
          <cell r="T272">
            <v>906.59999999999945</v>
          </cell>
          <cell r="U272">
            <v>1016.6749999999993</v>
          </cell>
          <cell r="V272">
            <v>906.59999999999945</v>
          </cell>
          <cell r="W272">
            <v>2257.1999999999989</v>
          </cell>
          <cell r="X272">
            <v>2248.4249999999997</v>
          </cell>
          <cell r="Y272">
            <v>2361.1999999999998</v>
          </cell>
        </row>
        <row r="273">
          <cell r="B273">
            <v>906.59999999999945</v>
          </cell>
          <cell r="C273">
            <v>958.39999999999964</v>
          </cell>
          <cell r="D273">
            <v>906.59999999999945</v>
          </cell>
          <cell r="E273">
            <v>-1333.6500000000005</v>
          </cell>
          <cell r="F273">
            <v>-679.67500000000018</v>
          </cell>
          <cell r="G273">
            <v>-2175.4000000000005</v>
          </cell>
          <cell r="K273">
            <v>0</v>
          </cell>
          <cell r="L273">
            <v>0</v>
          </cell>
          <cell r="M273">
            <v>0</v>
          </cell>
          <cell r="N273">
            <v>241</v>
          </cell>
          <cell r="O273">
            <v>176</v>
          </cell>
          <cell r="P273">
            <v>344</v>
          </cell>
          <cell r="T273">
            <v>906.59999999999945</v>
          </cell>
          <cell r="U273">
            <v>997.25</v>
          </cell>
          <cell r="V273">
            <v>906.59999999999945</v>
          </cell>
          <cell r="W273">
            <v>2269.1999999999994</v>
          </cell>
          <cell r="X273">
            <v>2306.3249999999994</v>
          </cell>
          <cell r="Y273">
            <v>-2356.6999999999998</v>
          </cell>
        </row>
        <row r="274">
          <cell r="B274">
            <v>906.59999999999945</v>
          </cell>
          <cell r="C274">
            <v>951.92499999999927</v>
          </cell>
          <cell r="D274">
            <v>906.59999999999945</v>
          </cell>
          <cell r="E274">
            <v>-1113.5</v>
          </cell>
          <cell r="F274">
            <v>-304.125</v>
          </cell>
          <cell r="G274">
            <v>-2253.1000000000004</v>
          </cell>
          <cell r="K274">
            <v>0</v>
          </cell>
          <cell r="L274">
            <v>0</v>
          </cell>
          <cell r="M274">
            <v>0</v>
          </cell>
          <cell r="N274">
            <v>239</v>
          </cell>
          <cell r="O274">
            <v>177</v>
          </cell>
          <cell r="P274">
            <v>304</v>
          </cell>
          <cell r="T274">
            <v>906.59999999999945</v>
          </cell>
          <cell r="U274">
            <v>971.34999999999945</v>
          </cell>
          <cell r="V274">
            <v>906.59999999999945</v>
          </cell>
          <cell r="W274">
            <v>2221.1999999999994</v>
          </cell>
          <cell r="X274">
            <v>2270.7999999999997</v>
          </cell>
          <cell r="Y274">
            <v>2413.1999999999998</v>
          </cell>
        </row>
        <row r="275">
          <cell r="B275">
            <v>906.59999999999945</v>
          </cell>
          <cell r="C275">
            <v>984.29999999999927</v>
          </cell>
          <cell r="D275">
            <v>906.59999999999945</v>
          </cell>
          <cell r="E275">
            <v>-1087.6000000000004</v>
          </cell>
          <cell r="F275">
            <v>-627.875</v>
          </cell>
          <cell r="G275">
            <v>-2395.5500000000002</v>
          </cell>
          <cell r="K275">
            <v>0</v>
          </cell>
          <cell r="L275">
            <v>0</v>
          </cell>
          <cell r="M275">
            <v>0</v>
          </cell>
          <cell r="N275">
            <v>256</v>
          </cell>
          <cell r="O275">
            <v>193</v>
          </cell>
          <cell r="P275">
            <v>323</v>
          </cell>
          <cell r="T275">
            <v>906.59999999999945</v>
          </cell>
          <cell r="U275">
            <v>997.25</v>
          </cell>
          <cell r="V275">
            <v>906.59999999999945</v>
          </cell>
          <cell r="W275">
            <v>2273.1999999999998</v>
          </cell>
          <cell r="X275">
            <v>2289.85</v>
          </cell>
          <cell r="Y275">
            <v>2489.1999999999989</v>
          </cell>
        </row>
        <row r="276">
          <cell r="B276">
            <v>906.59999999999945</v>
          </cell>
          <cell r="C276">
            <v>997.25</v>
          </cell>
          <cell r="D276">
            <v>906.60000000000036</v>
          </cell>
          <cell r="E276">
            <v>-1087.6000000000004</v>
          </cell>
          <cell r="F276">
            <v>-122.82500000000073</v>
          </cell>
          <cell r="G276">
            <v>-2110.6500000000005</v>
          </cell>
          <cell r="K276">
            <v>0</v>
          </cell>
          <cell r="L276">
            <v>0</v>
          </cell>
          <cell r="M276">
            <v>0</v>
          </cell>
          <cell r="N276">
            <v>235</v>
          </cell>
          <cell r="O276">
            <v>179</v>
          </cell>
          <cell r="P276">
            <v>319</v>
          </cell>
          <cell r="T276">
            <v>906.59999999999945</v>
          </cell>
          <cell r="U276">
            <v>938.97499999999854</v>
          </cell>
          <cell r="V276">
            <v>906.59999999999945</v>
          </cell>
          <cell r="W276">
            <v>2263.1999999999998</v>
          </cell>
          <cell r="X276">
            <v>-7.6398443478819331</v>
          </cell>
          <cell r="Y276">
            <v>-124.32944166478342</v>
          </cell>
        </row>
        <row r="277">
          <cell r="B277">
            <v>906.59999999999945</v>
          </cell>
          <cell r="C277">
            <v>951.92499999999927</v>
          </cell>
          <cell r="D277">
            <v>906.59999999999945</v>
          </cell>
          <cell r="E277">
            <v>-880.40000000000055</v>
          </cell>
          <cell r="F277">
            <v>-375.35000000000036</v>
          </cell>
          <cell r="G277">
            <v>-2317.8500000000004</v>
          </cell>
          <cell r="K277">
            <v>0</v>
          </cell>
          <cell r="L277">
            <v>0</v>
          </cell>
          <cell r="M277">
            <v>0</v>
          </cell>
          <cell r="N277">
            <v>233</v>
          </cell>
          <cell r="O277">
            <v>161</v>
          </cell>
          <cell r="P277">
            <v>322</v>
          </cell>
          <cell r="T277">
            <v>906.59999999999945</v>
          </cell>
          <cell r="U277">
            <v>984.30000000000018</v>
          </cell>
          <cell r="V277">
            <v>912.6</v>
          </cell>
          <cell r="W277">
            <v>1203.3202690595331</v>
          </cell>
          <cell r="X277">
            <v>2135.5749999999998</v>
          </cell>
          <cell r="Y277">
            <v>2457.1999999999998</v>
          </cell>
        </row>
        <row r="278">
          <cell r="B278">
            <v>906.59999999999945</v>
          </cell>
          <cell r="C278">
            <v>964.87499999999909</v>
          </cell>
          <cell r="D278">
            <v>906.59999999999945</v>
          </cell>
          <cell r="E278">
            <v>-841.55000000000018</v>
          </cell>
          <cell r="F278">
            <v>-433.625</v>
          </cell>
          <cell r="G278">
            <v>-2279</v>
          </cell>
          <cell r="K278">
            <v>0</v>
          </cell>
          <cell r="L278">
            <v>0</v>
          </cell>
          <cell r="M278">
            <v>0</v>
          </cell>
          <cell r="N278">
            <v>230</v>
          </cell>
          <cell r="O278">
            <v>188</v>
          </cell>
          <cell r="P278">
            <v>312</v>
          </cell>
          <cell r="T278">
            <v>906.59999999999945</v>
          </cell>
          <cell r="U278">
            <v>984.30000000000018</v>
          </cell>
          <cell r="V278">
            <v>906.59999999999945</v>
          </cell>
          <cell r="W278">
            <v>2219.1999999999994</v>
          </cell>
          <cell r="X278">
            <v>1344.3828019074381</v>
          </cell>
          <cell r="Y278">
            <v>-225.79431012175019</v>
          </cell>
        </row>
        <row r="279">
          <cell r="B279">
            <v>906.59999999999945</v>
          </cell>
          <cell r="C279">
            <v>971.34999999999945</v>
          </cell>
          <cell r="D279">
            <v>906.60000000000036</v>
          </cell>
          <cell r="E279">
            <v>-686.15000000000055</v>
          </cell>
          <cell r="F279">
            <v>-427.15000000000055</v>
          </cell>
          <cell r="G279">
            <v>-2499.1500000000005</v>
          </cell>
          <cell r="K279">
            <v>0</v>
          </cell>
          <cell r="L279">
            <v>0</v>
          </cell>
          <cell r="M279">
            <v>0</v>
          </cell>
          <cell r="N279">
            <v>204</v>
          </cell>
          <cell r="O279">
            <v>199</v>
          </cell>
          <cell r="P279">
            <v>307</v>
          </cell>
          <cell r="T279">
            <v>906.59999999999945</v>
          </cell>
          <cell r="U279">
            <v>958.39999999999964</v>
          </cell>
          <cell r="V279">
            <v>906.59999999999945</v>
          </cell>
          <cell r="W279">
            <v>-1372.5</v>
          </cell>
          <cell r="X279">
            <v>2271.9499999999989</v>
          </cell>
          <cell r="Y279">
            <v>2489.1999999999989</v>
          </cell>
        </row>
        <row r="280">
          <cell r="B280">
            <v>906.59999999999945</v>
          </cell>
          <cell r="C280">
            <v>932.5</v>
          </cell>
          <cell r="D280">
            <v>906.60000000000036</v>
          </cell>
          <cell r="E280">
            <v>-945.15000000000055</v>
          </cell>
          <cell r="F280">
            <v>-375.35000000000036</v>
          </cell>
          <cell r="G280">
            <v>-1955.25</v>
          </cell>
          <cell r="K280">
            <v>0</v>
          </cell>
          <cell r="L280">
            <v>0</v>
          </cell>
          <cell r="M280">
            <v>0</v>
          </cell>
          <cell r="N280">
            <v>238</v>
          </cell>
          <cell r="O280">
            <v>179</v>
          </cell>
          <cell r="P280">
            <v>318</v>
          </cell>
          <cell r="T280">
            <v>906.59999999999945</v>
          </cell>
          <cell r="U280">
            <v>971.34999999999945</v>
          </cell>
          <cell r="V280">
            <v>906.59999999999945</v>
          </cell>
          <cell r="W280">
            <v>-473.81762533509914</v>
          </cell>
          <cell r="X280">
            <v>572.50264777036296</v>
          </cell>
          <cell r="Y280">
            <v>2447.1999999999998</v>
          </cell>
        </row>
        <row r="281">
          <cell r="B281">
            <v>906.59999999999945</v>
          </cell>
          <cell r="C281">
            <v>964.87499999999909</v>
          </cell>
          <cell r="D281">
            <v>906.60000000000036</v>
          </cell>
          <cell r="E281">
            <v>-776.80000000000018</v>
          </cell>
          <cell r="F281">
            <v>-433.625</v>
          </cell>
          <cell r="G281">
            <v>-2175.4000000000005</v>
          </cell>
          <cell r="K281">
            <v>0</v>
          </cell>
          <cell r="L281">
            <v>0</v>
          </cell>
          <cell r="M281">
            <v>0</v>
          </cell>
          <cell r="N281">
            <v>211</v>
          </cell>
          <cell r="O281">
            <v>197</v>
          </cell>
          <cell r="P281">
            <v>342</v>
          </cell>
          <cell r="T281">
            <v>906.59999999999945</v>
          </cell>
          <cell r="U281">
            <v>990.77499999999964</v>
          </cell>
          <cell r="V281">
            <v>906.60000000000036</v>
          </cell>
          <cell r="W281">
            <v>-1009.9000000000005</v>
          </cell>
          <cell r="X281">
            <v>2279.85</v>
          </cell>
          <cell r="Y281">
            <v>2415.1999999999998</v>
          </cell>
        </row>
        <row r="282">
          <cell r="B282">
            <v>906.59999999999945</v>
          </cell>
          <cell r="C282">
            <v>997.25</v>
          </cell>
          <cell r="D282">
            <v>906.59999999999945</v>
          </cell>
          <cell r="E282">
            <v>-1035.8000000000002</v>
          </cell>
          <cell r="F282">
            <v>-414.20000000000073</v>
          </cell>
          <cell r="G282">
            <v>-2356.6999999999998</v>
          </cell>
          <cell r="K282">
            <v>0</v>
          </cell>
          <cell r="L282">
            <v>0</v>
          </cell>
          <cell r="M282">
            <v>0</v>
          </cell>
          <cell r="N282">
            <v>229</v>
          </cell>
          <cell r="O282">
            <v>162</v>
          </cell>
          <cell r="P282">
            <v>317</v>
          </cell>
          <cell r="T282">
            <v>906.59999999999945</v>
          </cell>
          <cell r="U282">
            <v>951.92499999999927</v>
          </cell>
          <cell r="V282">
            <v>906.60000000000036</v>
          </cell>
          <cell r="W282">
            <v>2221.1999999999994</v>
          </cell>
          <cell r="X282">
            <v>2176.9999999999991</v>
          </cell>
          <cell r="Y282">
            <v>2451.1999999999998</v>
          </cell>
        </row>
        <row r="283">
          <cell r="B283">
            <v>906.59999999999945</v>
          </cell>
          <cell r="C283">
            <v>1016.6749999999993</v>
          </cell>
          <cell r="D283">
            <v>906.60000000000036</v>
          </cell>
          <cell r="E283">
            <v>-1152.3500000000004</v>
          </cell>
          <cell r="F283">
            <v>-466</v>
          </cell>
          <cell r="G283">
            <v>-2149.5</v>
          </cell>
          <cell r="K283">
            <v>0</v>
          </cell>
          <cell r="L283">
            <v>0</v>
          </cell>
          <cell r="M283">
            <v>0</v>
          </cell>
          <cell r="N283">
            <v>234</v>
          </cell>
          <cell r="O283">
            <v>196</v>
          </cell>
          <cell r="P283">
            <v>334</v>
          </cell>
          <cell r="T283">
            <v>906.59999999999945</v>
          </cell>
          <cell r="U283">
            <v>938.97499999999945</v>
          </cell>
          <cell r="V283">
            <v>906.59999999999945</v>
          </cell>
          <cell r="W283">
            <v>2253.1999999999998</v>
          </cell>
          <cell r="X283">
            <v>2262.8999999999996</v>
          </cell>
          <cell r="Y283">
            <v>2508.1499999999996</v>
          </cell>
        </row>
        <row r="284">
          <cell r="B284">
            <v>906.59999999999945</v>
          </cell>
          <cell r="C284">
            <v>971.35000000000036</v>
          </cell>
          <cell r="D284">
            <v>906.60000000000036</v>
          </cell>
          <cell r="E284">
            <v>-1281.8500000000004</v>
          </cell>
          <cell r="F284">
            <v>-317.07500000000073</v>
          </cell>
          <cell r="G284">
            <v>-2291.9499999999998</v>
          </cell>
          <cell r="K284">
            <v>0</v>
          </cell>
          <cell r="L284">
            <v>0</v>
          </cell>
          <cell r="M284">
            <v>0</v>
          </cell>
          <cell r="N284">
            <v>234</v>
          </cell>
          <cell r="O284">
            <v>180</v>
          </cell>
          <cell r="P284">
            <v>325</v>
          </cell>
          <cell r="T284">
            <v>906.59999999999945</v>
          </cell>
          <cell r="U284">
            <v>951.92499999999927</v>
          </cell>
          <cell r="V284">
            <v>828.89999999999964</v>
          </cell>
          <cell r="W284">
            <v>432.77277788256379</v>
          </cell>
          <cell r="X284">
            <v>2331.849999999999</v>
          </cell>
          <cell r="Y284">
            <v>2483.1999999999998</v>
          </cell>
        </row>
        <row r="285">
          <cell r="B285">
            <v>906.59999999999945</v>
          </cell>
          <cell r="C285">
            <v>971.34999999999945</v>
          </cell>
          <cell r="D285">
            <v>906.60000000000036</v>
          </cell>
          <cell r="E285">
            <v>-1268.9000000000005</v>
          </cell>
          <cell r="F285">
            <v>-647.30000000000018</v>
          </cell>
          <cell r="G285">
            <v>-2512.1000000000004</v>
          </cell>
          <cell r="K285">
            <v>0</v>
          </cell>
          <cell r="L285">
            <v>0</v>
          </cell>
          <cell r="M285">
            <v>0</v>
          </cell>
          <cell r="N285">
            <v>210</v>
          </cell>
          <cell r="O285">
            <v>170</v>
          </cell>
          <cell r="P285">
            <v>330</v>
          </cell>
          <cell r="T285">
            <v>906.59999999999945</v>
          </cell>
          <cell r="U285">
            <v>938.97499999999945</v>
          </cell>
          <cell r="V285">
            <v>906.59999999999945</v>
          </cell>
          <cell r="W285">
            <v>2241.1999999999994</v>
          </cell>
          <cell r="X285">
            <v>2260.8999999999996</v>
          </cell>
          <cell r="Y285">
            <v>744.19063978903978</v>
          </cell>
        </row>
        <row r="286">
          <cell r="B286">
            <v>906.59999999999945</v>
          </cell>
          <cell r="C286">
            <v>984.29999999999927</v>
          </cell>
          <cell r="D286">
            <v>906.60000000000036</v>
          </cell>
          <cell r="E286">
            <v>-1009.9000000000005</v>
          </cell>
          <cell r="F286">
            <v>-511.32500000000073</v>
          </cell>
          <cell r="G286">
            <v>-2279</v>
          </cell>
          <cell r="K286">
            <v>0</v>
          </cell>
          <cell r="L286">
            <v>0</v>
          </cell>
          <cell r="M286">
            <v>0</v>
          </cell>
          <cell r="N286">
            <v>201</v>
          </cell>
          <cell r="O286">
            <v>188</v>
          </cell>
          <cell r="P286">
            <v>312</v>
          </cell>
          <cell r="T286">
            <v>906.59999999999945</v>
          </cell>
          <cell r="U286">
            <v>971.34999999999854</v>
          </cell>
          <cell r="V286">
            <v>906.59999999999945</v>
          </cell>
          <cell r="W286">
            <v>2261.1999999999994</v>
          </cell>
          <cell r="X286">
            <v>-72.740930303845005</v>
          </cell>
          <cell r="Y286">
            <v>-2330.8000000000002</v>
          </cell>
        </row>
        <row r="287">
          <cell r="B287">
            <v>906.59999999999945</v>
          </cell>
          <cell r="C287">
            <v>984.29999999999927</v>
          </cell>
          <cell r="D287">
            <v>906.59999999999945</v>
          </cell>
          <cell r="E287">
            <v>-1217.1000000000004</v>
          </cell>
          <cell r="F287">
            <v>-433.625</v>
          </cell>
          <cell r="G287">
            <v>-2356.6999999999998</v>
          </cell>
          <cell r="K287">
            <v>0</v>
          </cell>
          <cell r="L287">
            <v>0</v>
          </cell>
          <cell r="M287">
            <v>0</v>
          </cell>
          <cell r="N287">
            <v>214</v>
          </cell>
          <cell r="O287">
            <v>178</v>
          </cell>
          <cell r="P287">
            <v>321</v>
          </cell>
          <cell r="T287">
            <v>906.59999999999945</v>
          </cell>
          <cell r="U287">
            <v>984.29999999999927</v>
          </cell>
          <cell r="V287">
            <v>906.60000000000036</v>
          </cell>
          <cell r="W287">
            <v>701.43201797631127</v>
          </cell>
          <cell r="X287">
            <v>2227.9499999999998</v>
          </cell>
          <cell r="Y287">
            <v>2489.1999999999989</v>
          </cell>
        </row>
        <row r="288">
          <cell r="B288">
            <v>906.59999999999945</v>
          </cell>
          <cell r="C288">
            <v>990.77499999999964</v>
          </cell>
          <cell r="D288">
            <v>906.60000000000036</v>
          </cell>
          <cell r="E288">
            <v>-984</v>
          </cell>
          <cell r="F288">
            <v>-524.27500000000055</v>
          </cell>
          <cell r="G288">
            <v>-2162.4500000000007</v>
          </cell>
          <cell r="K288">
            <v>0</v>
          </cell>
          <cell r="L288">
            <v>0</v>
          </cell>
          <cell r="M288">
            <v>0</v>
          </cell>
          <cell r="N288">
            <v>216</v>
          </cell>
          <cell r="O288">
            <v>191</v>
          </cell>
          <cell r="P288">
            <v>309</v>
          </cell>
          <cell r="T288">
            <v>906.59999999999945</v>
          </cell>
          <cell r="U288">
            <v>977.82499999999891</v>
          </cell>
          <cell r="V288">
            <v>912.6</v>
          </cell>
          <cell r="W288">
            <v>2259.1999999999994</v>
          </cell>
          <cell r="X288">
            <v>2249.2749999999992</v>
          </cell>
          <cell r="Y288">
            <v>2513.1999999999998</v>
          </cell>
        </row>
        <row r="289">
          <cell r="B289">
            <v>906.59999999999945</v>
          </cell>
          <cell r="C289">
            <v>977.82499999999982</v>
          </cell>
          <cell r="D289">
            <v>906.60000000000036</v>
          </cell>
          <cell r="E289">
            <v>-1113.5</v>
          </cell>
          <cell r="F289">
            <v>-368.875</v>
          </cell>
          <cell r="G289">
            <v>-2343.75</v>
          </cell>
          <cell r="K289">
            <v>0</v>
          </cell>
          <cell r="L289">
            <v>0</v>
          </cell>
          <cell r="M289">
            <v>0</v>
          </cell>
          <cell r="N289">
            <v>239</v>
          </cell>
          <cell r="O289">
            <v>187</v>
          </cell>
          <cell r="P289">
            <v>331</v>
          </cell>
          <cell r="T289">
            <v>906.59999999999945</v>
          </cell>
          <cell r="U289">
            <v>951.92499999999927</v>
          </cell>
          <cell r="V289">
            <v>906.60000000000036</v>
          </cell>
          <cell r="W289">
            <v>2275.1999999999998</v>
          </cell>
          <cell r="X289">
            <v>2251.9499999999994</v>
          </cell>
          <cell r="Y289">
            <v>2453.1999999999998</v>
          </cell>
        </row>
        <row r="290">
          <cell r="B290">
            <v>906.59999999999945</v>
          </cell>
          <cell r="C290">
            <v>971.34999999999945</v>
          </cell>
          <cell r="D290">
            <v>906.59999999999945</v>
          </cell>
          <cell r="E290">
            <v>-1255.9500000000007</v>
          </cell>
          <cell r="F290">
            <v>-258.80000000000109</v>
          </cell>
          <cell r="G290">
            <v>-2589.8000000000002</v>
          </cell>
          <cell r="K290">
            <v>0</v>
          </cell>
          <cell r="L290">
            <v>0</v>
          </cell>
          <cell r="M290">
            <v>0</v>
          </cell>
          <cell r="N290">
            <v>220</v>
          </cell>
          <cell r="O290">
            <v>156</v>
          </cell>
          <cell r="P290">
            <v>329</v>
          </cell>
          <cell r="T290">
            <v>906.59999999999945</v>
          </cell>
          <cell r="U290">
            <v>951.92499999999927</v>
          </cell>
          <cell r="V290">
            <v>906.59999999999945</v>
          </cell>
          <cell r="W290">
            <v>2289.1999999999994</v>
          </cell>
          <cell r="X290">
            <v>2167.5749999999998</v>
          </cell>
          <cell r="Y290">
            <v>1320.2742168519358</v>
          </cell>
        </row>
        <row r="291">
          <cell r="B291">
            <v>906.59999999999945</v>
          </cell>
          <cell r="C291">
            <v>977.82499999999982</v>
          </cell>
          <cell r="D291">
            <v>919.54999999999927</v>
          </cell>
          <cell r="E291">
            <v>-1333.6500000000005</v>
          </cell>
          <cell r="F291">
            <v>-459.52500000000055</v>
          </cell>
          <cell r="G291">
            <v>-2667.5</v>
          </cell>
          <cell r="K291">
            <v>0</v>
          </cell>
          <cell r="L291">
            <v>0</v>
          </cell>
          <cell r="M291">
            <v>0</v>
          </cell>
          <cell r="N291">
            <v>246</v>
          </cell>
          <cell r="O291">
            <v>183</v>
          </cell>
          <cell r="P291">
            <v>357</v>
          </cell>
          <cell r="T291">
            <v>906.59999999999945</v>
          </cell>
          <cell r="U291">
            <v>990.77499999999964</v>
          </cell>
          <cell r="V291">
            <v>906.60000000000036</v>
          </cell>
          <cell r="W291">
            <v>2275.1999999999998</v>
          </cell>
          <cell r="X291">
            <v>1018.4397735875148</v>
          </cell>
          <cell r="Y291">
            <v>-1552.3834595440323</v>
          </cell>
        </row>
        <row r="292">
          <cell r="B292">
            <v>906.59999999999945</v>
          </cell>
          <cell r="C292">
            <v>984.29999999999927</v>
          </cell>
          <cell r="D292">
            <v>906.59999999999945</v>
          </cell>
          <cell r="E292">
            <v>-1320.7000000000007</v>
          </cell>
          <cell r="F292">
            <v>-517.80000000000018</v>
          </cell>
          <cell r="G292">
            <v>-2369.6500000000005</v>
          </cell>
          <cell r="K292">
            <v>0</v>
          </cell>
          <cell r="L292">
            <v>0</v>
          </cell>
          <cell r="M292">
            <v>0</v>
          </cell>
          <cell r="N292">
            <v>228</v>
          </cell>
          <cell r="O292">
            <v>200</v>
          </cell>
          <cell r="P292">
            <v>324</v>
          </cell>
          <cell r="T292">
            <v>906.59999999999945</v>
          </cell>
          <cell r="U292">
            <v>984.29999999999927</v>
          </cell>
          <cell r="V292">
            <v>906.59999999999945</v>
          </cell>
          <cell r="W292">
            <v>2261.1999999999994</v>
          </cell>
          <cell r="X292">
            <v>-229.06420051636474</v>
          </cell>
          <cell r="Y292">
            <v>2493.1999999999998</v>
          </cell>
        </row>
        <row r="293">
          <cell r="B293">
            <v>906.59999999999945</v>
          </cell>
          <cell r="C293">
            <v>964.87499999999909</v>
          </cell>
          <cell r="D293">
            <v>919.55000000000018</v>
          </cell>
          <cell r="E293">
            <v>-1346.6000000000004</v>
          </cell>
          <cell r="F293">
            <v>-627.875</v>
          </cell>
          <cell r="G293">
            <v>-2032.9500000000007</v>
          </cell>
          <cell r="K293">
            <v>0</v>
          </cell>
          <cell r="L293">
            <v>0</v>
          </cell>
          <cell r="M293">
            <v>0</v>
          </cell>
          <cell r="N293">
            <v>221</v>
          </cell>
          <cell r="O293">
            <v>173</v>
          </cell>
          <cell r="P293">
            <v>310</v>
          </cell>
          <cell r="T293">
            <v>906.59999999999945</v>
          </cell>
          <cell r="U293">
            <v>1003.7249999999985</v>
          </cell>
          <cell r="V293">
            <v>906.60000000000036</v>
          </cell>
          <cell r="W293">
            <v>1682.1873756963541</v>
          </cell>
          <cell r="X293">
            <v>2298.3249999999994</v>
          </cell>
          <cell r="Y293">
            <v>2495.1999999999998</v>
          </cell>
        </row>
        <row r="294">
          <cell r="B294">
            <v>906.59999999999945</v>
          </cell>
          <cell r="C294">
            <v>977.82499999999982</v>
          </cell>
          <cell r="D294">
            <v>906.59999999999945</v>
          </cell>
          <cell r="E294">
            <v>-1074.6500000000005</v>
          </cell>
          <cell r="F294">
            <v>-712.05000000000018</v>
          </cell>
          <cell r="G294">
            <v>-2667.5</v>
          </cell>
          <cell r="K294">
            <v>0</v>
          </cell>
          <cell r="L294">
            <v>0</v>
          </cell>
          <cell r="M294">
            <v>9</v>
          </cell>
          <cell r="N294">
            <v>221</v>
          </cell>
          <cell r="O294">
            <v>192</v>
          </cell>
          <cell r="P294">
            <v>333</v>
          </cell>
          <cell r="T294">
            <v>906.59999999999945</v>
          </cell>
          <cell r="U294">
            <v>977.82499999999982</v>
          </cell>
          <cell r="V294">
            <v>918.59999999999968</v>
          </cell>
          <cell r="W294">
            <v>2275.1999999999998</v>
          </cell>
          <cell r="X294">
            <v>2254.5249999999992</v>
          </cell>
          <cell r="Y294">
            <v>-2589.8000000000002</v>
          </cell>
        </row>
        <row r="295">
          <cell r="B295">
            <v>906.59999999999945</v>
          </cell>
          <cell r="C295">
            <v>984.30000000000018</v>
          </cell>
          <cell r="D295">
            <v>906.60000000000036</v>
          </cell>
          <cell r="E295">
            <v>-854.5</v>
          </cell>
          <cell r="F295">
            <v>-543.70000000000073</v>
          </cell>
          <cell r="G295">
            <v>-2434.4000000000005</v>
          </cell>
          <cell r="K295">
            <v>0</v>
          </cell>
          <cell r="L295">
            <v>0</v>
          </cell>
          <cell r="M295">
            <v>0</v>
          </cell>
          <cell r="N295">
            <v>212</v>
          </cell>
          <cell r="O295">
            <v>157</v>
          </cell>
          <cell r="P295">
            <v>334</v>
          </cell>
          <cell r="T295">
            <v>906.59999999999945</v>
          </cell>
          <cell r="U295">
            <v>990.77499999999873</v>
          </cell>
          <cell r="V295">
            <v>906.59999999999945</v>
          </cell>
          <cell r="W295">
            <v>2241.1999999999994</v>
          </cell>
          <cell r="X295">
            <v>1553.7050258734084</v>
          </cell>
          <cell r="Y295">
            <v>2479.1999999999989</v>
          </cell>
        </row>
        <row r="296">
          <cell r="B296">
            <v>906.59999999999945</v>
          </cell>
          <cell r="C296">
            <v>1023.1499999999996</v>
          </cell>
          <cell r="D296">
            <v>906.59999999999945</v>
          </cell>
          <cell r="E296">
            <v>-1074.6500000000005</v>
          </cell>
          <cell r="F296">
            <v>-530.75</v>
          </cell>
          <cell r="G296">
            <v>-2240.1500000000005</v>
          </cell>
          <cell r="K296">
            <v>0</v>
          </cell>
          <cell r="L296">
            <v>0</v>
          </cell>
          <cell r="M296">
            <v>0</v>
          </cell>
          <cell r="N296">
            <v>227</v>
          </cell>
          <cell r="O296">
            <v>186</v>
          </cell>
          <cell r="P296">
            <v>324</v>
          </cell>
          <cell r="T296">
            <v>906.59999999999945</v>
          </cell>
          <cell r="U296">
            <v>984.30000000000018</v>
          </cell>
          <cell r="V296">
            <v>906.60000000000036</v>
          </cell>
          <cell r="W296">
            <v>2267.1999999999989</v>
          </cell>
          <cell r="X296">
            <v>-424.27138121797805</v>
          </cell>
          <cell r="Y296">
            <v>2455.1999999999998</v>
          </cell>
        </row>
        <row r="297">
          <cell r="B297">
            <v>906.59999999999945</v>
          </cell>
          <cell r="C297">
            <v>958.39999999999964</v>
          </cell>
          <cell r="D297">
            <v>906.59999999999945</v>
          </cell>
          <cell r="E297">
            <v>-1061.7000000000007</v>
          </cell>
          <cell r="F297">
            <v>-576.07500000000073</v>
          </cell>
          <cell r="G297">
            <v>-2097.7000000000007</v>
          </cell>
          <cell r="K297">
            <v>0</v>
          </cell>
          <cell r="L297">
            <v>0</v>
          </cell>
          <cell r="M297">
            <v>0</v>
          </cell>
          <cell r="N297">
            <v>237</v>
          </cell>
          <cell r="O297">
            <v>163</v>
          </cell>
          <cell r="P297">
            <v>336</v>
          </cell>
          <cell r="T297">
            <v>906.59999999999945</v>
          </cell>
          <cell r="U297">
            <v>971.34999999999945</v>
          </cell>
          <cell r="V297">
            <v>906.59999999999945</v>
          </cell>
          <cell r="W297">
            <v>2253.1999999999998</v>
          </cell>
          <cell r="X297">
            <v>2125.5749999999998</v>
          </cell>
          <cell r="Y297">
            <v>2445.1999999999998</v>
          </cell>
        </row>
        <row r="298">
          <cell r="B298">
            <v>906.59999999999945</v>
          </cell>
          <cell r="C298">
            <v>964.875</v>
          </cell>
          <cell r="D298">
            <v>906.60000000000036</v>
          </cell>
          <cell r="E298">
            <v>-958.10000000000036</v>
          </cell>
          <cell r="F298">
            <v>-116.35000000000036</v>
          </cell>
          <cell r="G298">
            <v>-2162.4500000000007</v>
          </cell>
          <cell r="K298">
            <v>0</v>
          </cell>
          <cell r="L298">
            <v>0</v>
          </cell>
          <cell r="M298">
            <v>0</v>
          </cell>
          <cell r="N298">
            <v>213</v>
          </cell>
          <cell r="O298">
            <v>175</v>
          </cell>
          <cell r="P298">
            <v>304</v>
          </cell>
          <cell r="T298">
            <v>906.59999999999945</v>
          </cell>
          <cell r="U298">
            <v>964.87499999999909</v>
          </cell>
          <cell r="V298">
            <v>906.59999999999945</v>
          </cell>
          <cell r="W298">
            <v>1698.8633933365641</v>
          </cell>
          <cell r="X298">
            <v>1984.7580345329116</v>
          </cell>
          <cell r="Y298">
            <v>2425.1999999999998</v>
          </cell>
        </row>
        <row r="299">
          <cell r="B299">
            <v>906.59999999999945</v>
          </cell>
          <cell r="C299">
            <v>1003.7249999999995</v>
          </cell>
          <cell r="D299">
            <v>906.60000000000036</v>
          </cell>
          <cell r="E299">
            <v>-1113.5</v>
          </cell>
          <cell r="F299">
            <v>26.099999999999454</v>
          </cell>
          <cell r="G299">
            <v>-2343.75</v>
          </cell>
          <cell r="K299">
            <v>0</v>
          </cell>
          <cell r="L299">
            <v>0</v>
          </cell>
          <cell r="M299">
            <v>10</v>
          </cell>
          <cell r="N299">
            <v>242</v>
          </cell>
          <cell r="O299">
            <v>168</v>
          </cell>
          <cell r="P299">
            <v>305</v>
          </cell>
          <cell r="T299">
            <v>906.59999999999945</v>
          </cell>
          <cell r="U299">
            <v>1003.7250000000004</v>
          </cell>
          <cell r="V299">
            <v>906.59999999999945</v>
          </cell>
          <cell r="W299">
            <v>2243.1999999999998</v>
          </cell>
          <cell r="X299">
            <v>2216.8999999999992</v>
          </cell>
          <cell r="Y299">
            <v>-1691.8395474808021</v>
          </cell>
        </row>
        <row r="300">
          <cell r="B300">
            <v>906.59999999999945</v>
          </cell>
          <cell r="C300">
            <v>971.35000000000036</v>
          </cell>
          <cell r="D300">
            <v>906.59999999999945</v>
          </cell>
          <cell r="E300">
            <v>-1191.2000000000007</v>
          </cell>
          <cell r="F300">
            <v>-537.22500000000036</v>
          </cell>
          <cell r="G300">
            <v>-2421.4499999999998</v>
          </cell>
          <cell r="K300">
            <v>0</v>
          </cell>
          <cell r="L300">
            <v>0</v>
          </cell>
          <cell r="M300">
            <v>0</v>
          </cell>
          <cell r="N300">
            <v>239</v>
          </cell>
          <cell r="O300">
            <v>197</v>
          </cell>
          <cell r="P300">
            <v>315</v>
          </cell>
          <cell r="T300">
            <v>906.59999999999945</v>
          </cell>
          <cell r="U300">
            <v>971.34999999999945</v>
          </cell>
          <cell r="V300">
            <v>906.59999999999945</v>
          </cell>
          <cell r="W300">
            <v>2289.1999999999994</v>
          </cell>
          <cell r="X300">
            <v>1884.6119679370454</v>
          </cell>
          <cell r="Y300">
            <v>2441.1999999999998</v>
          </cell>
        </row>
        <row r="301">
          <cell r="B301">
            <v>906.59999999999945</v>
          </cell>
          <cell r="C301">
            <v>932.5</v>
          </cell>
          <cell r="D301">
            <v>906.59999999999945</v>
          </cell>
          <cell r="E301">
            <v>-1204.1500000000005</v>
          </cell>
          <cell r="F301">
            <v>-550.17500000000109</v>
          </cell>
          <cell r="G301">
            <v>-2162.4500000000007</v>
          </cell>
          <cell r="K301">
            <v>0</v>
          </cell>
          <cell r="L301">
            <v>0</v>
          </cell>
          <cell r="M301">
            <v>0</v>
          </cell>
          <cell r="N301">
            <v>225</v>
          </cell>
          <cell r="O301">
            <v>204</v>
          </cell>
          <cell r="P301">
            <v>328</v>
          </cell>
          <cell r="T301">
            <v>906.59999999999945</v>
          </cell>
          <cell r="U301">
            <v>964.875</v>
          </cell>
          <cell r="V301">
            <v>919.55000000000018</v>
          </cell>
          <cell r="W301">
            <v>2253.1999999999998</v>
          </cell>
          <cell r="X301">
            <v>2240.9999999999995</v>
          </cell>
          <cell r="Y301">
            <v>2453.1999999999998</v>
          </cell>
        </row>
        <row r="302">
          <cell r="B302">
            <v>906.59999999999945</v>
          </cell>
          <cell r="C302">
            <v>971.34999999999945</v>
          </cell>
          <cell r="D302">
            <v>906.59999999999945</v>
          </cell>
          <cell r="E302">
            <v>-1022.8500000000004</v>
          </cell>
          <cell r="F302">
            <v>-168.14999999999964</v>
          </cell>
          <cell r="G302">
            <v>-2576.8500000000004</v>
          </cell>
          <cell r="K302">
            <v>0</v>
          </cell>
          <cell r="L302">
            <v>0</v>
          </cell>
          <cell r="M302">
            <v>0</v>
          </cell>
          <cell r="N302">
            <v>201</v>
          </cell>
          <cell r="O302">
            <v>172</v>
          </cell>
          <cell r="P302">
            <v>339</v>
          </cell>
          <cell r="T302">
            <v>906.59999999999945</v>
          </cell>
          <cell r="U302">
            <v>984.30000000000018</v>
          </cell>
          <cell r="V302">
            <v>906.59999999999945</v>
          </cell>
          <cell r="W302">
            <v>2273.1999999999998</v>
          </cell>
          <cell r="X302">
            <v>1166.1121206506564</v>
          </cell>
          <cell r="Y302">
            <v>2485.1999999999998</v>
          </cell>
        </row>
        <row r="303">
          <cell r="B303">
            <v>906.59999999999945</v>
          </cell>
          <cell r="C303">
            <v>977.82499999999982</v>
          </cell>
          <cell r="D303">
            <v>906.59999999999945</v>
          </cell>
          <cell r="E303">
            <v>-996.95000000000073</v>
          </cell>
          <cell r="F303">
            <v>-504.85000000000036</v>
          </cell>
          <cell r="G303">
            <v>-2447.3500000000004</v>
          </cell>
          <cell r="K303">
            <v>0</v>
          </cell>
          <cell r="L303">
            <v>0</v>
          </cell>
          <cell r="M303">
            <v>0</v>
          </cell>
          <cell r="N303">
            <v>221</v>
          </cell>
          <cell r="O303">
            <v>194</v>
          </cell>
          <cell r="P303">
            <v>350</v>
          </cell>
          <cell r="T303">
            <v>906.59999999999945</v>
          </cell>
          <cell r="U303">
            <v>945.44999999999891</v>
          </cell>
          <cell r="V303">
            <v>906.59999999999945</v>
          </cell>
          <cell r="W303">
            <v>2217.326621716154</v>
          </cell>
          <cell r="X303">
            <v>2300.7999999999993</v>
          </cell>
          <cell r="Y303">
            <v>-1307.6392114585315</v>
          </cell>
        </row>
        <row r="304">
          <cell r="B304">
            <v>906.59999999999945</v>
          </cell>
          <cell r="C304">
            <v>1023.1499999999996</v>
          </cell>
          <cell r="D304">
            <v>906.60000000000036</v>
          </cell>
          <cell r="E304">
            <v>-1359.5500000000002</v>
          </cell>
          <cell r="F304">
            <v>-317.07500000000073</v>
          </cell>
          <cell r="G304">
            <v>-2214.25</v>
          </cell>
          <cell r="K304">
            <v>0</v>
          </cell>
          <cell r="L304">
            <v>0</v>
          </cell>
          <cell r="M304">
            <v>0</v>
          </cell>
          <cell r="N304">
            <v>225</v>
          </cell>
          <cell r="O304">
            <v>178</v>
          </cell>
          <cell r="P304">
            <v>330</v>
          </cell>
          <cell r="T304">
            <v>906.59999999999945</v>
          </cell>
          <cell r="U304">
            <v>964.875</v>
          </cell>
          <cell r="V304">
            <v>906.60000000000036</v>
          </cell>
          <cell r="W304">
            <v>974.67920678568066</v>
          </cell>
          <cell r="X304">
            <v>2208.9999999999995</v>
          </cell>
          <cell r="Y304">
            <v>1220.2822164261834</v>
          </cell>
        </row>
        <row r="305">
          <cell r="B305">
            <v>906.59999999999945</v>
          </cell>
          <cell r="C305">
            <v>984.29999999999927</v>
          </cell>
          <cell r="D305">
            <v>815.94999999999982</v>
          </cell>
          <cell r="E305">
            <v>-1035.8000000000002</v>
          </cell>
          <cell r="F305">
            <v>-614.92500000000018</v>
          </cell>
          <cell r="G305">
            <v>-2266.0500000000002</v>
          </cell>
          <cell r="K305">
            <v>0</v>
          </cell>
          <cell r="L305">
            <v>0</v>
          </cell>
          <cell r="M305">
            <v>0</v>
          </cell>
          <cell r="N305">
            <v>218</v>
          </cell>
          <cell r="O305">
            <v>184</v>
          </cell>
          <cell r="P305">
            <v>317</v>
          </cell>
          <cell r="T305">
            <v>906.59999999999945</v>
          </cell>
          <cell r="U305">
            <v>990.77499999999873</v>
          </cell>
          <cell r="V305">
            <v>906.59999999999945</v>
          </cell>
          <cell r="W305">
            <v>-1204.1500000000005</v>
          </cell>
          <cell r="X305">
            <v>2200.0499999999997</v>
          </cell>
          <cell r="Y305">
            <v>1261.6372096471605</v>
          </cell>
        </row>
        <row r="306">
          <cell r="B306">
            <v>906.59999999999945</v>
          </cell>
          <cell r="C306">
            <v>971.34999999999945</v>
          </cell>
          <cell r="D306">
            <v>919.54999999999927</v>
          </cell>
          <cell r="E306">
            <v>-893.35000000000036</v>
          </cell>
          <cell r="F306">
            <v>-103.39999999999964</v>
          </cell>
          <cell r="G306">
            <v>-2188.3500000000004</v>
          </cell>
          <cell r="K306">
            <v>0</v>
          </cell>
          <cell r="L306">
            <v>0</v>
          </cell>
          <cell r="M306">
            <v>0</v>
          </cell>
          <cell r="N306">
            <v>208</v>
          </cell>
          <cell r="O306">
            <v>177</v>
          </cell>
          <cell r="P306">
            <v>327</v>
          </cell>
          <cell r="T306">
            <v>906.59999999999945</v>
          </cell>
          <cell r="U306">
            <v>964.87499999999909</v>
          </cell>
          <cell r="V306">
            <v>906.60000000000036</v>
          </cell>
          <cell r="W306">
            <v>2233.1999999999998</v>
          </cell>
          <cell r="X306">
            <v>2249.85</v>
          </cell>
          <cell r="Y306">
            <v>1496.9533193779948</v>
          </cell>
        </row>
        <row r="307">
          <cell r="B307">
            <v>906.59999999999945</v>
          </cell>
          <cell r="C307">
            <v>1023.1499999999996</v>
          </cell>
          <cell r="D307">
            <v>906.59999999999945</v>
          </cell>
          <cell r="E307">
            <v>-996.95000000000073</v>
          </cell>
          <cell r="F307">
            <v>-647.30000000000018</v>
          </cell>
          <cell r="G307">
            <v>-2525.0500000000002</v>
          </cell>
          <cell r="K307">
            <v>0</v>
          </cell>
          <cell r="L307">
            <v>0</v>
          </cell>
          <cell r="M307">
            <v>0</v>
          </cell>
          <cell r="N307">
            <v>219</v>
          </cell>
          <cell r="O307">
            <v>199</v>
          </cell>
          <cell r="P307">
            <v>332</v>
          </cell>
          <cell r="T307">
            <v>906.59999999999945</v>
          </cell>
          <cell r="U307">
            <v>971.34999999999945</v>
          </cell>
          <cell r="V307">
            <v>906.59999999999945</v>
          </cell>
          <cell r="W307">
            <v>-1411.3500000000004</v>
          </cell>
          <cell r="X307">
            <v>2177.0186835504824</v>
          </cell>
          <cell r="Y307">
            <v>2449.1999999999989</v>
          </cell>
        </row>
        <row r="308">
          <cell r="B308">
            <v>906.59999999999945</v>
          </cell>
          <cell r="C308">
            <v>964.87499999999909</v>
          </cell>
          <cell r="D308">
            <v>906.59999999999945</v>
          </cell>
          <cell r="E308">
            <v>-1139.4000000000005</v>
          </cell>
          <cell r="F308">
            <v>-414.20000000000073</v>
          </cell>
          <cell r="G308">
            <v>-2525.0500000000002</v>
          </cell>
          <cell r="K308">
            <v>0</v>
          </cell>
          <cell r="L308">
            <v>0</v>
          </cell>
          <cell r="M308">
            <v>0</v>
          </cell>
          <cell r="N308">
            <v>222</v>
          </cell>
          <cell r="O308">
            <v>175</v>
          </cell>
          <cell r="P308">
            <v>330</v>
          </cell>
          <cell r="T308">
            <v>906.59999999999945</v>
          </cell>
          <cell r="U308">
            <v>990.77499999999964</v>
          </cell>
          <cell r="V308">
            <v>906.59999999999945</v>
          </cell>
          <cell r="W308">
            <v>1988.9272051597168</v>
          </cell>
          <cell r="X308">
            <v>2239.474999999999</v>
          </cell>
          <cell r="Y308">
            <v>2413.1999999999998</v>
          </cell>
        </row>
        <row r="309">
          <cell r="B309">
            <v>906.59999999999945</v>
          </cell>
          <cell r="C309">
            <v>958.39999999999964</v>
          </cell>
          <cell r="D309">
            <v>906.59999999999945</v>
          </cell>
          <cell r="E309">
            <v>-1191.2000000000007</v>
          </cell>
          <cell r="F309">
            <v>-401.25</v>
          </cell>
          <cell r="G309">
            <v>-2253.1000000000004</v>
          </cell>
          <cell r="K309">
            <v>0</v>
          </cell>
          <cell r="L309">
            <v>0</v>
          </cell>
          <cell r="M309">
            <v>0</v>
          </cell>
          <cell r="N309">
            <v>211</v>
          </cell>
          <cell r="O309">
            <v>184</v>
          </cell>
          <cell r="P309">
            <v>290</v>
          </cell>
          <cell r="T309">
            <v>906.59999999999945</v>
          </cell>
          <cell r="U309">
            <v>984.29999999999927</v>
          </cell>
          <cell r="V309">
            <v>906.59999999999945</v>
          </cell>
          <cell r="W309">
            <v>2289.1999999999994</v>
          </cell>
          <cell r="X309">
            <v>2213.4749999999995</v>
          </cell>
          <cell r="Y309">
            <v>184.05050506353064</v>
          </cell>
        </row>
        <row r="310">
          <cell r="B310">
            <v>906.59999999999945</v>
          </cell>
          <cell r="C310">
            <v>958.39999999999964</v>
          </cell>
          <cell r="D310">
            <v>906.59999999999945</v>
          </cell>
          <cell r="E310">
            <v>-1204.1500000000005</v>
          </cell>
          <cell r="F310">
            <v>-291.17500000000109</v>
          </cell>
          <cell r="G310">
            <v>-2279</v>
          </cell>
          <cell r="K310">
            <v>0</v>
          </cell>
          <cell r="L310">
            <v>0</v>
          </cell>
          <cell r="M310">
            <v>0</v>
          </cell>
          <cell r="N310">
            <v>239</v>
          </cell>
          <cell r="O310">
            <v>184</v>
          </cell>
          <cell r="P310">
            <v>311</v>
          </cell>
          <cell r="T310">
            <v>906.59999999999945</v>
          </cell>
          <cell r="U310">
            <v>964.875</v>
          </cell>
          <cell r="V310">
            <v>906.59999999999945</v>
          </cell>
          <cell r="W310">
            <v>-1385.4500000000007</v>
          </cell>
          <cell r="X310">
            <v>2326.7999999999993</v>
          </cell>
          <cell r="Y310">
            <v>2029.9098210612437</v>
          </cell>
        </row>
        <row r="311">
          <cell r="B311">
            <v>906.59999999999945</v>
          </cell>
          <cell r="C311">
            <v>977.82499999999891</v>
          </cell>
          <cell r="D311">
            <v>906.59999999999945</v>
          </cell>
          <cell r="E311">
            <v>-1022.8500000000004</v>
          </cell>
          <cell r="F311">
            <v>-504.85000000000036</v>
          </cell>
          <cell r="G311">
            <v>-2291.9499999999998</v>
          </cell>
          <cell r="K311">
            <v>0</v>
          </cell>
          <cell r="L311">
            <v>0</v>
          </cell>
          <cell r="M311">
            <v>0</v>
          </cell>
          <cell r="N311">
            <v>225</v>
          </cell>
          <cell r="O311">
            <v>197</v>
          </cell>
          <cell r="P311">
            <v>316</v>
          </cell>
          <cell r="T311">
            <v>906.59999999999945</v>
          </cell>
          <cell r="U311">
            <v>958.39999999999964</v>
          </cell>
          <cell r="V311">
            <v>906.60000000000036</v>
          </cell>
          <cell r="W311">
            <v>2261.1999999999994</v>
          </cell>
          <cell r="X311">
            <v>2213.9499999999994</v>
          </cell>
          <cell r="Y311">
            <v>366.29234194001492</v>
          </cell>
        </row>
        <row r="312">
          <cell r="B312">
            <v>906.59999999999945</v>
          </cell>
          <cell r="C312">
            <v>958.39999999999964</v>
          </cell>
          <cell r="D312">
            <v>906.59999999999945</v>
          </cell>
          <cell r="E312">
            <v>-1372.5</v>
          </cell>
          <cell r="F312">
            <v>-349.45000000000073</v>
          </cell>
          <cell r="G312">
            <v>-2408.5</v>
          </cell>
          <cell r="K312">
            <v>0</v>
          </cell>
          <cell r="L312">
            <v>0</v>
          </cell>
          <cell r="M312">
            <v>0</v>
          </cell>
          <cell r="N312">
            <v>217</v>
          </cell>
          <cell r="O312">
            <v>191</v>
          </cell>
          <cell r="P312">
            <v>330</v>
          </cell>
          <cell r="T312">
            <v>906.59999999999945</v>
          </cell>
          <cell r="U312">
            <v>964.87499999999909</v>
          </cell>
          <cell r="V312">
            <v>906.59999999999945</v>
          </cell>
          <cell r="W312">
            <v>2257.1999999999989</v>
          </cell>
          <cell r="X312">
            <v>-157.96653403252958</v>
          </cell>
          <cell r="Y312">
            <v>2451.1999999999998</v>
          </cell>
        </row>
        <row r="313">
          <cell r="B313">
            <v>906.59999999999945</v>
          </cell>
          <cell r="C313">
            <v>971.34999999999854</v>
          </cell>
          <cell r="D313">
            <v>906.59999999999945</v>
          </cell>
          <cell r="E313">
            <v>-1230.0500000000002</v>
          </cell>
          <cell r="F313">
            <v>-297.65000000000055</v>
          </cell>
          <cell r="G313">
            <v>-2473.25</v>
          </cell>
          <cell r="K313">
            <v>0</v>
          </cell>
          <cell r="L313">
            <v>0</v>
          </cell>
          <cell r="M313">
            <v>0</v>
          </cell>
          <cell r="N313">
            <v>222</v>
          </cell>
          <cell r="O313">
            <v>168</v>
          </cell>
          <cell r="P313">
            <v>305</v>
          </cell>
          <cell r="T313">
            <v>906.59999999999945</v>
          </cell>
          <cell r="U313">
            <v>971.34999999999854</v>
          </cell>
          <cell r="V313">
            <v>906.60000000000036</v>
          </cell>
          <cell r="W313">
            <v>2245.1999999999998</v>
          </cell>
          <cell r="X313">
            <v>2202.9999999999995</v>
          </cell>
          <cell r="Y313">
            <v>2463.1999999999998</v>
          </cell>
        </row>
        <row r="314">
          <cell r="B314">
            <v>906.59999999999945</v>
          </cell>
          <cell r="C314">
            <v>984.29999999999927</v>
          </cell>
          <cell r="D314">
            <v>867.75</v>
          </cell>
          <cell r="E314">
            <v>-1281.8500000000004</v>
          </cell>
          <cell r="F314">
            <v>-530.75</v>
          </cell>
          <cell r="G314">
            <v>-2434.4000000000005</v>
          </cell>
          <cell r="K314">
            <v>0</v>
          </cell>
          <cell r="L314">
            <v>0</v>
          </cell>
          <cell r="M314">
            <v>0</v>
          </cell>
          <cell r="N314">
            <v>253</v>
          </cell>
          <cell r="O314">
            <v>172</v>
          </cell>
          <cell r="P314">
            <v>354</v>
          </cell>
          <cell r="T314">
            <v>906.59999999999945</v>
          </cell>
          <cell r="U314">
            <v>984.29999999999927</v>
          </cell>
          <cell r="V314">
            <v>906.59999999999945</v>
          </cell>
          <cell r="W314">
            <v>2245.1999999999998</v>
          </cell>
          <cell r="X314">
            <v>2040.7892714218137</v>
          </cell>
          <cell r="Y314">
            <v>2457.1999999999998</v>
          </cell>
        </row>
        <row r="315">
          <cell r="B315">
            <v>906.59999999999945</v>
          </cell>
          <cell r="C315">
            <v>1023.1499999999996</v>
          </cell>
          <cell r="D315">
            <v>906.60000000000036</v>
          </cell>
          <cell r="E315">
            <v>-763.85000000000036</v>
          </cell>
          <cell r="F315">
            <v>-459.52500000000055</v>
          </cell>
          <cell r="G315">
            <v>-2162.4500000000007</v>
          </cell>
          <cell r="K315">
            <v>0</v>
          </cell>
          <cell r="L315">
            <v>0</v>
          </cell>
          <cell r="M315">
            <v>0</v>
          </cell>
          <cell r="N315">
            <v>233</v>
          </cell>
          <cell r="O315">
            <v>185</v>
          </cell>
          <cell r="P315">
            <v>314</v>
          </cell>
          <cell r="T315">
            <v>906.59999999999945</v>
          </cell>
          <cell r="U315">
            <v>958.39999999999964</v>
          </cell>
          <cell r="V315">
            <v>906.59999999999945</v>
          </cell>
          <cell r="W315">
            <v>2249.1999999999994</v>
          </cell>
          <cell r="X315">
            <v>2269.9499999999998</v>
          </cell>
          <cell r="Y315">
            <v>-2304.9000000000005</v>
          </cell>
        </row>
        <row r="316">
          <cell r="B316">
            <v>906.59999999999945</v>
          </cell>
          <cell r="C316">
            <v>971.34999999999945</v>
          </cell>
          <cell r="D316">
            <v>906.60000000000036</v>
          </cell>
          <cell r="E316">
            <v>-1113.5</v>
          </cell>
          <cell r="F316">
            <v>-440.10000000000036</v>
          </cell>
          <cell r="G316">
            <v>-2266.0500000000002</v>
          </cell>
          <cell r="K316">
            <v>0</v>
          </cell>
          <cell r="L316">
            <v>0</v>
          </cell>
          <cell r="M316">
            <v>0</v>
          </cell>
          <cell r="N316">
            <v>235</v>
          </cell>
          <cell r="O316">
            <v>190</v>
          </cell>
          <cell r="P316">
            <v>332</v>
          </cell>
          <cell r="T316">
            <v>906.59999999999945</v>
          </cell>
          <cell r="U316">
            <v>997.24999999999909</v>
          </cell>
          <cell r="V316">
            <v>906.60000000000036</v>
          </cell>
          <cell r="W316">
            <v>2251.1999999999994</v>
          </cell>
          <cell r="X316">
            <v>2254.4249999999993</v>
          </cell>
          <cell r="Y316">
            <v>2415.1999999999998</v>
          </cell>
        </row>
        <row r="317">
          <cell r="B317">
            <v>906.59999999999945</v>
          </cell>
          <cell r="C317">
            <v>990.77499999999873</v>
          </cell>
          <cell r="D317">
            <v>906.60000000000036</v>
          </cell>
          <cell r="E317">
            <v>-1165.3000000000002</v>
          </cell>
          <cell r="F317">
            <v>-381.82500000000073</v>
          </cell>
          <cell r="G317">
            <v>-2136.5500000000002</v>
          </cell>
          <cell r="K317">
            <v>0</v>
          </cell>
          <cell r="L317">
            <v>0</v>
          </cell>
          <cell r="M317">
            <v>0</v>
          </cell>
          <cell r="N317">
            <v>208</v>
          </cell>
          <cell r="O317">
            <v>159</v>
          </cell>
          <cell r="P317">
            <v>314</v>
          </cell>
          <cell r="T317">
            <v>906.59999999999945</v>
          </cell>
          <cell r="U317">
            <v>971.34999999999945</v>
          </cell>
          <cell r="V317">
            <v>906.60000000000036</v>
          </cell>
          <cell r="W317">
            <v>-445.43202951253386</v>
          </cell>
          <cell r="X317">
            <v>2275.9499999999994</v>
          </cell>
          <cell r="Y317">
            <v>-1372.1048466409998</v>
          </cell>
        </row>
        <row r="318">
          <cell r="B318">
            <v>906.59999999999945</v>
          </cell>
          <cell r="C318">
            <v>977.82499999999891</v>
          </cell>
          <cell r="D318">
            <v>906.59999999999945</v>
          </cell>
          <cell r="E318">
            <v>-958.10000000000036</v>
          </cell>
          <cell r="F318">
            <v>-336.5</v>
          </cell>
          <cell r="G318">
            <v>-2084.75</v>
          </cell>
          <cell r="K318">
            <v>0</v>
          </cell>
          <cell r="L318">
            <v>0</v>
          </cell>
          <cell r="M318">
            <v>0</v>
          </cell>
          <cell r="N318">
            <v>219</v>
          </cell>
          <cell r="O318">
            <v>205</v>
          </cell>
          <cell r="P318">
            <v>323</v>
          </cell>
          <cell r="T318">
            <v>906.59999999999945</v>
          </cell>
          <cell r="U318">
            <v>945.44999999999982</v>
          </cell>
          <cell r="V318">
            <v>906.60000000000036</v>
          </cell>
          <cell r="W318">
            <v>1765.6878570333465</v>
          </cell>
          <cell r="X318">
            <v>2113.0903157395746</v>
          </cell>
          <cell r="Y318">
            <v>2429.0702784331679</v>
          </cell>
        </row>
        <row r="319">
          <cell r="B319">
            <v>906.59999999999945</v>
          </cell>
          <cell r="C319">
            <v>977.82499999999982</v>
          </cell>
          <cell r="D319">
            <v>906.59999999999945</v>
          </cell>
          <cell r="E319">
            <v>-789.75</v>
          </cell>
          <cell r="F319">
            <v>-647.30000000000109</v>
          </cell>
          <cell r="G319">
            <v>-2538</v>
          </cell>
          <cell r="K319">
            <v>0</v>
          </cell>
          <cell r="L319">
            <v>0</v>
          </cell>
          <cell r="M319">
            <v>0</v>
          </cell>
          <cell r="N319">
            <v>227</v>
          </cell>
          <cell r="O319">
            <v>192</v>
          </cell>
          <cell r="P319">
            <v>352</v>
          </cell>
          <cell r="T319">
            <v>906.59999999999945</v>
          </cell>
          <cell r="U319">
            <v>964.875</v>
          </cell>
          <cell r="V319">
            <v>906.59999999999945</v>
          </cell>
          <cell r="W319">
            <v>1960.2860150419638</v>
          </cell>
          <cell r="X319">
            <v>253.86305601378285</v>
          </cell>
          <cell r="Y319">
            <v>995.12831435431963</v>
          </cell>
        </row>
        <row r="320">
          <cell r="B320">
            <v>906.59999999999945</v>
          </cell>
          <cell r="C320">
            <v>964.87499999999909</v>
          </cell>
          <cell r="D320">
            <v>906.60000000000036</v>
          </cell>
          <cell r="E320">
            <v>-996.95000000000073</v>
          </cell>
          <cell r="F320">
            <v>-576.07500000000073</v>
          </cell>
          <cell r="G320">
            <v>-2317.8500000000004</v>
          </cell>
          <cell r="K320">
            <v>0</v>
          </cell>
          <cell r="L320">
            <v>0</v>
          </cell>
          <cell r="M320">
            <v>0</v>
          </cell>
          <cell r="N320">
            <v>210</v>
          </cell>
          <cell r="O320">
            <v>190</v>
          </cell>
          <cell r="P320">
            <v>331</v>
          </cell>
          <cell r="T320">
            <v>906.59999999999945</v>
          </cell>
          <cell r="U320">
            <v>951.92500000000018</v>
          </cell>
          <cell r="V320">
            <v>906.59999999999945</v>
          </cell>
          <cell r="W320">
            <v>-890.63392880342326</v>
          </cell>
          <cell r="X320">
            <v>2222.8999999999996</v>
          </cell>
          <cell r="Y320">
            <v>1025.942027300955</v>
          </cell>
        </row>
        <row r="321">
          <cell r="B321">
            <v>906.59999999999945</v>
          </cell>
          <cell r="C321">
            <v>958.39999999999964</v>
          </cell>
          <cell r="D321">
            <v>906.59999999999945</v>
          </cell>
          <cell r="E321">
            <v>-945.15000000000055</v>
          </cell>
          <cell r="F321">
            <v>-129.30000000000018</v>
          </cell>
          <cell r="G321">
            <v>-2279</v>
          </cell>
          <cell r="K321">
            <v>0</v>
          </cell>
          <cell r="L321">
            <v>0</v>
          </cell>
          <cell r="M321">
            <v>0</v>
          </cell>
          <cell r="N321">
            <v>243</v>
          </cell>
          <cell r="O321">
            <v>202</v>
          </cell>
          <cell r="P321">
            <v>331</v>
          </cell>
          <cell r="T321">
            <v>906.59999999999945</v>
          </cell>
          <cell r="U321">
            <v>951.92500000000018</v>
          </cell>
          <cell r="V321">
            <v>906.59999999999945</v>
          </cell>
          <cell r="W321">
            <v>2257.1999999999989</v>
          </cell>
          <cell r="X321">
            <v>577.55491218612678</v>
          </cell>
          <cell r="Y321">
            <v>210.00588908726786</v>
          </cell>
        </row>
        <row r="322">
          <cell r="B322">
            <v>906.59999999999945</v>
          </cell>
          <cell r="C322">
            <v>1016.6750000000002</v>
          </cell>
          <cell r="D322">
            <v>906.59999999999945</v>
          </cell>
          <cell r="E322">
            <v>-1346.6000000000004</v>
          </cell>
          <cell r="F322">
            <v>-336.5</v>
          </cell>
          <cell r="G322">
            <v>-2253.1000000000004</v>
          </cell>
          <cell r="K322">
            <v>0</v>
          </cell>
          <cell r="L322">
            <v>0</v>
          </cell>
          <cell r="M322">
            <v>0</v>
          </cell>
          <cell r="N322">
            <v>215</v>
          </cell>
          <cell r="O322">
            <v>169</v>
          </cell>
          <cell r="P322">
            <v>325</v>
          </cell>
          <cell r="T322">
            <v>906.59999999999945</v>
          </cell>
          <cell r="U322">
            <v>971.35000000000036</v>
          </cell>
          <cell r="V322">
            <v>906.59999999999945</v>
          </cell>
          <cell r="W322">
            <v>-1307.75</v>
          </cell>
          <cell r="X322">
            <v>2271.4750000000004</v>
          </cell>
          <cell r="Y322">
            <v>2447.1999999999998</v>
          </cell>
        </row>
        <row r="323">
          <cell r="B323">
            <v>906.59999999999945</v>
          </cell>
          <cell r="C323">
            <v>945.44999999999982</v>
          </cell>
          <cell r="D323">
            <v>906.59999999999945</v>
          </cell>
          <cell r="E323">
            <v>-1152.3500000000004</v>
          </cell>
          <cell r="F323">
            <v>-563.125</v>
          </cell>
          <cell r="G323">
            <v>-2317.8500000000004</v>
          </cell>
          <cell r="K323">
            <v>0</v>
          </cell>
          <cell r="L323">
            <v>0</v>
          </cell>
          <cell r="M323">
            <v>1</v>
          </cell>
          <cell r="N323">
            <v>220</v>
          </cell>
          <cell r="O323">
            <v>191</v>
          </cell>
          <cell r="P323">
            <v>324</v>
          </cell>
          <cell r="T323">
            <v>906.59999999999945</v>
          </cell>
          <cell r="U323">
            <v>990.77499999999964</v>
          </cell>
          <cell r="V323">
            <v>906.60000000000036</v>
          </cell>
          <cell r="W323">
            <v>2295.1999999999998</v>
          </cell>
          <cell r="X323">
            <v>2200.0499999999997</v>
          </cell>
          <cell r="Y323">
            <v>2118.1246682296196</v>
          </cell>
        </row>
        <row r="324">
          <cell r="B324">
            <v>906.59999999999945</v>
          </cell>
          <cell r="C324">
            <v>938.97499999999945</v>
          </cell>
          <cell r="D324">
            <v>906.59999999999945</v>
          </cell>
          <cell r="E324">
            <v>-1217.1000000000004</v>
          </cell>
          <cell r="F324">
            <v>-595.5</v>
          </cell>
          <cell r="G324">
            <v>-2473.25</v>
          </cell>
          <cell r="K324">
            <v>0</v>
          </cell>
          <cell r="L324">
            <v>0</v>
          </cell>
          <cell r="M324">
            <v>0</v>
          </cell>
          <cell r="N324">
            <v>211</v>
          </cell>
          <cell r="O324">
            <v>207</v>
          </cell>
          <cell r="P324">
            <v>330</v>
          </cell>
          <cell r="T324">
            <v>906.59999999999945</v>
          </cell>
          <cell r="U324">
            <v>958.39999999999964</v>
          </cell>
          <cell r="V324">
            <v>906.60000000000036</v>
          </cell>
          <cell r="W324">
            <v>2251.1999999999994</v>
          </cell>
          <cell r="X324">
            <v>2285.8499999999995</v>
          </cell>
          <cell r="Y324">
            <v>900.65427230071236</v>
          </cell>
        </row>
        <row r="325">
          <cell r="B325">
            <v>906.59999999999945</v>
          </cell>
          <cell r="C325">
            <v>971.34999999999854</v>
          </cell>
          <cell r="D325">
            <v>906.60000000000036</v>
          </cell>
          <cell r="E325">
            <v>-1191.2000000000007</v>
          </cell>
          <cell r="F325">
            <v>-155.20000000000073</v>
          </cell>
          <cell r="G325">
            <v>-2512.1000000000004</v>
          </cell>
          <cell r="K325">
            <v>0</v>
          </cell>
          <cell r="L325">
            <v>0</v>
          </cell>
          <cell r="M325">
            <v>0</v>
          </cell>
          <cell r="N325">
            <v>226</v>
          </cell>
          <cell r="O325">
            <v>191</v>
          </cell>
          <cell r="P325">
            <v>309</v>
          </cell>
          <cell r="T325">
            <v>906.59999999999945</v>
          </cell>
          <cell r="U325">
            <v>984.29999999999927</v>
          </cell>
          <cell r="V325">
            <v>906.59999999999945</v>
          </cell>
          <cell r="W325">
            <v>-62.739666299760984</v>
          </cell>
          <cell r="X325">
            <v>2211.5749999999994</v>
          </cell>
          <cell r="Y325">
            <v>-602.22206184541596</v>
          </cell>
        </row>
        <row r="326">
          <cell r="B326">
            <v>906.59999999999945</v>
          </cell>
          <cell r="C326">
            <v>971.34999999999945</v>
          </cell>
          <cell r="D326">
            <v>906.59999999999945</v>
          </cell>
          <cell r="E326">
            <v>-828.60000000000036</v>
          </cell>
          <cell r="F326">
            <v>-381.82500000000073</v>
          </cell>
          <cell r="G326">
            <v>-2279</v>
          </cell>
          <cell r="K326">
            <v>0</v>
          </cell>
          <cell r="L326">
            <v>0</v>
          </cell>
          <cell r="M326">
            <v>0</v>
          </cell>
          <cell r="N326">
            <v>224</v>
          </cell>
          <cell r="O326">
            <v>187</v>
          </cell>
          <cell r="P326">
            <v>310</v>
          </cell>
          <cell r="T326">
            <v>906.59999999999945</v>
          </cell>
          <cell r="U326">
            <v>958.39999999999964</v>
          </cell>
          <cell r="V326">
            <v>906.59999999999945</v>
          </cell>
          <cell r="W326">
            <v>913.50457354574974</v>
          </cell>
          <cell r="X326">
            <v>2198.0499999999988</v>
          </cell>
          <cell r="Y326">
            <v>1964.1118681214966</v>
          </cell>
        </row>
        <row r="327">
          <cell r="B327">
            <v>906.59999999999945</v>
          </cell>
          <cell r="C327">
            <v>990.77499999999964</v>
          </cell>
          <cell r="D327">
            <v>906.59999999999945</v>
          </cell>
          <cell r="E327">
            <v>-1204.1500000000005</v>
          </cell>
          <cell r="F327">
            <v>-589.02500000000055</v>
          </cell>
          <cell r="G327">
            <v>-2214.25</v>
          </cell>
          <cell r="K327">
            <v>0</v>
          </cell>
          <cell r="L327">
            <v>0</v>
          </cell>
          <cell r="M327">
            <v>0</v>
          </cell>
          <cell r="N327">
            <v>224</v>
          </cell>
          <cell r="O327">
            <v>186</v>
          </cell>
          <cell r="P327">
            <v>324</v>
          </cell>
          <cell r="T327">
            <v>906.59999999999945</v>
          </cell>
          <cell r="U327">
            <v>932.5</v>
          </cell>
          <cell r="V327">
            <v>906.59999999999945</v>
          </cell>
          <cell r="W327">
            <v>2279.1999999999994</v>
          </cell>
          <cell r="X327">
            <v>2291.3749999999991</v>
          </cell>
          <cell r="Y327">
            <v>2449.1999999999989</v>
          </cell>
        </row>
        <row r="328">
          <cell r="B328">
            <v>906.59999999999945</v>
          </cell>
          <cell r="C328">
            <v>990.77499999999964</v>
          </cell>
          <cell r="D328">
            <v>906.60000000000036</v>
          </cell>
          <cell r="E328">
            <v>-1022.8500000000004</v>
          </cell>
          <cell r="F328">
            <v>-336.5</v>
          </cell>
          <cell r="G328">
            <v>-2512.1000000000004</v>
          </cell>
          <cell r="K328">
            <v>0</v>
          </cell>
          <cell r="L328">
            <v>0</v>
          </cell>
          <cell r="M328">
            <v>0</v>
          </cell>
          <cell r="N328">
            <v>247</v>
          </cell>
          <cell r="O328">
            <v>155</v>
          </cell>
          <cell r="P328">
            <v>333</v>
          </cell>
          <cell r="T328">
            <v>906.59999999999945</v>
          </cell>
          <cell r="U328">
            <v>945.44999999999982</v>
          </cell>
          <cell r="V328">
            <v>906.60000000000036</v>
          </cell>
          <cell r="W328">
            <v>2287.1999999999989</v>
          </cell>
          <cell r="X328">
            <v>2214.9</v>
          </cell>
          <cell r="Y328">
            <v>-1265.1299611877882</v>
          </cell>
        </row>
        <row r="329">
          <cell r="B329">
            <v>906.59999999999945</v>
          </cell>
          <cell r="C329">
            <v>958.39999999999964</v>
          </cell>
          <cell r="D329">
            <v>906.59999999999945</v>
          </cell>
          <cell r="E329">
            <v>-1035.8000000000002</v>
          </cell>
          <cell r="F329">
            <v>-284.70000000000073</v>
          </cell>
          <cell r="G329">
            <v>-2279</v>
          </cell>
          <cell r="K329">
            <v>0</v>
          </cell>
          <cell r="L329">
            <v>0</v>
          </cell>
          <cell r="M329">
            <v>0</v>
          </cell>
          <cell r="N329">
            <v>231</v>
          </cell>
          <cell r="O329">
            <v>204</v>
          </cell>
          <cell r="P329">
            <v>319</v>
          </cell>
          <cell r="T329">
            <v>906.59999999999945</v>
          </cell>
          <cell r="U329">
            <v>1003.7249999999985</v>
          </cell>
          <cell r="V329">
            <v>906.59999999999945</v>
          </cell>
          <cell r="W329">
            <v>2223.1999999999998</v>
          </cell>
          <cell r="X329">
            <v>646.88647177298037</v>
          </cell>
          <cell r="Y329">
            <v>414.03351166848825</v>
          </cell>
        </row>
        <row r="330">
          <cell r="B330">
            <v>906.59999999999945</v>
          </cell>
          <cell r="C330">
            <v>997.25</v>
          </cell>
          <cell r="D330">
            <v>906.60000000000036</v>
          </cell>
          <cell r="E330">
            <v>-1346.6000000000004</v>
          </cell>
          <cell r="F330">
            <v>-362.40000000000055</v>
          </cell>
          <cell r="G330">
            <v>-2395.5500000000002</v>
          </cell>
          <cell r="K330">
            <v>0</v>
          </cell>
          <cell r="L330">
            <v>0</v>
          </cell>
          <cell r="M330">
            <v>4</v>
          </cell>
          <cell r="N330">
            <v>217</v>
          </cell>
          <cell r="O330">
            <v>191</v>
          </cell>
          <cell r="P330">
            <v>320</v>
          </cell>
          <cell r="T330">
            <v>906.59999999999945</v>
          </cell>
          <cell r="U330">
            <v>951.92499999999927</v>
          </cell>
          <cell r="V330">
            <v>906.59999999999945</v>
          </cell>
          <cell r="W330">
            <v>1548.7728089284287</v>
          </cell>
          <cell r="X330">
            <v>2260.5249999999996</v>
          </cell>
          <cell r="Y330">
            <v>2469.1999999999989</v>
          </cell>
        </row>
        <row r="331">
          <cell r="B331">
            <v>906.59999999999945</v>
          </cell>
          <cell r="C331">
            <v>971.34999999999945</v>
          </cell>
          <cell r="D331">
            <v>906.59999999999945</v>
          </cell>
          <cell r="E331">
            <v>-1281.8500000000004</v>
          </cell>
          <cell r="F331">
            <v>-388.30000000000018</v>
          </cell>
          <cell r="G331">
            <v>-2369.6500000000005</v>
          </cell>
          <cell r="K331">
            <v>0</v>
          </cell>
          <cell r="L331">
            <v>0</v>
          </cell>
          <cell r="M331">
            <v>0</v>
          </cell>
          <cell r="N331">
            <v>213</v>
          </cell>
          <cell r="O331">
            <v>192</v>
          </cell>
          <cell r="P331">
            <v>320</v>
          </cell>
          <cell r="T331">
            <v>906.59999999999945</v>
          </cell>
          <cell r="U331">
            <v>977.82499999999982</v>
          </cell>
          <cell r="V331">
            <v>906.60000000000036</v>
          </cell>
          <cell r="W331">
            <v>2281.1999999999994</v>
          </cell>
          <cell r="X331">
            <v>2286.5249999999992</v>
          </cell>
          <cell r="Y331">
            <v>2401.1999999999998</v>
          </cell>
        </row>
        <row r="332">
          <cell r="B332">
            <v>906.59999999999945</v>
          </cell>
          <cell r="C332">
            <v>984.29999999999927</v>
          </cell>
          <cell r="D332">
            <v>906.59999999999945</v>
          </cell>
          <cell r="E332">
            <v>-1281.8500000000004</v>
          </cell>
          <cell r="F332">
            <v>-498.375</v>
          </cell>
          <cell r="G332">
            <v>-2110.6500000000005</v>
          </cell>
          <cell r="K332">
            <v>0</v>
          </cell>
          <cell r="L332">
            <v>0</v>
          </cell>
          <cell r="M332">
            <v>0</v>
          </cell>
          <cell r="N332">
            <v>228</v>
          </cell>
          <cell r="O332">
            <v>165</v>
          </cell>
          <cell r="P332">
            <v>308</v>
          </cell>
          <cell r="T332">
            <v>906.59999999999945</v>
          </cell>
          <cell r="U332">
            <v>984.29999999999927</v>
          </cell>
          <cell r="V332">
            <v>906.60000000000036</v>
          </cell>
          <cell r="W332">
            <v>2277.1999999999989</v>
          </cell>
          <cell r="X332">
            <v>2203.9499999999994</v>
          </cell>
          <cell r="Y332">
            <v>2055.8574903784229</v>
          </cell>
        </row>
        <row r="333">
          <cell r="B333">
            <v>906.59999999999945</v>
          </cell>
          <cell r="C333">
            <v>971.35000000000036</v>
          </cell>
          <cell r="D333">
            <v>906.59999999999945</v>
          </cell>
          <cell r="E333">
            <v>-1320.7000000000007</v>
          </cell>
          <cell r="F333">
            <v>-543.70000000000073</v>
          </cell>
          <cell r="G333">
            <v>-2175.4000000000005</v>
          </cell>
          <cell r="K333">
            <v>0</v>
          </cell>
          <cell r="L333">
            <v>0</v>
          </cell>
          <cell r="M333">
            <v>0</v>
          </cell>
          <cell r="N333">
            <v>258</v>
          </cell>
          <cell r="O333">
            <v>160</v>
          </cell>
          <cell r="P333">
            <v>326</v>
          </cell>
          <cell r="T333">
            <v>906.59999999999945</v>
          </cell>
          <cell r="U333">
            <v>964.875</v>
          </cell>
          <cell r="V333">
            <v>906.59999999999945</v>
          </cell>
          <cell r="W333">
            <v>641.06526199159225</v>
          </cell>
          <cell r="X333">
            <v>2243.4749999999995</v>
          </cell>
          <cell r="Y333">
            <v>2407.1999999999989</v>
          </cell>
        </row>
        <row r="334">
          <cell r="B334">
            <v>906.59999999999945</v>
          </cell>
          <cell r="C334">
            <v>971.34999999999945</v>
          </cell>
          <cell r="D334">
            <v>906.60000000000036</v>
          </cell>
          <cell r="E334">
            <v>-945.15000000000055</v>
          </cell>
          <cell r="F334">
            <v>-595.5</v>
          </cell>
          <cell r="G334">
            <v>-2007.0500000000002</v>
          </cell>
          <cell r="K334">
            <v>0</v>
          </cell>
          <cell r="L334">
            <v>0</v>
          </cell>
          <cell r="M334">
            <v>0</v>
          </cell>
          <cell r="N334">
            <v>218</v>
          </cell>
          <cell r="O334">
            <v>183</v>
          </cell>
          <cell r="P334">
            <v>312</v>
          </cell>
          <cell r="T334">
            <v>906.59999999999945</v>
          </cell>
          <cell r="U334">
            <v>958.39999999999964</v>
          </cell>
          <cell r="V334">
            <v>906.60000000000036</v>
          </cell>
          <cell r="W334">
            <v>2223.1999999999998</v>
          </cell>
          <cell r="X334">
            <v>-184.14279677106921</v>
          </cell>
          <cell r="Y334">
            <v>-1459.1509645900305</v>
          </cell>
        </row>
        <row r="335">
          <cell r="B335">
            <v>906.59999999999945</v>
          </cell>
          <cell r="C335">
            <v>990.77499999999964</v>
          </cell>
          <cell r="D335">
            <v>906.60000000000036</v>
          </cell>
          <cell r="E335">
            <v>-971.05000000000018</v>
          </cell>
          <cell r="F335">
            <v>-349.45000000000073</v>
          </cell>
          <cell r="G335">
            <v>-2317.8500000000004</v>
          </cell>
          <cell r="K335">
            <v>0</v>
          </cell>
          <cell r="L335">
            <v>0</v>
          </cell>
          <cell r="M335">
            <v>0</v>
          </cell>
          <cell r="N335">
            <v>215</v>
          </cell>
          <cell r="O335">
            <v>181</v>
          </cell>
          <cell r="P335">
            <v>301</v>
          </cell>
          <cell r="T335">
            <v>906.59999999999945</v>
          </cell>
          <cell r="U335">
            <v>990.77499999999964</v>
          </cell>
          <cell r="V335">
            <v>906.60000000000036</v>
          </cell>
          <cell r="W335">
            <v>2287.1999999999989</v>
          </cell>
          <cell r="X335">
            <v>2246.3249999999994</v>
          </cell>
          <cell r="Y335">
            <v>2417.1999999999989</v>
          </cell>
        </row>
        <row r="336">
          <cell r="B336">
            <v>906.59999999999945</v>
          </cell>
          <cell r="C336">
            <v>1010.1999999999989</v>
          </cell>
          <cell r="D336">
            <v>906.60000000000036</v>
          </cell>
          <cell r="E336">
            <v>-1048.75</v>
          </cell>
          <cell r="F336">
            <v>-485.42500000000109</v>
          </cell>
          <cell r="G336">
            <v>-2641.6000000000004</v>
          </cell>
          <cell r="K336">
            <v>0</v>
          </cell>
          <cell r="L336">
            <v>0</v>
          </cell>
          <cell r="M336">
            <v>0</v>
          </cell>
          <cell r="N336">
            <v>224</v>
          </cell>
          <cell r="O336">
            <v>168</v>
          </cell>
          <cell r="P336">
            <v>325</v>
          </cell>
          <cell r="T336">
            <v>906.59999999999945</v>
          </cell>
          <cell r="U336">
            <v>958.39999999999964</v>
          </cell>
          <cell r="V336">
            <v>906.59999999999945</v>
          </cell>
          <cell r="W336">
            <v>2261.1999999999994</v>
          </cell>
          <cell r="X336">
            <v>2289.75</v>
          </cell>
          <cell r="Y336">
            <v>2461.1999999999998</v>
          </cell>
        </row>
        <row r="337">
          <cell r="B337">
            <v>906.59999999999945</v>
          </cell>
          <cell r="C337">
            <v>1003.7249999999995</v>
          </cell>
          <cell r="D337">
            <v>906.59999999999945</v>
          </cell>
          <cell r="E337">
            <v>-1113.5</v>
          </cell>
          <cell r="F337">
            <v>-692.625</v>
          </cell>
          <cell r="G337">
            <v>-2304.9000000000005</v>
          </cell>
          <cell r="K337">
            <v>0</v>
          </cell>
          <cell r="L337">
            <v>0</v>
          </cell>
          <cell r="M337">
            <v>0</v>
          </cell>
          <cell r="N337">
            <v>213</v>
          </cell>
          <cell r="O337">
            <v>190</v>
          </cell>
          <cell r="P337">
            <v>312</v>
          </cell>
          <cell r="T337">
            <v>906.59999999999945</v>
          </cell>
          <cell r="U337">
            <v>951.92499999999927</v>
          </cell>
          <cell r="V337">
            <v>906.60000000000036</v>
          </cell>
          <cell r="W337">
            <v>2269.1999999999994</v>
          </cell>
          <cell r="X337">
            <v>424.50331289457108</v>
          </cell>
          <cell r="Y337">
            <v>2469.1999999999989</v>
          </cell>
        </row>
        <row r="338">
          <cell r="B338">
            <v>906.59999999999945</v>
          </cell>
          <cell r="C338">
            <v>958.39999999999964</v>
          </cell>
          <cell r="D338">
            <v>906.59999999999945</v>
          </cell>
          <cell r="E338">
            <v>-1113.5</v>
          </cell>
          <cell r="F338">
            <v>-543.70000000000073</v>
          </cell>
          <cell r="G338">
            <v>-2369.6500000000005</v>
          </cell>
          <cell r="K338">
            <v>0</v>
          </cell>
          <cell r="L338">
            <v>0</v>
          </cell>
          <cell r="M338">
            <v>0</v>
          </cell>
          <cell r="N338">
            <v>220</v>
          </cell>
          <cell r="O338">
            <v>177</v>
          </cell>
          <cell r="P338">
            <v>327</v>
          </cell>
          <cell r="T338">
            <v>906.59999999999945</v>
          </cell>
          <cell r="U338">
            <v>958.39999999999964</v>
          </cell>
          <cell r="V338">
            <v>906.59999999999945</v>
          </cell>
          <cell r="W338">
            <v>2269.1999999999994</v>
          </cell>
          <cell r="X338">
            <v>2305.2749999999996</v>
          </cell>
          <cell r="Y338">
            <v>2433.1999999999998</v>
          </cell>
        </row>
        <row r="339">
          <cell r="B339">
            <v>906.59999999999945</v>
          </cell>
          <cell r="C339">
            <v>1023.1499999999996</v>
          </cell>
          <cell r="D339">
            <v>906.60000000000036</v>
          </cell>
          <cell r="E339">
            <v>-971.05000000000018</v>
          </cell>
          <cell r="F339">
            <v>-446.57500000000073</v>
          </cell>
          <cell r="G339">
            <v>-2628.6500000000005</v>
          </cell>
          <cell r="K339">
            <v>0</v>
          </cell>
          <cell r="L339">
            <v>0</v>
          </cell>
          <cell r="M339">
            <v>0</v>
          </cell>
          <cell r="N339">
            <v>221</v>
          </cell>
          <cell r="O339">
            <v>192</v>
          </cell>
          <cell r="P339">
            <v>319</v>
          </cell>
          <cell r="T339">
            <v>906.59999999999945</v>
          </cell>
          <cell r="U339">
            <v>945.44999999999891</v>
          </cell>
          <cell r="V339">
            <v>906.59999999999945</v>
          </cell>
          <cell r="W339">
            <v>-1294.8000000000002</v>
          </cell>
          <cell r="X339">
            <v>768.954010403967</v>
          </cell>
          <cell r="Y339">
            <v>2447.1999999999998</v>
          </cell>
        </row>
        <row r="340">
          <cell r="B340">
            <v>906.59999999999945</v>
          </cell>
          <cell r="C340">
            <v>964.875</v>
          </cell>
          <cell r="D340">
            <v>906.60000000000036</v>
          </cell>
          <cell r="E340">
            <v>-1268.9000000000005</v>
          </cell>
          <cell r="F340">
            <v>-355.92500000000109</v>
          </cell>
          <cell r="G340">
            <v>-2473.25</v>
          </cell>
          <cell r="K340">
            <v>0</v>
          </cell>
          <cell r="L340">
            <v>0</v>
          </cell>
          <cell r="M340">
            <v>0</v>
          </cell>
          <cell r="N340">
            <v>245</v>
          </cell>
          <cell r="O340">
            <v>178</v>
          </cell>
          <cell r="P340">
            <v>337</v>
          </cell>
          <cell r="T340">
            <v>906.59999999999945</v>
          </cell>
          <cell r="U340">
            <v>990.77499999999873</v>
          </cell>
          <cell r="V340">
            <v>906.60000000000036</v>
          </cell>
          <cell r="W340">
            <v>2289.1999999999994</v>
          </cell>
          <cell r="X340">
            <v>2251.9499999999994</v>
          </cell>
          <cell r="Y340">
            <v>1973.8198824473593</v>
          </cell>
        </row>
        <row r="341">
          <cell r="B341">
            <v>906.59999999999945</v>
          </cell>
          <cell r="C341">
            <v>945.44999999999891</v>
          </cell>
          <cell r="D341">
            <v>906.59999999999945</v>
          </cell>
          <cell r="E341">
            <v>-1139.4000000000005</v>
          </cell>
          <cell r="F341">
            <v>-524.27500000000055</v>
          </cell>
          <cell r="G341">
            <v>-2149.5</v>
          </cell>
          <cell r="K341">
            <v>0</v>
          </cell>
          <cell r="L341">
            <v>0</v>
          </cell>
          <cell r="M341">
            <v>0</v>
          </cell>
          <cell r="N341">
            <v>211</v>
          </cell>
          <cell r="O341">
            <v>149</v>
          </cell>
          <cell r="P341">
            <v>333</v>
          </cell>
          <cell r="T341">
            <v>906.59999999999945</v>
          </cell>
          <cell r="U341">
            <v>971.34999999999854</v>
          </cell>
          <cell r="V341">
            <v>906.60000000000036</v>
          </cell>
          <cell r="W341">
            <v>1928.8801894554763</v>
          </cell>
          <cell r="X341">
            <v>611.5462088716431</v>
          </cell>
          <cell r="Y341">
            <v>2467.1999999999998</v>
          </cell>
        </row>
        <row r="342">
          <cell r="B342">
            <v>906.59999999999945</v>
          </cell>
          <cell r="C342">
            <v>971.34999999999945</v>
          </cell>
          <cell r="D342">
            <v>906.59999999999945</v>
          </cell>
          <cell r="E342">
            <v>-737.95000000000073</v>
          </cell>
          <cell r="F342">
            <v>-440.10000000000036</v>
          </cell>
          <cell r="G342">
            <v>-2304.9000000000005</v>
          </cell>
          <cell r="K342">
            <v>0</v>
          </cell>
          <cell r="L342">
            <v>0</v>
          </cell>
          <cell r="M342">
            <v>0</v>
          </cell>
          <cell r="N342">
            <v>210</v>
          </cell>
          <cell r="O342">
            <v>189</v>
          </cell>
          <cell r="P342">
            <v>307</v>
          </cell>
          <cell r="T342">
            <v>906.59999999999945</v>
          </cell>
          <cell r="U342">
            <v>971.34999999999945</v>
          </cell>
          <cell r="V342">
            <v>919.55000000000018</v>
          </cell>
          <cell r="W342">
            <v>2179.9581328670479</v>
          </cell>
          <cell r="X342">
            <v>2233.9499999999994</v>
          </cell>
          <cell r="Y342">
            <v>-413.66796496556708</v>
          </cell>
        </row>
        <row r="343">
          <cell r="B343">
            <v>906.59999999999945</v>
          </cell>
          <cell r="C343">
            <v>984.29999999999927</v>
          </cell>
          <cell r="D343">
            <v>906.60000000000036</v>
          </cell>
          <cell r="E343">
            <v>-906.30000000000018</v>
          </cell>
          <cell r="F343">
            <v>-407.72500000000036</v>
          </cell>
          <cell r="G343">
            <v>-2784.05</v>
          </cell>
          <cell r="K343">
            <v>0</v>
          </cell>
          <cell r="L343">
            <v>0</v>
          </cell>
          <cell r="M343">
            <v>0</v>
          </cell>
          <cell r="N343">
            <v>215</v>
          </cell>
          <cell r="O343">
            <v>175</v>
          </cell>
          <cell r="P343">
            <v>324</v>
          </cell>
          <cell r="T343">
            <v>906.59999999999945</v>
          </cell>
          <cell r="U343">
            <v>1010.1999999999989</v>
          </cell>
          <cell r="V343">
            <v>906.60000000000036</v>
          </cell>
          <cell r="W343">
            <v>2297.1999999999989</v>
          </cell>
          <cell r="X343">
            <v>2281.3749999999991</v>
          </cell>
          <cell r="Y343">
            <v>538.09993849660259</v>
          </cell>
        </row>
        <row r="344">
          <cell r="B344">
            <v>906.59999999999945</v>
          </cell>
          <cell r="C344">
            <v>971.34999999999945</v>
          </cell>
          <cell r="D344">
            <v>906.59999999999945</v>
          </cell>
          <cell r="E344">
            <v>-1022.8500000000004</v>
          </cell>
          <cell r="F344">
            <v>-705.57500000000073</v>
          </cell>
          <cell r="G344">
            <v>-2343.75</v>
          </cell>
          <cell r="K344">
            <v>0</v>
          </cell>
          <cell r="L344">
            <v>0</v>
          </cell>
          <cell r="M344">
            <v>0</v>
          </cell>
          <cell r="N344">
            <v>214</v>
          </cell>
          <cell r="O344">
            <v>172</v>
          </cell>
          <cell r="P344">
            <v>318</v>
          </cell>
          <cell r="T344">
            <v>906.59999999999945</v>
          </cell>
          <cell r="U344">
            <v>971.34999999999945</v>
          </cell>
          <cell r="V344">
            <v>906.59999999999945</v>
          </cell>
          <cell r="W344">
            <v>2241.1999999999994</v>
          </cell>
          <cell r="X344">
            <v>2284.7999999999997</v>
          </cell>
          <cell r="Y344">
            <v>2489.1999999999989</v>
          </cell>
        </row>
        <row r="345">
          <cell r="B345">
            <v>906.59999999999945</v>
          </cell>
          <cell r="C345">
            <v>984.30000000000018</v>
          </cell>
          <cell r="D345">
            <v>906.59999999999945</v>
          </cell>
          <cell r="E345">
            <v>-1204.1500000000005</v>
          </cell>
          <cell r="F345">
            <v>-582.55000000000018</v>
          </cell>
          <cell r="G345">
            <v>-2589.8000000000002</v>
          </cell>
          <cell r="K345">
            <v>0</v>
          </cell>
          <cell r="L345">
            <v>0</v>
          </cell>
          <cell r="M345">
            <v>0</v>
          </cell>
          <cell r="N345">
            <v>221</v>
          </cell>
          <cell r="O345">
            <v>161</v>
          </cell>
          <cell r="P345">
            <v>337</v>
          </cell>
          <cell r="T345">
            <v>906.59999999999945</v>
          </cell>
          <cell r="U345">
            <v>958.39999999999964</v>
          </cell>
          <cell r="V345">
            <v>919.55000000000018</v>
          </cell>
          <cell r="W345">
            <v>2279.1999999999994</v>
          </cell>
          <cell r="X345">
            <v>2275.3749999999995</v>
          </cell>
          <cell r="Y345">
            <v>-2641.6000000000004</v>
          </cell>
        </row>
        <row r="346">
          <cell r="B346">
            <v>906.59999999999945</v>
          </cell>
          <cell r="C346">
            <v>945.44999999999982</v>
          </cell>
          <cell r="D346">
            <v>906.59999999999945</v>
          </cell>
          <cell r="E346">
            <v>-971.05000000000018</v>
          </cell>
          <cell r="F346">
            <v>-556.65000000000055</v>
          </cell>
          <cell r="G346">
            <v>-2745.2</v>
          </cell>
          <cell r="K346">
            <v>0</v>
          </cell>
          <cell r="L346">
            <v>0</v>
          </cell>
          <cell r="M346">
            <v>0</v>
          </cell>
          <cell r="N346">
            <v>222</v>
          </cell>
          <cell r="O346">
            <v>180</v>
          </cell>
          <cell r="P346">
            <v>309</v>
          </cell>
          <cell r="T346">
            <v>906.59999999999945</v>
          </cell>
          <cell r="U346">
            <v>1010.1999999999998</v>
          </cell>
          <cell r="V346">
            <v>918.59999999999968</v>
          </cell>
          <cell r="W346">
            <v>-370.24816854408232</v>
          </cell>
          <cell r="X346">
            <v>2245.474999999999</v>
          </cell>
          <cell r="Y346">
            <v>2475.1999999999998</v>
          </cell>
        </row>
        <row r="347">
          <cell r="B347">
            <v>906.59999999999945</v>
          </cell>
          <cell r="C347">
            <v>977.82499999999891</v>
          </cell>
          <cell r="D347">
            <v>919.55000000000018</v>
          </cell>
          <cell r="E347">
            <v>-1009.9000000000005</v>
          </cell>
          <cell r="F347">
            <v>-219.95000000000073</v>
          </cell>
          <cell r="G347">
            <v>-2253.1000000000004</v>
          </cell>
          <cell r="K347">
            <v>0</v>
          </cell>
          <cell r="L347">
            <v>0</v>
          </cell>
          <cell r="M347">
            <v>0</v>
          </cell>
          <cell r="N347">
            <v>214</v>
          </cell>
          <cell r="O347">
            <v>185</v>
          </cell>
          <cell r="P347">
            <v>325</v>
          </cell>
          <cell r="T347">
            <v>906.59999999999945</v>
          </cell>
          <cell r="U347">
            <v>958.39999999999964</v>
          </cell>
          <cell r="V347">
            <v>906.60000000000036</v>
          </cell>
          <cell r="W347">
            <v>2267.1999999999989</v>
          </cell>
          <cell r="X347">
            <v>2231.4750000000004</v>
          </cell>
          <cell r="Y347">
            <v>2439.1999999999989</v>
          </cell>
        </row>
        <row r="348">
          <cell r="B348">
            <v>906.59999999999945</v>
          </cell>
          <cell r="C348">
            <v>951.92499999999927</v>
          </cell>
          <cell r="D348">
            <v>906.60000000000036</v>
          </cell>
          <cell r="E348">
            <v>-1087.6000000000004</v>
          </cell>
          <cell r="F348">
            <v>-757.375</v>
          </cell>
          <cell r="G348">
            <v>-2291.9499999999998</v>
          </cell>
          <cell r="K348">
            <v>0</v>
          </cell>
          <cell r="L348">
            <v>0</v>
          </cell>
          <cell r="M348">
            <v>0</v>
          </cell>
          <cell r="N348">
            <v>251</v>
          </cell>
          <cell r="O348">
            <v>194</v>
          </cell>
          <cell r="P348">
            <v>319</v>
          </cell>
          <cell r="T348">
            <v>906.59999999999945</v>
          </cell>
          <cell r="U348">
            <v>1003.7250000000004</v>
          </cell>
          <cell r="V348">
            <v>906.59999999999945</v>
          </cell>
          <cell r="W348">
            <v>2239.1999999999994</v>
          </cell>
          <cell r="X348">
            <v>2032.2000943452149</v>
          </cell>
          <cell r="Y348">
            <v>2451.1999999999998</v>
          </cell>
        </row>
        <row r="349">
          <cell r="B349">
            <v>906.59999999999945</v>
          </cell>
          <cell r="C349">
            <v>997.25</v>
          </cell>
          <cell r="D349">
            <v>906.59999999999945</v>
          </cell>
          <cell r="E349">
            <v>-1255.9500000000007</v>
          </cell>
          <cell r="F349">
            <v>-168.14999999999964</v>
          </cell>
          <cell r="G349">
            <v>-2576.8500000000004</v>
          </cell>
          <cell r="K349">
            <v>0</v>
          </cell>
          <cell r="L349">
            <v>0</v>
          </cell>
          <cell r="M349">
            <v>0</v>
          </cell>
          <cell r="N349">
            <v>217</v>
          </cell>
          <cell r="O349">
            <v>188</v>
          </cell>
          <cell r="P349">
            <v>336</v>
          </cell>
          <cell r="T349">
            <v>906.59999999999945</v>
          </cell>
          <cell r="U349">
            <v>1003.7250000000004</v>
          </cell>
          <cell r="V349">
            <v>906.59999999999945</v>
          </cell>
          <cell r="W349">
            <v>2223.1999999999998</v>
          </cell>
          <cell r="X349">
            <v>-379.30569881144436</v>
          </cell>
          <cell r="Y349">
            <v>-118.92404866224433</v>
          </cell>
        </row>
        <row r="350">
          <cell r="B350">
            <v>906.59999999999945</v>
          </cell>
          <cell r="C350">
            <v>990.77499999999964</v>
          </cell>
          <cell r="D350">
            <v>906.59999999999945</v>
          </cell>
          <cell r="E350">
            <v>-1100.5500000000002</v>
          </cell>
          <cell r="F350">
            <v>-647.30000000000109</v>
          </cell>
          <cell r="G350">
            <v>-2330.8000000000002</v>
          </cell>
          <cell r="K350">
            <v>0</v>
          </cell>
          <cell r="L350">
            <v>0</v>
          </cell>
          <cell r="M350">
            <v>0</v>
          </cell>
          <cell r="N350">
            <v>238</v>
          </cell>
          <cell r="O350">
            <v>190</v>
          </cell>
          <cell r="P350">
            <v>315</v>
          </cell>
          <cell r="T350">
            <v>906.59999999999945</v>
          </cell>
          <cell r="U350">
            <v>964.87499999999909</v>
          </cell>
          <cell r="V350">
            <v>906.59999999999945</v>
          </cell>
          <cell r="W350">
            <v>2275.1999999999998</v>
          </cell>
          <cell r="X350">
            <v>2260.3249999999998</v>
          </cell>
          <cell r="Y350">
            <v>2453.1999999999998</v>
          </cell>
        </row>
        <row r="351">
          <cell r="B351">
            <v>906.59999999999945</v>
          </cell>
          <cell r="C351">
            <v>990.77499999999964</v>
          </cell>
          <cell r="D351">
            <v>906.60000000000036</v>
          </cell>
          <cell r="E351">
            <v>-996.95000000000073</v>
          </cell>
          <cell r="F351">
            <v>-718.52499999999964</v>
          </cell>
          <cell r="G351">
            <v>-2304.9000000000005</v>
          </cell>
          <cell r="K351">
            <v>0</v>
          </cell>
          <cell r="L351">
            <v>0</v>
          </cell>
          <cell r="M351">
            <v>0</v>
          </cell>
          <cell r="N351">
            <v>245</v>
          </cell>
          <cell r="O351">
            <v>199</v>
          </cell>
          <cell r="P351">
            <v>331</v>
          </cell>
          <cell r="T351">
            <v>906.59999999999945</v>
          </cell>
          <cell r="U351">
            <v>997.25</v>
          </cell>
          <cell r="V351">
            <v>919.55000000000018</v>
          </cell>
          <cell r="W351">
            <v>-1307.75</v>
          </cell>
          <cell r="X351">
            <v>2292.4249999999997</v>
          </cell>
          <cell r="Y351">
            <v>1961.3455816977676</v>
          </cell>
        </row>
        <row r="352">
          <cell r="B352">
            <v>906.59999999999945</v>
          </cell>
          <cell r="C352">
            <v>977.82499999999982</v>
          </cell>
          <cell r="D352">
            <v>906.59999999999945</v>
          </cell>
          <cell r="E352">
            <v>-996.95000000000073</v>
          </cell>
          <cell r="F352">
            <v>-763.85000000000036</v>
          </cell>
          <cell r="G352">
            <v>-2175.4000000000005</v>
          </cell>
          <cell r="K352">
            <v>0</v>
          </cell>
          <cell r="L352">
            <v>0</v>
          </cell>
          <cell r="M352">
            <v>0</v>
          </cell>
          <cell r="N352">
            <v>227</v>
          </cell>
          <cell r="O352">
            <v>195</v>
          </cell>
          <cell r="P352">
            <v>309</v>
          </cell>
          <cell r="T352">
            <v>906.59999999999945</v>
          </cell>
          <cell r="U352">
            <v>977.82499999999891</v>
          </cell>
          <cell r="V352">
            <v>906.59999999999945</v>
          </cell>
          <cell r="W352">
            <v>-752.47734101773631</v>
          </cell>
          <cell r="X352">
            <v>2271.849999999999</v>
          </cell>
          <cell r="Y352">
            <v>2467.1999999999998</v>
          </cell>
        </row>
        <row r="353">
          <cell r="B353">
            <v>906.59999999999945</v>
          </cell>
          <cell r="C353">
            <v>997.24999999999909</v>
          </cell>
          <cell r="D353">
            <v>906.59999999999945</v>
          </cell>
          <cell r="E353">
            <v>-1022.8500000000004</v>
          </cell>
          <cell r="F353">
            <v>-699.10000000000036</v>
          </cell>
          <cell r="G353">
            <v>-2421.4499999999998</v>
          </cell>
          <cell r="K353">
            <v>0</v>
          </cell>
          <cell r="L353">
            <v>0</v>
          </cell>
          <cell r="M353">
            <v>0</v>
          </cell>
          <cell r="N353">
            <v>245</v>
          </cell>
          <cell r="O353">
            <v>178</v>
          </cell>
          <cell r="P353">
            <v>347</v>
          </cell>
          <cell r="T353">
            <v>906.59999999999945</v>
          </cell>
          <cell r="U353">
            <v>1003.7249999999995</v>
          </cell>
          <cell r="V353">
            <v>906.60000000000036</v>
          </cell>
          <cell r="W353">
            <v>-867.45000000000073</v>
          </cell>
          <cell r="X353">
            <v>2096.8343444174648</v>
          </cell>
          <cell r="Y353">
            <v>2473.1999999999998</v>
          </cell>
        </row>
        <row r="354">
          <cell r="B354">
            <v>906.59999999999945</v>
          </cell>
          <cell r="C354">
            <v>971.35000000000036</v>
          </cell>
          <cell r="D354">
            <v>906.59999999999945</v>
          </cell>
          <cell r="E354">
            <v>-1191.2000000000007</v>
          </cell>
          <cell r="F354">
            <v>-278.22500000000036</v>
          </cell>
          <cell r="G354">
            <v>-2473.25</v>
          </cell>
          <cell r="K354">
            <v>0</v>
          </cell>
          <cell r="L354">
            <v>0</v>
          </cell>
          <cell r="M354">
            <v>0</v>
          </cell>
          <cell r="N354">
            <v>201</v>
          </cell>
          <cell r="O354">
            <v>170</v>
          </cell>
          <cell r="P354">
            <v>308</v>
          </cell>
          <cell r="T354">
            <v>906.59999999999945</v>
          </cell>
          <cell r="U354">
            <v>997.24999999999909</v>
          </cell>
          <cell r="V354">
            <v>906.59999999999945</v>
          </cell>
          <cell r="W354">
            <v>2261.1999999999994</v>
          </cell>
          <cell r="X354">
            <v>-349.45000000000073</v>
          </cell>
          <cell r="Y354">
            <v>541.18542847407207</v>
          </cell>
        </row>
        <row r="355">
          <cell r="B355">
            <v>906.59999999999945</v>
          </cell>
          <cell r="C355">
            <v>984.30000000000018</v>
          </cell>
          <cell r="D355">
            <v>906.59999999999945</v>
          </cell>
          <cell r="E355">
            <v>-971.05000000000018</v>
          </cell>
          <cell r="F355">
            <v>-822.125</v>
          </cell>
          <cell r="G355">
            <v>-2188.3500000000004</v>
          </cell>
          <cell r="K355">
            <v>0</v>
          </cell>
          <cell r="L355">
            <v>0</v>
          </cell>
          <cell r="M355">
            <v>0</v>
          </cell>
          <cell r="N355">
            <v>206</v>
          </cell>
          <cell r="O355">
            <v>199</v>
          </cell>
          <cell r="P355">
            <v>303</v>
          </cell>
          <cell r="T355">
            <v>906.59999999999945</v>
          </cell>
          <cell r="U355">
            <v>997.24999999999909</v>
          </cell>
          <cell r="V355">
            <v>919.55000000000018</v>
          </cell>
          <cell r="W355">
            <v>2275.1999999999998</v>
          </cell>
          <cell r="X355">
            <v>2205.5749999999998</v>
          </cell>
          <cell r="Y355">
            <v>2449.1999999999989</v>
          </cell>
        </row>
        <row r="356">
          <cell r="B356">
            <v>906.59999999999945</v>
          </cell>
          <cell r="C356">
            <v>984.30000000000018</v>
          </cell>
          <cell r="D356">
            <v>906.60000000000036</v>
          </cell>
          <cell r="E356">
            <v>-1087.6000000000004</v>
          </cell>
          <cell r="F356">
            <v>-362.39999999999964</v>
          </cell>
          <cell r="G356">
            <v>-2214.25</v>
          </cell>
          <cell r="K356">
            <v>0</v>
          </cell>
          <cell r="L356">
            <v>0</v>
          </cell>
          <cell r="M356">
            <v>7</v>
          </cell>
          <cell r="N356">
            <v>237</v>
          </cell>
          <cell r="O356">
            <v>178</v>
          </cell>
          <cell r="P356">
            <v>315</v>
          </cell>
          <cell r="T356">
            <v>906.59999999999945</v>
          </cell>
          <cell r="U356">
            <v>1003.7249999999995</v>
          </cell>
          <cell r="V356">
            <v>906.60000000000036</v>
          </cell>
          <cell r="W356">
            <v>2225.1999999999998</v>
          </cell>
          <cell r="X356">
            <v>2234.5249999999992</v>
          </cell>
          <cell r="Y356">
            <v>2437.1999999999989</v>
          </cell>
        </row>
        <row r="357">
          <cell r="B357">
            <v>906.59999999999945</v>
          </cell>
          <cell r="C357">
            <v>990.77499999999964</v>
          </cell>
          <cell r="D357">
            <v>906.60000000000036</v>
          </cell>
          <cell r="E357">
            <v>-1087.6000000000004</v>
          </cell>
          <cell r="F357">
            <v>-407.72500000000036</v>
          </cell>
          <cell r="G357">
            <v>-2395.5500000000002</v>
          </cell>
          <cell r="K357">
            <v>0</v>
          </cell>
          <cell r="L357">
            <v>0</v>
          </cell>
          <cell r="M357">
            <v>0</v>
          </cell>
          <cell r="N357">
            <v>217</v>
          </cell>
          <cell r="O357">
            <v>183</v>
          </cell>
          <cell r="P357">
            <v>329</v>
          </cell>
          <cell r="T357">
            <v>906.59999999999945</v>
          </cell>
          <cell r="U357">
            <v>971.34999999999854</v>
          </cell>
          <cell r="V357">
            <v>906.60000000000036</v>
          </cell>
          <cell r="W357">
            <v>573.02304511905595</v>
          </cell>
          <cell r="X357">
            <v>1721.9613536768156</v>
          </cell>
          <cell r="Y357">
            <v>-1884.6328949140366</v>
          </cell>
        </row>
        <row r="358">
          <cell r="B358">
            <v>906.59999999999945</v>
          </cell>
          <cell r="C358">
            <v>997.25</v>
          </cell>
          <cell r="D358">
            <v>906.59999999999945</v>
          </cell>
          <cell r="E358">
            <v>-1230.0500000000002</v>
          </cell>
          <cell r="F358">
            <v>-472.47500000000036</v>
          </cell>
          <cell r="G358">
            <v>-2641.6000000000004</v>
          </cell>
          <cell r="K358">
            <v>0</v>
          </cell>
          <cell r="L358">
            <v>0</v>
          </cell>
          <cell r="M358">
            <v>0</v>
          </cell>
          <cell r="N358">
            <v>243</v>
          </cell>
          <cell r="O358">
            <v>173</v>
          </cell>
          <cell r="P358">
            <v>317</v>
          </cell>
          <cell r="T358">
            <v>906.59999999999945</v>
          </cell>
          <cell r="U358">
            <v>997.24999999999909</v>
          </cell>
          <cell r="V358">
            <v>906.59999999999945</v>
          </cell>
          <cell r="W358">
            <v>2237.1999999999989</v>
          </cell>
          <cell r="X358">
            <v>2186.9999999999991</v>
          </cell>
          <cell r="Y358">
            <v>2439.1999999999989</v>
          </cell>
        </row>
        <row r="359">
          <cell r="B359">
            <v>906.59999999999945</v>
          </cell>
          <cell r="C359">
            <v>984.30000000000018</v>
          </cell>
          <cell r="D359">
            <v>906.59999999999945</v>
          </cell>
          <cell r="E359">
            <v>-1113.5</v>
          </cell>
          <cell r="F359">
            <v>-511.32500000000073</v>
          </cell>
          <cell r="G359">
            <v>-1748.0500000000002</v>
          </cell>
          <cell r="K359">
            <v>0</v>
          </cell>
          <cell r="L359">
            <v>0</v>
          </cell>
          <cell r="M359">
            <v>1</v>
          </cell>
          <cell r="N359">
            <v>213</v>
          </cell>
          <cell r="O359">
            <v>186</v>
          </cell>
          <cell r="P359">
            <v>312</v>
          </cell>
          <cell r="T359">
            <v>906.59999999999945</v>
          </cell>
          <cell r="U359">
            <v>945.44999999999982</v>
          </cell>
          <cell r="V359">
            <v>906.59999999999945</v>
          </cell>
          <cell r="W359">
            <v>2269.1999999999994</v>
          </cell>
          <cell r="X359">
            <v>17.754436891951627</v>
          </cell>
          <cell r="Y359">
            <v>2439.1999999999989</v>
          </cell>
        </row>
        <row r="360">
          <cell r="B360">
            <v>906.59999999999945</v>
          </cell>
          <cell r="C360">
            <v>958.39999999999964</v>
          </cell>
          <cell r="D360">
            <v>906.60000000000036</v>
          </cell>
          <cell r="E360">
            <v>-1230.0500000000002</v>
          </cell>
          <cell r="F360">
            <v>-524.27499999999964</v>
          </cell>
          <cell r="G360">
            <v>-2641.6000000000004</v>
          </cell>
          <cell r="K360">
            <v>0</v>
          </cell>
          <cell r="L360">
            <v>0</v>
          </cell>
          <cell r="M360">
            <v>0</v>
          </cell>
          <cell r="N360">
            <v>196</v>
          </cell>
          <cell r="O360">
            <v>170</v>
          </cell>
          <cell r="P360">
            <v>338</v>
          </cell>
          <cell r="T360">
            <v>906.59999999999945</v>
          </cell>
          <cell r="U360">
            <v>984.29999999999927</v>
          </cell>
          <cell r="V360">
            <v>906.59999999999945</v>
          </cell>
          <cell r="W360">
            <v>-1061.7000000000007</v>
          </cell>
          <cell r="X360">
            <v>2198.9999999999995</v>
          </cell>
          <cell r="Y360">
            <v>824.65922786135843</v>
          </cell>
        </row>
        <row r="361">
          <cell r="B361">
            <v>906.59999999999945</v>
          </cell>
          <cell r="C361">
            <v>977.82499999999982</v>
          </cell>
          <cell r="D361">
            <v>906.59999999999945</v>
          </cell>
          <cell r="E361">
            <v>-919.25</v>
          </cell>
          <cell r="F361">
            <v>-297.65000000000055</v>
          </cell>
          <cell r="G361">
            <v>-2279</v>
          </cell>
          <cell r="K361">
            <v>0</v>
          </cell>
          <cell r="L361">
            <v>0</v>
          </cell>
          <cell r="M361">
            <v>0</v>
          </cell>
          <cell r="N361">
            <v>223</v>
          </cell>
          <cell r="O361">
            <v>198</v>
          </cell>
          <cell r="P361">
            <v>321</v>
          </cell>
          <cell r="T361">
            <v>906.59999999999945</v>
          </cell>
          <cell r="U361">
            <v>990.77499999999964</v>
          </cell>
          <cell r="V361">
            <v>906.59999999999945</v>
          </cell>
          <cell r="W361">
            <v>2156.0296696783098</v>
          </cell>
          <cell r="X361">
            <v>872.61852915251779</v>
          </cell>
          <cell r="Y361">
            <v>1174.7858072185177</v>
          </cell>
        </row>
        <row r="362">
          <cell r="B362">
            <v>906.59999999999945</v>
          </cell>
          <cell r="C362">
            <v>938.97499999999945</v>
          </cell>
          <cell r="D362">
            <v>906.60000000000036</v>
          </cell>
          <cell r="E362">
            <v>-776.80000000000018</v>
          </cell>
          <cell r="F362">
            <v>-453.05000000000018</v>
          </cell>
          <cell r="G362">
            <v>-2058.8500000000004</v>
          </cell>
          <cell r="K362">
            <v>0</v>
          </cell>
          <cell r="L362">
            <v>0</v>
          </cell>
          <cell r="M362">
            <v>0</v>
          </cell>
          <cell r="N362">
            <v>234</v>
          </cell>
          <cell r="O362">
            <v>188</v>
          </cell>
          <cell r="P362">
            <v>321</v>
          </cell>
          <cell r="T362">
            <v>906.59999999999945</v>
          </cell>
          <cell r="U362">
            <v>971.34999999999854</v>
          </cell>
          <cell r="V362">
            <v>932.5</v>
          </cell>
          <cell r="W362">
            <v>2247.1999999999989</v>
          </cell>
          <cell r="X362">
            <v>2268.3249999999994</v>
          </cell>
          <cell r="Y362">
            <v>243.27270883545179</v>
          </cell>
        </row>
        <row r="363">
          <cell r="B363">
            <v>906.59999999999945</v>
          </cell>
          <cell r="C363">
            <v>1036.0999999999985</v>
          </cell>
          <cell r="D363">
            <v>906.59999999999945</v>
          </cell>
          <cell r="E363">
            <v>-1204.1500000000005</v>
          </cell>
          <cell r="F363">
            <v>-491.89999999999964</v>
          </cell>
          <cell r="G363">
            <v>-2719.3</v>
          </cell>
          <cell r="K363">
            <v>0</v>
          </cell>
          <cell r="L363">
            <v>0</v>
          </cell>
          <cell r="M363">
            <v>0</v>
          </cell>
          <cell r="N363">
            <v>230</v>
          </cell>
          <cell r="O363">
            <v>166</v>
          </cell>
          <cell r="P363">
            <v>324</v>
          </cell>
          <cell r="T363">
            <v>906.59999999999945</v>
          </cell>
          <cell r="U363">
            <v>971.34999999999945</v>
          </cell>
          <cell r="V363">
            <v>906.59999999999945</v>
          </cell>
          <cell r="W363">
            <v>2176.196112421685</v>
          </cell>
          <cell r="X363">
            <v>2281.849999999999</v>
          </cell>
          <cell r="Y363">
            <v>2067.0867064690046</v>
          </cell>
        </row>
        <row r="364">
          <cell r="B364">
            <v>906.59999999999945</v>
          </cell>
          <cell r="C364">
            <v>971.34999999999945</v>
          </cell>
          <cell r="D364">
            <v>906.59999999999945</v>
          </cell>
          <cell r="E364">
            <v>-1553.8000000000002</v>
          </cell>
          <cell r="F364">
            <v>-692.625</v>
          </cell>
          <cell r="G364">
            <v>-2382.6000000000004</v>
          </cell>
          <cell r="K364">
            <v>0</v>
          </cell>
          <cell r="L364">
            <v>0</v>
          </cell>
          <cell r="M364">
            <v>0</v>
          </cell>
          <cell r="N364">
            <v>235</v>
          </cell>
          <cell r="O364">
            <v>183</v>
          </cell>
          <cell r="P364">
            <v>308</v>
          </cell>
          <cell r="T364">
            <v>906.59999999999945</v>
          </cell>
          <cell r="U364">
            <v>997.24999999999909</v>
          </cell>
          <cell r="V364">
            <v>906.60000000000036</v>
          </cell>
          <cell r="W364">
            <v>2255.1999999999998</v>
          </cell>
          <cell r="X364">
            <v>2213.4749999999995</v>
          </cell>
          <cell r="Y364">
            <v>2477.1999999999998</v>
          </cell>
        </row>
        <row r="365">
          <cell r="B365">
            <v>906.59999999999945</v>
          </cell>
          <cell r="C365">
            <v>984.29999999999927</v>
          </cell>
          <cell r="D365">
            <v>906.60000000000036</v>
          </cell>
          <cell r="E365">
            <v>-1411.3500000000004</v>
          </cell>
          <cell r="F365">
            <v>-381.82500000000073</v>
          </cell>
          <cell r="G365">
            <v>-2369.6500000000005</v>
          </cell>
          <cell r="K365">
            <v>0</v>
          </cell>
          <cell r="L365">
            <v>0</v>
          </cell>
          <cell r="M365">
            <v>0</v>
          </cell>
          <cell r="N365">
            <v>185</v>
          </cell>
          <cell r="O365">
            <v>177</v>
          </cell>
          <cell r="P365">
            <v>331</v>
          </cell>
          <cell r="T365">
            <v>906.59999999999945</v>
          </cell>
          <cell r="U365">
            <v>977.82499999999982</v>
          </cell>
          <cell r="V365">
            <v>906.60000000000036</v>
          </cell>
          <cell r="W365">
            <v>2227.1999999999989</v>
          </cell>
          <cell r="X365">
            <v>2212.5250000000001</v>
          </cell>
          <cell r="Y365">
            <v>2423.1999999999998</v>
          </cell>
        </row>
        <row r="366">
          <cell r="B366">
            <v>906.59999999999945</v>
          </cell>
          <cell r="C366">
            <v>964.87499999999909</v>
          </cell>
          <cell r="D366">
            <v>906.60000000000036</v>
          </cell>
          <cell r="E366">
            <v>-1165.3000000000002</v>
          </cell>
          <cell r="F366">
            <v>-485.42500000000109</v>
          </cell>
          <cell r="G366">
            <v>-2330.8000000000002</v>
          </cell>
          <cell r="K366">
            <v>0</v>
          </cell>
          <cell r="L366">
            <v>0</v>
          </cell>
          <cell r="M366">
            <v>0</v>
          </cell>
          <cell r="N366">
            <v>240</v>
          </cell>
          <cell r="O366">
            <v>193</v>
          </cell>
          <cell r="P366">
            <v>333</v>
          </cell>
          <cell r="T366">
            <v>906.59999999999945</v>
          </cell>
          <cell r="U366">
            <v>997.25</v>
          </cell>
          <cell r="V366">
            <v>906.59999999999945</v>
          </cell>
          <cell r="W366">
            <v>2253.1999999999998</v>
          </cell>
          <cell r="X366">
            <v>2247.849999999999</v>
          </cell>
          <cell r="Y366">
            <v>2542.1499999999996</v>
          </cell>
        </row>
        <row r="367">
          <cell r="B367">
            <v>906.59999999999945</v>
          </cell>
          <cell r="C367">
            <v>938.97499999999854</v>
          </cell>
          <cell r="D367">
            <v>906.59999999999945</v>
          </cell>
          <cell r="E367">
            <v>-1113.5</v>
          </cell>
          <cell r="F367">
            <v>-608.45000000000073</v>
          </cell>
          <cell r="G367">
            <v>-2240.1500000000005</v>
          </cell>
          <cell r="K367">
            <v>0</v>
          </cell>
          <cell r="L367">
            <v>0</v>
          </cell>
          <cell r="M367">
            <v>0</v>
          </cell>
          <cell r="N367">
            <v>229</v>
          </cell>
          <cell r="O367">
            <v>172</v>
          </cell>
          <cell r="P367">
            <v>330</v>
          </cell>
          <cell r="T367">
            <v>906.59999999999945</v>
          </cell>
          <cell r="U367">
            <v>977.82499999999891</v>
          </cell>
          <cell r="V367">
            <v>906.59999999999945</v>
          </cell>
          <cell r="W367">
            <v>2225.1999999999998</v>
          </cell>
          <cell r="X367">
            <v>2197.099999999999</v>
          </cell>
          <cell r="Y367">
            <v>-1772.9417375986648</v>
          </cell>
        </row>
        <row r="368">
          <cell r="B368">
            <v>906.59999999999945</v>
          </cell>
          <cell r="C368">
            <v>984.29999999999927</v>
          </cell>
          <cell r="D368">
            <v>906.59999999999945</v>
          </cell>
          <cell r="E368">
            <v>-1009.9000000000005</v>
          </cell>
          <cell r="F368">
            <v>-427.15000000000055</v>
          </cell>
          <cell r="G368">
            <v>-1994.1000000000004</v>
          </cell>
          <cell r="K368">
            <v>0</v>
          </cell>
          <cell r="L368">
            <v>0</v>
          </cell>
          <cell r="M368">
            <v>0</v>
          </cell>
          <cell r="N368">
            <v>231</v>
          </cell>
          <cell r="O368">
            <v>171</v>
          </cell>
          <cell r="P368">
            <v>312</v>
          </cell>
          <cell r="T368">
            <v>906.59999999999945</v>
          </cell>
          <cell r="U368">
            <v>1003.7249999999985</v>
          </cell>
          <cell r="V368">
            <v>906.59999999999945</v>
          </cell>
          <cell r="W368">
            <v>2173.1999999999998</v>
          </cell>
          <cell r="X368">
            <v>1157.7200330970213</v>
          </cell>
          <cell r="Y368">
            <v>-2304.9000000000005</v>
          </cell>
        </row>
        <row r="369">
          <cell r="B369">
            <v>906.59999999999945</v>
          </cell>
          <cell r="C369">
            <v>984.29999999999927</v>
          </cell>
          <cell r="D369">
            <v>906.59999999999945</v>
          </cell>
          <cell r="E369">
            <v>-996.95000000000073</v>
          </cell>
          <cell r="F369">
            <v>-407.72500000000036</v>
          </cell>
          <cell r="G369">
            <v>-2343.75</v>
          </cell>
          <cell r="K369">
            <v>0</v>
          </cell>
          <cell r="L369">
            <v>0</v>
          </cell>
          <cell r="M369">
            <v>0</v>
          </cell>
          <cell r="N369">
            <v>232</v>
          </cell>
          <cell r="O369">
            <v>189</v>
          </cell>
          <cell r="P369">
            <v>294</v>
          </cell>
          <cell r="T369">
            <v>906.59999999999945</v>
          </cell>
          <cell r="U369">
            <v>977.82499999999982</v>
          </cell>
          <cell r="V369">
            <v>906.59999999999945</v>
          </cell>
          <cell r="W369">
            <v>2237.1999999999989</v>
          </cell>
          <cell r="X369">
            <v>2234.9</v>
          </cell>
          <cell r="Y369">
            <v>1176.1474187268113</v>
          </cell>
        </row>
        <row r="370">
          <cell r="B370">
            <v>906.59999999999945</v>
          </cell>
          <cell r="C370">
            <v>958.39999999999964</v>
          </cell>
          <cell r="D370">
            <v>906.59999999999945</v>
          </cell>
          <cell r="E370">
            <v>-1243</v>
          </cell>
          <cell r="F370">
            <v>-550.17500000000109</v>
          </cell>
          <cell r="G370">
            <v>-2240.1500000000005</v>
          </cell>
          <cell r="K370">
            <v>0</v>
          </cell>
          <cell r="L370">
            <v>0</v>
          </cell>
          <cell r="M370">
            <v>0</v>
          </cell>
          <cell r="N370">
            <v>230</v>
          </cell>
          <cell r="O370">
            <v>189</v>
          </cell>
          <cell r="P370">
            <v>323</v>
          </cell>
          <cell r="T370">
            <v>906.59999999999945</v>
          </cell>
          <cell r="U370">
            <v>990.77499999999964</v>
          </cell>
          <cell r="V370">
            <v>906.59999999999945</v>
          </cell>
          <cell r="W370">
            <v>1660.8915798064736</v>
          </cell>
          <cell r="X370">
            <v>2210.5249999999996</v>
          </cell>
          <cell r="Y370">
            <v>831.97887273586184</v>
          </cell>
        </row>
        <row r="371">
          <cell r="B371">
            <v>906.59999999999945</v>
          </cell>
          <cell r="C371">
            <v>958.39999999999964</v>
          </cell>
          <cell r="D371">
            <v>906.59999999999945</v>
          </cell>
          <cell r="E371">
            <v>-1372.5</v>
          </cell>
          <cell r="F371">
            <v>-712.05000000000018</v>
          </cell>
          <cell r="G371">
            <v>-2395.5500000000002</v>
          </cell>
          <cell r="K371">
            <v>0</v>
          </cell>
          <cell r="L371">
            <v>0</v>
          </cell>
          <cell r="M371">
            <v>0</v>
          </cell>
          <cell r="N371">
            <v>223</v>
          </cell>
          <cell r="O371">
            <v>183</v>
          </cell>
          <cell r="P371">
            <v>320</v>
          </cell>
          <cell r="T371">
            <v>906.59999999999945</v>
          </cell>
          <cell r="U371">
            <v>997.24999999999909</v>
          </cell>
          <cell r="V371">
            <v>906.60000000000036</v>
          </cell>
          <cell r="W371">
            <v>2263.1999999999998</v>
          </cell>
          <cell r="X371">
            <v>2209.474999999999</v>
          </cell>
          <cell r="Y371">
            <v>2487.1999999999998</v>
          </cell>
        </row>
        <row r="372">
          <cell r="B372">
            <v>906.59999999999945</v>
          </cell>
          <cell r="C372">
            <v>971.34999999999945</v>
          </cell>
          <cell r="D372">
            <v>906.59999999999945</v>
          </cell>
          <cell r="E372">
            <v>-984</v>
          </cell>
          <cell r="F372">
            <v>-420.67500000000018</v>
          </cell>
          <cell r="G372">
            <v>-2382.6000000000004</v>
          </cell>
          <cell r="K372">
            <v>0</v>
          </cell>
          <cell r="L372">
            <v>0</v>
          </cell>
          <cell r="M372">
            <v>0</v>
          </cell>
          <cell r="N372">
            <v>225</v>
          </cell>
          <cell r="O372">
            <v>182</v>
          </cell>
          <cell r="P372">
            <v>299</v>
          </cell>
          <cell r="T372">
            <v>906.59999999999945</v>
          </cell>
          <cell r="U372">
            <v>958.39999999999964</v>
          </cell>
          <cell r="V372">
            <v>906.59999999999945</v>
          </cell>
          <cell r="W372">
            <v>1024.4855395046843</v>
          </cell>
          <cell r="X372">
            <v>1589.1623523420549</v>
          </cell>
          <cell r="Y372">
            <v>2439.1999999999989</v>
          </cell>
        </row>
        <row r="373">
          <cell r="B373">
            <v>906.59999999999945</v>
          </cell>
          <cell r="C373">
            <v>971.34999999999945</v>
          </cell>
          <cell r="D373">
            <v>906.60000000000036</v>
          </cell>
          <cell r="E373">
            <v>-1268.9000000000005</v>
          </cell>
          <cell r="F373">
            <v>-647.30000000000018</v>
          </cell>
          <cell r="G373">
            <v>-2408.5</v>
          </cell>
          <cell r="K373">
            <v>0</v>
          </cell>
          <cell r="L373">
            <v>0</v>
          </cell>
          <cell r="M373">
            <v>0</v>
          </cell>
          <cell r="N373">
            <v>218</v>
          </cell>
          <cell r="O373">
            <v>184</v>
          </cell>
          <cell r="P373">
            <v>324</v>
          </cell>
          <cell r="T373">
            <v>906.59999999999945</v>
          </cell>
          <cell r="U373">
            <v>958.39999999999873</v>
          </cell>
          <cell r="V373">
            <v>906.59999999999945</v>
          </cell>
          <cell r="W373">
            <v>2259.1999999999994</v>
          </cell>
          <cell r="X373">
            <v>463.50400940803002</v>
          </cell>
          <cell r="Y373">
            <v>2485.1999999999998</v>
          </cell>
        </row>
        <row r="374">
          <cell r="B374">
            <v>906.59999999999945</v>
          </cell>
          <cell r="C374">
            <v>990.77499999999964</v>
          </cell>
          <cell r="D374">
            <v>919.55000000000018</v>
          </cell>
          <cell r="E374">
            <v>-1243</v>
          </cell>
          <cell r="F374">
            <v>-446.57500000000073</v>
          </cell>
          <cell r="G374">
            <v>-2291.9499999999998</v>
          </cell>
          <cell r="K374">
            <v>0</v>
          </cell>
          <cell r="L374">
            <v>0</v>
          </cell>
          <cell r="M374">
            <v>0</v>
          </cell>
          <cell r="N374">
            <v>235</v>
          </cell>
          <cell r="O374">
            <v>208</v>
          </cell>
          <cell r="P374">
            <v>309</v>
          </cell>
          <cell r="T374">
            <v>906.59999999999945</v>
          </cell>
          <cell r="U374">
            <v>938.97499999999945</v>
          </cell>
          <cell r="V374">
            <v>906.60000000000036</v>
          </cell>
          <cell r="W374">
            <v>-1067.7573217203412</v>
          </cell>
          <cell r="X374">
            <v>2271.849999999999</v>
          </cell>
          <cell r="Y374">
            <v>443.08394162993181</v>
          </cell>
        </row>
        <row r="375">
          <cell r="B375">
            <v>906.59999999999945</v>
          </cell>
          <cell r="C375">
            <v>951.92500000000018</v>
          </cell>
          <cell r="D375">
            <v>906.60000000000036</v>
          </cell>
          <cell r="E375">
            <v>-699.10000000000036</v>
          </cell>
          <cell r="F375">
            <v>-595.5</v>
          </cell>
          <cell r="G375">
            <v>-2188.3500000000004</v>
          </cell>
          <cell r="K375">
            <v>0</v>
          </cell>
          <cell r="L375">
            <v>0</v>
          </cell>
          <cell r="M375">
            <v>0</v>
          </cell>
          <cell r="N375">
            <v>223</v>
          </cell>
          <cell r="O375">
            <v>204</v>
          </cell>
          <cell r="P375">
            <v>308</v>
          </cell>
          <cell r="T375">
            <v>906.59999999999945</v>
          </cell>
          <cell r="U375">
            <v>964.875</v>
          </cell>
          <cell r="V375">
            <v>906.59999999999945</v>
          </cell>
          <cell r="W375">
            <v>2241.1999999999994</v>
          </cell>
          <cell r="X375">
            <v>2284.3249999999994</v>
          </cell>
          <cell r="Y375">
            <v>2445.1999999999998</v>
          </cell>
        </row>
        <row r="376">
          <cell r="B376">
            <v>906.59999999999945</v>
          </cell>
          <cell r="C376">
            <v>997.24999999999909</v>
          </cell>
          <cell r="D376">
            <v>906.60000000000036</v>
          </cell>
          <cell r="E376">
            <v>-1061.7000000000007</v>
          </cell>
          <cell r="F376">
            <v>-414.20000000000073</v>
          </cell>
          <cell r="G376">
            <v>-2848.8</v>
          </cell>
          <cell r="K376">
            <v>0</v>
          </cell>
          <cell r="L376">
            <v>0</v>
          </cell>
          <cell r="M376">
            <v>0</v>
          </cell>
          <cell r="N376">
            <v>220</v>
          </cell>
          <cell r="O376">
            <v>181</v>
          </cell>
          <cell r="P376">
            <v>323</v>
          </cell>
          <cell r="T376">
            <v>906.59999999999945</v>
          </cell>
          <cell r="U376">
            <v>971.34999999999945</v>
          </cell>
          <cell r="V376">
            <v>906.59999999999945</v>
          </cell>
          <cell r="W376">
            <v>-343.39439957117042</v>
          </cell>
          <cell r="X376">
            <v>1992.2896703149013</v>
          </cell>
          <cell r="Y376">
            <v>2505.1999999999998</v>
          </cell>
        </row>
        <row r="377">
          <cell r="B377">
            <v>906.59999999999945</v>
          </cell>
          <cell r="C377">
            <v>990.77499999999964</v>
          </cell>
          <cell r="D377">
            <v>906.60000000000036</v>
          </cell>
          <cell r="E377">
            <v>-919.25</v>
          </cell>
          <cell r="F377">
            <v>-433.625</v>
          </cell>
          <cell r="G377">
            <v>-2356.6999999999998</v>
          </cell>
          <cell r="K377">
            <v>0</v>
          </cell>
          <cell r="L377">
            <v>0</v>
          </cell>
          <cell r="M377">
            <v>0</v>
          </cell>
          <cell r="N377">
            <v>203</v>
          </cell>
          <cell r="O377">
            <v>193</v>
          </cell>
          <cell r="P377">
            <v>329</v>
          </cell>
          <cell r="T377">
            <v>906.59999999999945</v>
          </cell>
          <cell r="U377">
            <v>1003.7250000000004</v>
          </cell>
          <cell r="V377">
            <v>906.59999999999945</v>
          </cell>
          <cell r="W377">
            <v>413.96640952419625</v>
          </cell>
          <cell r="X377">
            <v>2054.6996101606096</v>
          </cell>
          <cell r="Y377">
            <v>2457.1999999999998</v>
          </cell>
        </row>
        <row r="378">
          <cell r="B378">
            <v>906.59999999999945</v>
          </cell>
          <cell r="C378">
            <v>945.44999999999982</v>
          </cell>
          <cell r="D378">
            <v>906.59999999999945</v>
          </cell>
          <cell r="E378">
            <v>-1217.1000000000004</v>
          </cell>
          <cell r="F378">
            <v>-355.92500000000109</v>
          </cell>
          <cell r="G378">
            <v>-2304.9000000000005</v>
          </cell>
          <cell r="K378">
            <v>0</v>
          </cell>
          <cell r="L378">
            <v>0</v>
          </cell>
          <cell r="M378">
            <v>0</v>
          </cell>
          <cell r="N378">
            <v>243</v>
          </cell>
          <cell r="O378">
            <v>179</v>
          </cell>
          <cell r="P378">
            <v>299</v>
          </cell>
          <cell r="T378">
            <v>906.59999999999945</v>
          </cell>
          <cell r="U378">
            <v>1029.6249999999991</v>
          </cell>
          <cell r="V378">
            <v>906.59999999999945</v>
          </cell>
          <cell r="W378">
            <v>2267.1999999999989</v>
          </cell>
          <cell r="X378">
            <v>2306.3249999999994</v>
          </cell>
          <cell r="Y378">
            <v>2427.1999999999989</v>
          </cell>
        </row>
        <row r="379">
          <cell r="B379">
            <v>906.59999999999945</v>
          </cell>
          <cell r="C379">
            <v>945.44999999999891</v>
          </cell>
          <cell r="D379">
            <v>906.60000000000036</v>
          </cell>
          <cell r="E379">
            <v>-958.10000000000036</v>
          </cell>
          <cell r="F379">
            <v>-453.05000000000018</v>
          </cell>
          <cell r="G379">
            <v>-2615.6999999999998</v>
          </cell>
          <cell r="K379">
            <v>0</v>
          </cell>
          <cell r="L379">
            <v>0</v>
          </cell>
          <cell r="M379">
            <v>0</v>
          </cell>
          <cell r="N379">
            <v>208</v>
          </cell>
          <cell r="O379">
            <v>188</v>
          </cell>
          <cell r="P379">
            <v>311</v>
          </cell>
          <cell r="T379">
            <v>906.59999999999945</v>
          </cell>
          <cell r="U379">
            <v>971.34999999999854</v>
          </cell>
          <cell r="V379">
            <v>906.59999999999945</v>
          </cell>
          <cell r="W379">
            <v>2251.1999999999994</v>
          </cell>
          <cell r="X379">
            <v>1664.9451763549268</v>
          </cell>
          <cell r="Y379">
            <v>312.5405908338339</v>
          </cell>
        </row>
        <row r="380">
          <cell r="B380">
            <v>906.59999999999945</v>
          </cell>
          <cell r="C380">
            <v>964.87499999999909</v>
          </cell>
          <cell r="D380">
            <v>906.60000000000036</v>
          </cell>
          <cell r="E380">
            <v>-1359.5500000000002</v>
          </cell>
          <cell r="F380">
            <v>-498.375</v>
          </cell>
          <cell r="G380">
            <v>-2486.1999999999998</v>
          </cell>
          <cell r="K380">
            <v>0</v>
          </cell>
          <cell r="L380">
            <v>0</v>
          </cell>
          <cell r="M380">
            <v>0</v>
          </cell>
          <cell r="N380">
            <v>213</v>
          </cell>
          <cell r="O380">
            <v>189</v>
          </cell>
          <cell r="P380">
            <v>325</v>
          </cell>
          <cell r="T380">
            <v>906.59999999999945</v>
          </cell>
          <cell r="U380">
            <v>964.87499999999909</v>
          </cell>
          <cell r="V380">
            <v>906.59999999999945</v>
          </cell>
          <cell r="W380">
            <v>-32.792373760480132</v>
          </cell>
          <cell r="X380">
            <v>2205.474999999999</v>
          </cell>
          <cell r="Y380">
            <v>1863.1040222981173</v>
          </cell>
        </row>
        <row r="381">
          <cell r="B381">
            <v>906.59999999999945</v>
          </cell>
          <cell r="C381">
            <v>971.34999999999945</v>
          </cell>
          <cell r="D381">
            <v>906.59999999999945</v>
          </cell>
          <cell r="E381">
            <v>-945.15000000000055</v>
          </cell>
          <cell r="F381">
            <v>-200.52499999999964</v>
          </cell>
          <cell r="G381">
            <v>-2563.9000000000005</v>
          </cell>
          <cell r="K381">
            <v>0</v>
          </cell>
          <cell r="L381">
            <v>0</v>
          </cell>
          <cell r="M381">
            <v>0</v>
          </cell>
          <cell r="N381">
            <v>220</v>
          </cell>
          <cell r="O381">
            <v>168</v>
          </cell>
          <cell r="P381">
            <v>311</v>
          </cell>
          <cell r="T381">
            <v>906.59999999999945</v>
          </cell>
          <cell r="U381">
            <v>964.87499999999909</v>
          </cell>
          <cell r="V381">
            <v>906.60000000000036</v>
          </cell>
          <cell r="W381">
            <v>2249.1999999999994</v>
          </cell>
          <cell r="X381">
            <v>2219.3749999999991</v>
          </cell>
          <cell r="Y381">
            <v>-2304.9000000000005</v>
          </cell>
        </row>
        <row r="382">
          <cell r="B382">
            <v>906.59999999999945</v>
          </cell>
          <cell r="C382">
            <v>951.92499999999927</v>
          </cell>
          <cell r="D382">
            <v>906.60000000000036</v>
          </cell>
          <cell r="E382">
            <v>-1087.6000000000004</v>
          </cell>
          <cell r="F382">
            <v>-569.60000000000036</v>
          </cell>
          <cell r="G382">
            <v>-2395.5500000000002</v>
          </cell>
          <cell r="K382">
            <v>0</v>
          </cell>
          <cell r="L382">
            <v>0</v>
          </cell>
          <cell r="M382">
            <v>0</v>
          </cell>
          <cell r="N382">
            <v>214</v>
          </cell>
          <cell r="O382">
            <v>194</v>
          </cell>
          <cell r="P382">
            <v>329</v>
          </cell>
          <cell r="T382">
            <v>906.59999999999945</v>
          </cell>
          <cell r="U382">
            <v>938.97499999999945</v>
          </cell>
          <cell r="V382">
            <v>906.59999999999945</v>
          </cell>
          <cell r="W382">
            <v>-1087.6000000000004</v>
          </cell>
          <cell r="X382">
            <v>1549.5664942656185</v>
          </cell>
          <cell r="Y382">
            <v>2471.1999999999998</v>
          </cell>
        </row>
        <row r="383">
          <cell r="B383">
            <v>906.59999999999945</v>
          </cell>
          <cell r="C383">
            <v>977.82499999999891</v>
          </cell>
          <cell r="D383">
            <v>906.59999999999945</v>
          </cell>
          <cell r="E383">
            <v>-945.15000000000055</v>
          </cell>
          <cell r="F383">
            <v>-472.47500000000036</v>
          </cell>
          <cell r="G383">
            <v>-2201.3000000000002</v>
          </cell>
          <cell r="K383">
            <v>0</v>
          </cell>
          <cell r="L383">
            <v>0</v>
          </cell>
          <cell r="M383">
            <v>0</v>
          </cell>
          <cell r="N383">
            <v>225</v>
          </cell>
          <cell r="O383">
            <v>163</v>
          </cell>
          <cell r="P383">
            <v>336</v>
          </cell>
          <cell r="T383">
            <v>906.59999999999945</v>
          </cell>
          <cell r="U383">
            <v>1010.1999999999989</v>
          </cell>
          <cell r="V383">
            <v>906.60000000000036</v>
          </cell>
          <cell r="W383">
            <v>437.63015998901164</v>
          </cell>
          <cell r="X383">
            <v>2276.8999999999992</v>
          </cell>
          <cell r="Y383">
            <v>509.89713035813429</v>
          </cell>
        </row>
        <row r="384">
          <cell r="B384">
            <v>906.59999999999945</v>
          </cell>
          <cell r="C384">
            <v>971.34999999999945</v>
          </cell>
          <cell r="D384">
            <v>906.59999999999945</v>
          </cell>
          <cell r="E384">
            <v>-1100.5500000000002</v>
          </cell>
          <cell r="F384">
            <v>-718.52500000000055</v>
          </cell>
          <cell r="G384">
            <v>-2550.9499999999998</v>
          </cell>
          <cell r="K384">
            <v>0</v>
          </cell>
          <cell r="L384">
            <v>0</v>
          </cell>
          <cell r="M384">
            <v>0</v>
          </cell>
          <cell r="N384">
            <v>233</v>
          </cell>
          <cell r="O384">
            <v>177</v>
          </cell>
          <cell r="P384">
            <v>314</v>
          </cell>
          <cell r="T384">
            <v>906.59999999999945</v>
          </cell>
          <cell r="U384">
            <v>958.39999999999964</v>
          </cell>
          <cell r="V384">
            <v>906.59999999999945</v>
          </cell>
          <cell r="W384">
            <v>1550.6463538510106</v>
          </cell>
          <cell r="X384">
            <v>262.10133925914113</v>
          </cell>
          <cell r="Y384">
            <v>2419.1999999999989</v>
          </cell>
        </row>
        <row r="385">
          <cell r="B385">
            <v>906.59999999999945</v>
          </cell>
          <cell r="C385">
            <v>938.97500000000036</v>
          </cell>
          <cell r="D385">
            <v>906.60000000000036</v>
          </cell>
          <cell r="E385">
            <v>-1489.0500000000002</v>
          </cell>
          <cell r="F385">
            <v>-569.60000000000036</v>
          </cell>
          <cell r="G385">
            <v>-2421.4499999999998</v>
          </cell>
          <cell r="K385">
            <v>0</v>
          </cell>
          <cell r="L385">
            <v>0</v>
          </cell>
          <cell r="M385">
            <v>0</v>
          </cell>
          <cell r="N385">
            <v>224</v>
          </cell>
          <cell r="O385">
            <v>177</v>
          </cell>
          <cell r="P385">
            <v>322</v>
          </cell>
          <cell r="T385">
            <v>906.59999999999945</v>
          </cell>
          <cell r="U385">
            <v>984.29999999999927</v>
          </cell>
          <cell r="V385">
            <v>906.59999999999945</v>
          </cell>
          <cell r="W385">
            <v>2277.1999999999989</v>
          </cell>
          <cell r="X385">
            <v>2166.0499999999997</v>
          </cell>
          <cell r="Y385">
            <v>2447.1999999999998</v>
          </cell>
        </row>
        <row r="386">
          <cell r="B386">
            <v>906.59999999999945</v>
          </cell>
          <cell r="C386">
            <v>971.34999999999945</v>
          </cell>
          <cell r="D386">
            <v>906.59999999999945</v>
          </cell>
          <cell r="E386">
            <v>-1035.8000000000002</v>
          </cell>
          <cell r="F386">
            <v>-517.80000000000018</v>
          </cell>
          <cell r="G386">
            <v>-2343.75</v>
          </cell>
          <cell r="K386">
            <v>0</v>
          </cell>
          <cell r="L386">
            <v>0</v>
          </cell>
          <cell r="M386">
            <v>0</v>
          </cell>
          <cell r="N386">
            <v>245</v>
          </cell>
          <cell r="O386">
            <v>203</v>
          </cell>
          <cell r="P386">
            <v>330</v>
          </cell>
          <cell r="T386">
            <v>906.59999999999945</v>
          </cell>
          <cell r="U386">
            <v>997.25</v>
          </cell>
          <cell r="V386">
            <v>906.60000000000036</v>
          </cell>
          <cell r="W386">
            <v>2243.1999999999998</v>
          </cell>
          <cell r="X386">
            <v>2234.0500000000002</v>
          </cell>
          <cell r="Y386">
            <v>2427.1999999999989</v>
          </cell>
        </row>
        <row r="387">
          <cell r="B387">
            <v>906.59999999999945</v>
          </cell>
          <cell r="C387">
            <v>964.875</v>
          </cell>
          <cell r="D387">
            <v>906.59999999999945</v>
          </cell>
          <cell r="E387">
            <v>-1074.6500000000005</v>
          </cell>
          <cell r="F387">
            <v>-187.57500000000073</v>
          </cell>
          <cell r="G387">
            <v>-2369.6500000000005</v>
          </cell>
          <cell r="K387">
            <v>0</v>
          </cell>
          <cell r="L387">
            <v>0</v>
          </cell>
          <cell r="M387">
            <v>0</v>
          </cell>
          <cell r="N387">
            <v>215</v>
          </cell>
          <cell r="O387">
            <v>194</v>
          </cell>
          <cell r="P387">
            <v>317</v>
          </cell>
          <cell r="T387">
            <v>906.59999999999945</v>
          </cell>
          <cell r="U387">
            <v>971.34999999999945</v>
          </cell>
          <cell r="V387">
            <v>906.59999999999945</v>
          </cell>
          <cell r="W387">
            <v>2249.1999999999994</v>
          </cell>
          <cell r="X387">
            <v>1422.2712041558127</v>
          </cell>
          <cell r="Y387">
            <v>261.59387520025211</v>
          </cell>
        </row>
        <row r="388">
          <cell r="B388">
            <v>906.59999999999945</v>
          </cell>
          <cell r="C388">
            <v>964.875</v>
          </cell>
          <cell r="D388">
            <v>906.59999999999945</v>
          </cell>
          <cell r="E388">
            <v>-1100.5500000000002</v>
          </cell>
          <cell r="F388">
            <v>-336.5</v>
          </cell>
          <cell r="G388">
            <v>-2291.9499999999998</v>
          </cell>
          <cell r="K388">
            <v>0</v>
          </cell>
          <cell r="L388">
            <v>0</v>
          </cell>
          <cell r="M388">
            <v>0</v>
          </cell>
          <cell r="N388">
            <v>223</v>
          </cell>
          <cell r="O388">
            <v>184</v>
          </cell>
          <cell r="P388">
            <v>298</v>
          </cell>
          <cell r="T388">
            <v>906.59999999999945</v>
          </cell>
          <cell r="U388">
            <v>990.77499999999964</v>
          </cell>
          <cell r="V388">
            <v>906.59999999999945</v>
          </cell>
          <cell r="W388">
            <v>2261.1999999999994</v>
          </cell>
          <cell r="X388">
            <v>2240.9999999999995</v>
          </cell>
          <cell r="Y388">
            <v>2411.1999999999998</v>
          </cell>
        </row>
        <row r="389">
          <cell r="B389">
            <v>906.59999999999945</v>
          </cell>
          <cell r="C389">
            <v>1010.1999999999989</v>
          </cell>
          <cell r="D389">
            <v>906.60000000000036</v>
          </cell>
          <cell r="E389">
            <v>-737.95000000000073</v>
          </cell>
          <cell r="F389">
            <v>-414.20000000000073</v>
          </cell>
          <cell r="G389">
            <v>-2680.45</v>
          </cell>
          <cell r="K389">
            <v>0</v>
          </cell>
          <cell r="L389">
            <v>0</v>
          </cell>
          <cell r="M389">
            <v>0</v>
          </cell>
          <cell r="N389">
            <v>197</v>
          </cell>
          <cell r="O389">
            <v>178</v>
          </cell>
          <cell r="P389">
            <v>333</v>
          </cell>
          <cell r="T389">
            <v>906.59999999999945</v>
          </cell>
          <cell r="U389">
            <v>1023.1499999999996</v>
          </cell>
          <cell r="V389">
            <v>906.59999999999945</v>
          </cell>
          <cell r="W389">
            <v>2321.1999999999994</v>
          </cell>
          <cell r="X389">
            <v>2207.4749999999999</v>
          </cell>
          <cell r="Y389">
            <v>2473.1999999999998</v>
          </cell>
        </row>
        <row r="390">
          <cell r="B390">
            <v>906.59999999999945</v>
          </cell>
          <cell r="C390">
            <v>984.29999999999927</v>
          </cell>
          <cell r="D390">
            <v>906.59999999999945</v>
          </cell>
          <cell r="E390">
            <v>-1165.3000000000002</v>
          </cell>
          <cell r="F390">
            <v>-485.42500000000109</v>
          </cell>
          <cell r="G390">
            <v>-2512.1000000000004</v>
          </cell>
          <cell r="K390">
            <v>0</v>
          </cell>
          <cell r="L390">
            <v>0</v>
          </cell>
          <cell r="M390">
            <v>0</v>
          </cell>
          <cell r="N390">
            <v>222</v>
          </cell>
          <cell r="O390">
            <v>173</v>
          </cell>
          <cell r="P390">
            <v>319</v>
          </cell>
          <cell r="T390">
            <v>906.59999999999945</v>
          </cell>
          <cell r="U390">
            <v>977.82499999999891</v>
          </cell>
          <cell r="V390">
            <v>906.60000000000036</v>
          </cell>
          <cell r="W390">
            <v>2267.1999999999989</v>
          </cell>
          <cell r="X390">
            <v>-550.17500000000018</v>
          </cell>
          <cell r="Y390">
            <v>2417.1999999999989</v>
          </cell>
        </row>
        <row r="391">
          <cell r="B391">
            <v>906.59999999999945</v>
          </cell>
          <cell r="C391">
            <v>951.92500000000018</v>
          </cell>
          <cell r="D391">
            <v>906.60000000000036</v>
          </cell>
          <cell r="E391">
            <v>-1204.1500000000005</v>
          </cell>
          <cell r="F391">
            <v>-271.75</v>
          </cell>
          <cell r="G391">
            <v>-2201.3000000000002</v>
          </cell>
          <cell r="K391">
            <v>0</v>
          </cell>
          <cell r="L391">
            <v>0</v>
          </cell>
          <cell r="M391">
            <v>0</v>
          </cell>
          <cell r="N391">
            <v>224</v>
          </cell>
          <cell r="O391">
            <v>187</v>
          </cell>
          <cell r="P391">
            <v>329</v>
          </cell>
          <cell r="T391">
            <v>906.59999999999945</v>
          </cell>
          <cell r="U391">
            <v>951.92500000000018</v>
          </cell>
          <cell r="V391">
            <v>906.59999999999945</v>
          </cell>
          <cell r="W391">
            <v>2104.1235495477949</v>
          </cell>
          <cell r="X391">
            <v>2267.375</v>
          </cell>
          <cell r="Y391">
            <v>2467.1999999999998</v>
          </cell>
        </row>
        <row r="392">
          <cell r="B392">
            <v>906.59999999999945</v>
          </cell>
          <cell r="C392">
            <v>971.34999999999945</v>
          </cell>
          <cell r="D392">
            <v>906.59999999999945</v>
          </cell>
          <cell r="E392">
            <v>-1359.5500000000002</v>
          </cell>
          <cell r="F392">
            <v>-245.85000000000036</v>
          </cell>
          <cell r="G392">
            <v>-2110.6500000000005</v>
          </cell>
          <cell r="K392">
            <v>0</v>
          </cell>
          <cell r="L392">
            <v>0</v>
          </cell>
          <cell r="M392">
            <v>0</v>
          </cell>
          <cell r="N392">
            <v>228</v>
          </cell>
          <cell r="O392">
            <v>196</v>
          </cell>
          <cell r="P392">
            <v>337</v>
          </cell>
          <cell r="T392">
            <v>906.59999999999945</v>
          </cell>
          <cell r="U392">
            <v>964.87499999999909</v>
          </cell>
          <cell r="V392">
            <v>906.59999999999945</v>
          </cell>
          <cell r="W392">
            <v>2275.1999999999998</v>
          </cell>
          <cell r="X392">
            <v>2165.474999999999</v>
          </cell>
          <cell r="Y392">
            <v>2225.1768064160688</v>
          </cell>
        </row>
        <row r="393">
          <cell r="B393">
            <v>906.59999999999945</v>
          </cell>
          <cell r="C393">
            <v>958.39999999999964</v>
          </cell>
          <cell r="D393">
            <v>906.59999999999945</v>
          </cell>
          <cell r="E393">
            <v>-1113.5</v>
          </cell>
          <cell r="F393">
            <v>-634.35000000000036</v>
          </cell>
          <cell r="G393">
            <v>-2421.4499999999998</v>
          </cell>
          <cell r="K393">
            <v>0</v>
          </cell>
          <cell r="L393">
            <v>0</v>
          </cell>
          <cell r="M393">
            <v>0</v>
          </cell>
          <cell r="N393">
            <v>231</v>
          </cell>
          <cell r="O393">
            <v>181</v>
          </cell>
          <cell r="P393">
            <v>328</v>
          </cell>
          <cell r="T393">
            <v>906.59999999999945</v>
          </cell>
          <cell r="U393">
            <v>1003.7249999999995</v>
          </cell>
          <cell r="V393">
            <v>906.59999999999945</v>
          </cell>
          <cell r="W393">
            <v>2307.1999999999989</v>
          </cell>
          <cell r="X393">
            <v>2057.0651658185839</v>
          </cell>
          <cell r="Y393">
            <v>2483.1999999999998</v>
          </cell>
        </row>
        <row r="394">
          <cell r="B394">
            <v>906.59999999999945</v>
          </cell>
          <cell r="C394">
            <v>971.34999999999945</v>
          </cell>
          <cell r="D394">
            <v>906.59999999999945</v>
          </cell>
          <cell r="E394">
            <v>-1191.2000000000007</v>
          </cell>
          <cell r="F394">
            <v>-498.375</v>
          </cell>
          <cell r="G394">
            <v>-2486.1999999999998</v>
          </cell>
          <cell r="K394">
            <v>0</v>
          </cell>
          <cell r="L394">
            <v>0</v>
          </cell>
          <cell r="M394">
            <v>0</v>
          </cell>
          <cell r="N394">
            <v>233</v>
          </cell>
          <cell r="O394">
            <v>194</v>
          </cell>
          <cell r="P394">
            <v>336</v>
          </cell>
          <cell r="T394">
            <v>906.59999999999945</v>
          </cell>
          <cell r="U394">
            <v>971.34999999999945</v>
          </cell>
          <cell r="V394">
            <v>906.59999999999945</v>
          </cell>
          <cell r="W394">
            <v>2257.1999999999989</v>
          </cell>
          <cell r="X394">
            <v>938.87239548653724</v>
          </cell>
          <cell r="Y394">
            <v>2437.1999999999989</v>
          </cell>
        </row>
        <row r="395">
          <cell r="B395">
            <v>906.59999999999945</v>
          </cell>
          <cell r="C395">
            <v>971.34999999999854</v>
          </cell>
          <cell r="D395">
            <v>906.60000000000036</v>
          </cell>
          <cell r="E395">
            <v>-1243</v>
          </cell>
          <cell r="F395">
            <v>-258.80000000000018</v>
          </cell>
          <cell r="G395">
            <v>-2382.6000000000004</v>
          </cell>
          <cell r="K395">
            <v>0</v>
          </cell>
          <cell r="L395">
            <v>0</v>
          </cell>
          <cell r="M395">
            <v>0</v>
          </cell>
          <cell r="N395">
            <v>241</v>
          </cell>
          <cell r="O395">
            <v>206</v>
          </cell>
          <cell r="P395">
            <v>346</v>
          </cell>
          <cell r="T395">
            <v>906.59999999999945</v>
          </cell>
          <cell r="U395">
            <v>990.77499999999964</v>
          </cell>
          <cell r="V395">
            <v>906.59999999999945</v>
          </cell>
          <cell r="W395">
            <v>-796.83897213336024</v>
          </cell>
          <cell r="X395">
            <v>2239.474999999999</v>
          </cell>
          <cell r="Y395">
            <v>2501.1999999999998</v>
          </cell>
        </row>
        <row r="396">
          <cell r="B396">
            <v>906.59999999999945</v>
          </cell>
          <cell r="C396">
            <v>951.92499999999927</v>
          </cell>
          <cell r="D396">
            <v>906.60000000000036</v>
          </cell>
          <cell r="E396">
            <v>-1333.6500000000005</v>
          </cell>
          <cell r="F396">
            <v>-342.97500000000036</v>
          </cell>
          <cell r="G396">
            <v>-2395.5500000000002</v>
          </cell>
          <cell r="K396">
            <v>0</v>
          </cell>
          <cell r="L396">
            <v>0</v>
          </cell>
          <cell r="M396">
            <v>0</v>
          </cell>
          <cell r="N396">
            <v>233</v>
          </cell>
          <cell r="O396">
            <v>190</v>
          </cell>
          <cell r="P396">
            <v>312</v>
          </cell>
          <cell r="T396">
            <v>906.59999999999945</v>
          </cell>
          <cell r="U396">
            <v>971.35000000000036</v>
          </cell>
          <cell r="V396">
            <v>906.60000000000036</v>
          </cell>
          <cell r="W396">
            <v>2245.1999999999998</v>
          </cell>
          <cell r="X396">
            <v>2272.8999999999996</v>
          </cell>
          <cell r="Y396">
            <v>2489.1999999999989</v>
          </cell>
        </row>
        <row r="397">
          <cell r="B397">
            <v>906.59999999999945</v>
          </cell>
          <cell r="C397">
            <v>945.44999999999982</v>
          </cell>
          <cell r="D397">
            <v>906.60000000000036</v>
          </cell>
          <cell r="E397">
            <v>-1281.8500000000004</v>
          </cell>
          <cell r="F397">
            <v>-401.25</v>
          </cell>
          <cell r="G397">
            <v>-2304.9000000000005</v>
          </cell>
          <cell r="K397">
            <v>0</v>
          </cell>
          <cell r="L397">
            <v>0</v>
          </cell>
          <cell r="M397">
            <v>3</v>
          </cell>
          <cell r="N397">
            <v>246</v>
          </cell>
          <cell r="O397">
            <v>182</v>
          </cell>
          <cell r="P397">
            <v>328</v>
          </cell>
          <cell r="T397">
            <v>906.59999999999945</v>
          </cell>
          <cell r="U397">
            <v>997.25</v>
          </cell>
          <cell r="V397">
            <v>906.60000000000036</v>
          </cell>
          <cell r="W397">
            <v>2245.1999999999998</v>
          </cell>
          <cell r="X397">
            <v>2291.7499999999991</v>
          </cell>
          <cell r="Y397">
            <v>2431.1999999999998</v>
          </cell>
        </row>
        <row r="398">
          <cell r="B398">
            <v>906.59999999999945</v>
          </cell>
          <cell r="C398">
            <v>1016.6749999999993</v>
          </cell>
          <cell r="D398">
            <v>906.60000000000036</v>
          </cell>
          <cell r="E398">
            <v>-1217.1000000000004</v>
          </cell>
          <cell r="F398">
            <v>-336.5</v>
          </cell>
          <cell r="G398">
            <v>-2525.0500000000002</v>
          </cell>
          <cell r="K398">
            <v>0</v>
          </cell>
          <cell r="L398">
            <v>0</v>
          </cell>
          <cell r="M398">
            <v>0</v>
          </cell>
          <cell r="N398">
            <v>228</v>
          </cell>
          <cell r="O398">
            <v>195</v>
          </cell>
          <cell r="P398">
            <v>329</v>
          </cell>
          <cell r="T398">
            <v>906.59999999999945</v>
          </cell>
          <cell r="U398">
            <v>971.35000000000036</v>
          </cell>
          <cell r="V398">
            <v>906.60000000000036</v>
          </cell>
          <cell r="W398">
            <v>2265.1999999999998</v>
          </cell>
          <cell r="X398">
            <v>2299.75</v>
          </cell>
          <cell r="Y398">
            <v>2455.1999999999998</v>
          </cell>
        </row>
        <row r="399">
          <cell r="B399">
            <v>906.59999999999945</v>
          </cell>
          <cell r="C399">
            <v>958.39999999999964</v>
          </cell>
          <cell r="D399">
            <v>906.59999999999945</v>
          </cell>
          <cell r="E399">
            <v>-1320.7000000000007</v>
          </cell>
          <cell r="F399">
            <v>-556.64999999999964</v>
          </cell>
          <cell r="G399">
            <v>-2175.4000000000005</v>
          </cell>
          <cell r="K399">
            <v>0</v>
          </cell>
          <cell r="L399">
            <v>0</v>
          </cell>
          <cell r="M399">
            <v>0</v>
          </cell>
          <cell r="N399">
            <v>227</v>
          </cell>
          <cell r="O399">
            <v>193</v>
          </cell>
          <cell r="P399">
            <v>296</v>
          </cell>
          <cell r="T399">
            <v>906.59999999999945</v>
          </cell>
          <cell r="U399">
            <v>964.875</v>
          </cell>
          <cell r="V399">
            <v>906.59999999999945</v>
          </cell>
          <cell r="W399">
            <v>1666.3780817460802</v>
          </cell>
          <cell r="X399">
            <v>1885.2371995997896</v>
          </cell>
          <cell r="Y399">
            <v>-383.88794337619288</v>
          </cell>
        </row>
        <row r="400">
          <cell r="B400">
            <v>906.59999999999945</v>
          </cell>
          <cell r="C400">
            <v>938.97499999999945</v>
          </cell>
          <cell r="D400">
            <v>906.59999999999945</v>
          </cell>
          <cell r="E400">
            <v>-932.20000000000073</v>
          </cell>
          <cell r="F400">
            <v>-524.27499999999964</v>
          </cell>
          <cell r="G400">
            <v>-2201.3000000000002</v>
          </cell>
          <cell r="K400">
            <v>0</v>
          </cell>
          <cell r="L400">
            <v>0</v>
          </cell>
          <cell r="M400">
            <v>0</v>
          </cell>
          <cell r="N400">
            <v>211</v>
          </cell>
          <cell r="O400">
            <v>166</v>
          </cell>
          <cell r="P400">
            <v>305</v>
          </cell>
          <cell r="T400">
            <v>906.59999999999945</v>
          </cell>
          <cell r="U400">
            <v>971.34999999999945</v>
          </cell>
          <cell r="V400">
            <v>906.60000000000036</v>
          </cell>
          <cell r="W400">
            <v>-1100.5500000000002</v>
          </cell>
          <cell r="X400">
            <v>2258.4249999999997</v>
          </cell>
          <cell r="Y400">
            <v>-2214.25</v>
          </cell>
        </row>
        <row r="401">
          <cell r="B401">
            <v>906.59999999999945</v>
          </cell>
          <cell r="C401">
            <v>958.39999999999964</v>
          </cell>
          <cell r="D401">
            <v>906.59999999999945</v>
          </cell>
          <cell r="E401">
            <v>-1100.5500000000002</v>
          </cell>
          <cell r="F401">
            <v>-504.85000000000036</v>
          </cell>
          <cell r="G401">
            <v>-2097.7000000000007</v>
          </cell>
          <cell r="K401">
            <v>0</v>
          </cell>
          <cell r="L401">
            <v>0</v>
          </cell>
          <cell r="M401">
            <v>0</v>
          </cell>
          <cell r="N401">
            <v>252</v>
          </cell>
          <cell r="O401">
            <v>171</v>
          </cell>
          <cell r="P401">
            <v>355</v>
          </cell>
          <cell r="T401">
            <v>906.59999999999945</v>
          </cell>
          <cell r="U401">
            <v>932.5</v>
          </cell>
          <cell r="V401">
            <v>906.59999999999945</v>
          </cell>
          <cell r="W401">
            <v>2291.1999999999994</v>
          </cell>
          <cell r="X401">
            <v>-336.5</v>
          </cell>
          <cell r="Y401">
            <v>2411.1999999999998</v>
          </cell>
        </row>
        <row r="402">
          <cell r="B402">
            <v>906.59999999999945</v>
          </cell>
          <cell r="C402">
            <v>1010.1999999999989</v>
          </cell>
          <cell r="D402">
            <v>906.60000000000036</v>
          </cell>
          <cell r="E402">
            <v>-1333.6500000000005</v>
          </cell>
          <cell r="F402">
            <v>-466</v>
          </cell>
          <cell r="G402">
            <v>-2123.6000000000004</v>
          </cell>
          <cell r="K402">
            <v>0</v>
          </cell>
          <cell r="L402">
            <v>0</v>
          </cell>
          <cell r="M402">
            <v>0</v>
          </cell>
          <cell r="N402">
            <v>225</v>
          </cell>
          <cell r="O402">
            <v>172</v>
          </cell>
          <cell r="P402">
            <v>317</v>
          </cell>
          <cell r="T402">
            <v>906.59999999999945</v>
          </cell>
          <cell r="U402">
            <v>964.875</v>
          </cell>
          <cell r="V402">
            <v>906.59999999999945</v>
          </cell>
          <cell r="W402">
            <v>2210.6470870265989</v>
          </cell>
          <cell r="X402">
            <v>2175.5749999999998</v>
          </cell>
          <cell r="Y402">
            <v>2455.1999999999998</v>
          </cell>
        </row>
        <row r="403">
          <cell r="B403">
            <v>906.59999999999945</v>
          </cell>
          <cell r="C403">
            <v>945.44999999999982</v>
          </cell>
          <cell r="D403">
            <v>906.60000000000036</v>
          </cell>
          <cell r="E403">
            <v>-880.40000000000055</v>
          </cell>
          <cell r="F403">
            <v>-414.20000000000073</v>
          </cell>
          <cell r="G403">
            <v>-2240.1500000000005</v>
          </cell>
          <cell r="K403">
            <v>0</v>
          </cell>
          <cell r="L403">
            <v>0</v>
          </cell>
          <cell r="M403">
            <v>0</v>
          </cell>
          <cell r="N403">
            <v>220</v>
          </cell>
          <cell r="O403">
            <v>197</v>
          </cell>
          <cell r="P403">
            <v>305</v>
          </cell>
          <cell r="T403">
            <v>906.59999999999945</v>
          </cell>
          <cell r="U403">
            <v>958.39999999999964</v>
          </cell>
          <cell r="V403">
            <v>906.60000000000036</v>
          </cell>
          <cell r="W403">
            <v>1352.9538983210218</v>
          </cell>
          <cell r="X403">
            <v>2303.2749999999996</v>
          </cell>
          <cell r="Y403">
            <v>2499.1999999999989</v>
          </cell>
        </row>
        <row r="404">
          <cell r="B404">
            <v>906.59999999999945</v>
          </cell>
          <cell r="C404">
            <v>958.39999999999964</v>
          </cell>
          <cell r="D404">
            <v>906.59999999999945</v>
          </cell>
          <cell r="E404">
            <v>-1307.75</v>
          </cell>
          <cell r="F404">
            <v>-776.80000000000109</v>
          </cell>
          <cell r="G404">
            <v>-2304.9000000000005</v>
          </cell>
          <cell r="K404">
            <v>0</v>
          </cell>
          <cell r="L404">
            <v>0</v>
          </cell>
          <cell r="M404">
            <v>0</v>
          </cell>
          <cell r="N404">
            <v>208</v>
          </cell>
          <cell r="O404">
            <v>198</v>
          </cell>
          <cell r="P404">
            <v>322</v>
          </cell>
          <cell r="T404">
            <v>906.59999999999945</v>
          </cell>
          <cell r="U404">
            <v>971.34999999999945</v>
          </cell>
          <cell r="V404">
            <v>906.59999999999945</v>
          </cell>
          <cell r="W404">
            <v>2275.1999999999998</v>
          </cell>
          <cell r="X404">
            <v>-249.95390899983104</v>
          </cell>
          <cell r="Y404">
            <v>2467.1999999999998</v>
          </cell>
        </row>
        <row r="405">
          <cell r="B405">
            <v>906.59999999999945</v>
          </cell>
          <cell r="C405">
            <v>971.34999999999945</v>
          </cell>
          <cell r="D405">
            <v>880.69999999999982</v>
          </cell>
          <cell r="E405">
            <v>-828.60000000000036</v>
          </cell>
          <cell r="F405">
            <v>-336.5</v>
          </cell>
          <cell r="G405">
            <v>-2408.5</v>
          </cell>
          <cell r="K405">
            <v>0</v>
          </cell>
          <cell r="L405">
            <v>0</v>
          </cell>
          <cell r="M405">
            <v>0</v>
          </cell>
          <cell r="N405">
            <v>213</v>
          </cell>
          <cell r="O405">
            <v>163</v>
          </cell>
          <cell r="P405">
            <v>323</v>
          </cell>
          <cell r="T405">
            <v>906.59999999999945</v>
          </cell>
          <cell r="U405">
            <v>1003.7249999999985</v>
          </cell>
          <cell r="V405">
            <v>906.59999999999945</v>
          </cell>
          <cell r="W405">
            <v>2203.1999999999998</v>
          </cell>
          <cell r="X405">
            <v>2265.9499999999994</v>
          </cell>
          <cell r="Y405">
            <v>2439.1999999999989</v>
          </cell>
        </row>
        <row r="406">
          <cell r="B406">
            <v>906.59999999999945</v>
          </cell>
          <cell r="C406">
            <v>958.39999999999873</v>
          </cell>
          <cell r="D406">
            <v>906.60000000000036</v>
          </cell>
          <cell r="E406">
            <v>-1346.6000000000004</v>
          </cell>
          <cell r="F406">
            <v>-446.57500000000073</v>
          </cell>
          <cell r="G406">
            <v>-2007.0500000000002</v>
          </cell>
          <cell r="K406">
            <v>0</v>
          </cell>
          <cell r="L406">
            <v>0</v>
          </cell>
          <cell r="M406">
            <v>0</v>
          </cell>
          <cell r="N406">
            <v>226</v>
          </cell>
          <cell r="O406">
            <v>166</v>
          </cell>
          <cell r="P406">
            <v>315</v>
          </cell>
          <cell r="T406">
            <v>906.59999999999945</v>
          </cell>
          <cell r="U406">
            <v>932.5</v>
          </cell>
          <cell r="V406">
            <v>906.59999999999945</v>
          </cell>
          <cell r="W406">
            <v>-1255.9500000000007</v>
          </cell>
          <cell r="X406">
            <v>2206.9999999999991</v>
          </cell>
          <cell r="Y406">
            <v>-872.33599895781845</v>
          </cell>
        </row>
        <row r="407">
          <cell r="B407">
            <v>906.59999999999945</v>
          </cell>
          <cell r="C407">
            <v>958.39999999999964</v>
          </cell>
          <cell r="D407">
            <v>919.54999999999927</v>
          </cell>
          <cell r="E407">
            <v>-1385.4500000000007</v>
          </cell>
          <cell r="F407">
            <v>-640.82500000000073</v>
          </cell>
          <cell r="G407">
            <v>-2317.8500000000004</v>
          </cell>
          <cell r="K407">
            <v>0</v>
          </cell>
          <cell r="L407">
            <v>0</v>
          </cell>
          <cell r="M407">
            <v>0</v>
          </cell>
          <cell r="N407">
            <v>225</v>
          </cell>
          <cell r="O407">
            <v>192</v>
          </cell>
          <cell r="P407">
            <v>302</v>
          </cell>
          <cell r="T407">
            <v>906.59999999999945</v>
          </cell>
          <cell r="U407">
            <v>951.92499999999927</v>
          </cell>
          <cell r="V407">
            <v>906.59999999999945</v>
          </cell>
          <cell r="W407">
            <v>2259.1999999999994</v>
          </cell>
          <cell r="X407">
            <v>1474.0915625265332</v>
          </cell>
          <cell r="Y407">
            <v>1707.3389637207224</v>
          </cell>
        </row>
        <row r="408">
          <cell r="B408">
            <v>906.59999999999945</v>
          </cell>
          <cell r="C408">
            <v>997.24999999999909</v>
          </cell>
          <cell r="D408">
            <v>919.54999999999927</v>
          </cell>
          <cell r="E408">
            <v>-1126.4500000000007</v>
          </cell>
          <cell r="F408">
            <v>-737.95000000000073</v>
          </cell>
          <cell r="G408">
            <v>-2304.9000000000005</v>
          </cell>
          <cell r="K408">
            <v>0</v>
          </cell>
          <cell r="L408">
            <v>0</v>
          </cell>
          <cell r="M408">
            <v>0</v>
          </cell>
          <cell r="N408">
            <v>212</v>
          </cell>
          <cell r="O408">
            <v>183</v>
          </cell>
          <cell r="P408">
            <v>298</v>
          </cell>
          <cell r="T408">
            <v>906.59999999999945</v>
          </cell>
          <cell r="U408">
            <v>938.97499999999945</v>
          </cell>
          <cell r="V408">
            <v>906.59999999999945</v>
          </cell>
          <cell r="W408">
            <v>2237.1999999999989</v>
          </cell>
          <cell r="X408">
            <v>2225.9499999999994</v>
          </cell>
          <cell r="Y408">
            <v>578.56790239011389</v>
          </cell>
        </row>
        <row r="409">
          <cell r="B409">
            <v>906.59999999999945</v>
          </cell>
          <cell r="C409">
            <v>1003.7249999999985</v>
          </cell>
          <cell r="D409">
            <v>906.60000000000036</v>
          </cell>
          <cell r="E409">
            <v>-867.45000000000073</v>
          </cell>
          <cell r="F409">
            <v>-653.77500000000055</v>
          </cell>
          <cell r="G409">
            <v>-1709.2000000000007</v>
          </cell>
          <cell r="K409">
            <v>0</v>
          </cell>
          <cell r="L409">
            <v>0</v>
          </cell>
          <cell r="M409">
            <v>0</v>
          </cell>
          <cell r="N409">
            <v>195</v>
          </cell>
          <cell r="O409">
            <v>195</v>
          </cell>
          <cell r="P409">
            <v>323</v>
          </cell>
          <cell r="T409">
            <v>906.59999999999945</v>
          </cell>
          <cell r="U409">
            <v>958.39999999999964</v>
          </cell>
          <cell r="V409">
            <v>906.60000000000036</v>
          </cell>
          <cell r="W409">
            <v>2265.1999999999998</v>
          </cell>
          <cell r="X409">
            <v>433.60237472517701</v>
          </cell>
          <cell r="Y409">
            <v>346.43003633811668</v>
          </cell>
        </row>
        <row r="410">
          <cell r="B410">
            <v>906.59999999999945</v>
          </cell>
          <cell r="C410">
            <v>971.34999999999945</v>
          </cell>
          <cell r="D410">
            <v>906.59999999999945</v>
          </cell>
          <cell r="E410">
            <v>-984</v>
          </cell>
          <cell r="F410">
            <v>-239.375</v>
          </cell>
          <cell r="G410">
            <v>-2732.25</v>
          </cell>
          <cell r="K410">
            <v>0</v>
          </cell>
          <cell r="L410">
            <v>0</v>
          </cell>
          <cell r="M410">
            <v>0</v>
          </cell>
          <cell r="N410">
            <v>241</v>
          </cell>
          <cell r="O410">
            <v>178</v>
          </cell>
          <cell r="P410">
            <v>311</v>
          </cell>
          <cell r="T410">
            <v>906.59999999999945</v>
          </cell>
          <cell r="U410">
            <v>964.875</v>
          </cell>
          <cell r="V410">
            <v>906.59999999999945</v>
          </cell>
          <cell r="W410">
            <v>2267.1999999999989</v>
          </cell>
          <cell r="X410">
            <v>2167.4956405613848</v>
          </cell>
          <cell r="Y410">
            <v>2399.1999999999989</v>
          </cell>
        </row>
        <row r="411">
          <cell r="B411">
            <v>906.59999999999945</v>
          </cell>
          <cell r="C411">
            <v>984.30000000000018</v>
          </cell>
          <cell r="D411">
            <v>906.59999999999945</v>
          </cell>
          <cell r="E411">
            <v>-1126.4500000000007</v>
          </cell>
          <cell r="F411">
            <v>-485.42500000000109</v>
          </cell>
          <cell r="G411">
            <v>-2343.75</v>
          </cell>
          <cell r="K411">
            <v>0</v>
          </cell>
          <cell r="L411">
            <v>0</v>
          </cell>
          <cell r="M411">
            <v>0</v>
          </cell>
          <cell r="N411">
            <v>216</v>
          </cell>
          <cell r="O411">
            <v>148</v>
          </cell>
          <cell r="P411">
            <v>310</v>
          </cell>
          <cell r="T411">
            <v>906.59999999999945</v>
          </cell>
          <cell r="U411">
            <v>964.87499999999909</v>
          </cell>
          <cell r="V411">
            <v>906.59999999999945</v>
          </cell>
          <cell r="W411">
            <v>2303.1999999999998</v>
          </cell>
          <cell r="X411">
            <v>2247.375</v>
          </cell>
          <cell r="Y411">
            <v>-1044.6324804698347</v>
          </cell>
        </row>
        <row r="412">
          <cell r="B412">
            <v>906.59999999999945</v>
          </cell>
          <cell r="C412">
            <v>938.97499999999854</v>
          </cell>
          <cell r="D412">
            <v>906.60000000000036</v>
          </cell>
          <cell r="E412">
            <v>-634.35000000000036</v>
          </cell>
          <cell r="F412">
            <v>-608.45000000000073</v>
          </cell>
          <cell r="G412">
            <v>-2291.9499999999998</v>
          </cell>
          <cell r="K412">
            <v>0</v>
          </cell>
          <cell r="L412">
            <v>0</v>
          </cell>
          <cell r="M412">
            <v>0</v>
          </cell>
          <cell r="N412">
            <v>216</v>
          </cell>
          <cell r="O412">
            <v>192</v>
          </cell>
          <cell r="P412">
            <v>331</v>
          </cell>
          <cell r="T412">
            <v>906.59999999999945</v>
          </cell>
          <cell r="U412">
            <v>984.30000000000018</v>
          </cell>
          <cell r="V412">
            <v>906.60000000000036</v>
          </cell>
          <cell r="W412">
            <v>381.1742387672989</v>
          </cell>
          <cell r="X412">
            <v>2270.4249999999988</v>
          </cell>
          <cell r="Y412">
            <v>2463.1999999999998</v>
          </cell>
        </row>
        <row r="413">
          <cell r="B413">
            <v>906.59999999999945</v>
          </cell>
          <cell r="C413">
            <v>997.25</v>
          </cell>
          <cell r="D413">
            <v>906.60000000000036</v>
          </cell>
          <cell r="E413">
            <v>-1074.6500000000005</v>
          </cell>
          <cell r="F413">
            <v>-517.80000000000109</v>
          </cell>
          <cell r="G413">
            <v>-2317.8500000000004</v>
          </cell>
          <cell r="K413">
            <v>0</v>
          </cell>
          <cell r="L413">
            <v>0</v>
          </cell>
          <cell r="M413">
            <v>4</v>
          </cell>
          <cell r="N413">
            <v>203</v>
          </cell>
          <cell r="O413">
            <v>156</v>
          </cell>
          <cell r="P413">
            <v>306</v>
          </cell>
          <cell r="T413">
            <v>906.59999999999945</v>
          </cell>
          <cell r="U413">
            <v>977.82499999999982</v>
          </cell>
          <cell r="V413">
            <v>906.60000000000036</v>
          </cell>
          <cell r="W413">
            <v>2229.1999999999994</v>
          </cell>
          <cell r="X413">
            <v>2219.474999999999</v>
          </cell>
          <cell r="Y413">
            <v>2465.1999999999998</v>
          </cell>
        </row>
        <row r="414">
          <cell r="B414">
            <v>906.59999999999945</v>
          </cell>
          <cell r="C414">
            <v>984.29999999999927</v>
          </cell>
          <cell r="D414">
            <v>906.60000000000036</v>
          </cell>
          <cell r="E414">
            <v>-945.15000000000055</v>
          </cell>
          <cell r="F414">
            <v>-414.20000000000073</v>
          </cell>
          <cell r="G414">
            <v>-2149.5</v>
          </cell>
          <cell r="K414">
            <v>0</v>
          </cell>
          <cell r="L414">
            <v>0</v>
          </cell>
          <cell r="M414">
            <v>0</v>
          </cell>
          <cell r="N414">
            <v>225</v>
          </cell>
          <cell r="O414">
            <v>174</v>
          </cell>
          <cell r="P414">
            <v>321</v>
          </cell>
          <cell r="T414">
            <v>906.59999999999945</v>
          </cell>
          <cell r="U414">
            <v>977.82499999999982</v>
          </cell>
          <cell r="V414">
            <v>906.59999999999945</v>
          </cell>
          <cell r="W414">
            <v>2271.1999999999994</v>
          </cell>
          <cell r="X414">
            <v>2231.9499999999994</v>
          </cell>
          <cell r="Y414">
            <v>2487.1999999999998</v>
          </cell>
        </row>
        <row r="415">
          <cell r="B415">
            <v>906.59999999999945</v>
          </cell>
          <cell r="C415">
            <v>1010.1999999999989</v>
          </cell>
          <cell r="D415">
            <v>906.59999999999945</v>
          </cell>
          <cell r="E415">
            <v>-1204.1500000000005</v>
          </cell>
          <cell r="F415">
            <v>-342.97500000000036</v>
          </cell>
          <cell r="G415">
            <v>-2149.5</v>
          </cell>
          <cell r="K415">
            <v>0</v>
          </cell>
          <cell r="L415">
            <v>0</v>
          </cell>
          <cell r="M415">
            <v>0</v>
          </cell>
          <cell r="N415">
            <v>223</v>
          </cell>
          <cell r="O415">
            <v>185</v>
          </cell>
          <cell r="P415">
            <v>323</v>
          </cell>
          <cell r="T415">
            <v>906.59999999999945</v>
          </cell>
          <cell r="U415">
            <v>971.35000000000036</v>
          </cell>
          <cell r="V415">
            <v>906.59999999999945</v>
          </cell>
          <cell r="W415">
            <v>-1311.5802098515605</v>
          </cell>
          <cell r="X415">
            <v>2266.8999999999992</v>
          </cell>
          <cell r="Y415">
            <v>-599.42938108935937</v>
          </cell>
        </row>
        <row r="416">
          <cell r="B416">
            <v>906.59999999999945</v>
          </cell>
          <cell r="C416">
            <v>964.87499999999909</v>
          </cell>
          <cell r="D416">
            <v>906.59999999999945</v>
          </cell>
          <cell r="E416">
            <v>-971.05000000000018</v>
          </cell>
          <cell r="F416">
            <v>-381.82500000000073</v>
          </cell>
          <cell r="G416">
            <v>-2240.1500000000005</v>
          </cell>
          <cell r="K416">
            <v>0</v>
          </cell>
          <cell r="L416">
            <v>0</v>
          </cell>
          <cell r="M416">
            <v>0</v>
          </cell>
          <cell r="N416">
            <v>224</v>
          </cell>
          <cell r="O416">
            <v>176</v>
          </cell>
          <cell r="P416">
            <v>306</v>
          </cell>
          <cell r="T416">
            <v>906.59999999999945</v>
          </cell>
          <cell r="U416">
            <v>958.39999999999964</v>
          </cell>
          <cell r="V416">
            <v>906.59999999999945</v>
          </cell>
          <cell r="W416">
            <v>2211.1999999999994</v>
          </cell>
          <cell r="X416">
            <v>2229.85</v>
          </cell>
          <cell r="Y416">
            <v>2429.1999999999989</v>
          </cell>
        </row>
        <row r="417">
          <cell r="B417">
            <v>906.59999999999945</v>
          </cell>
          <cell r="C417">
            <v>990.77499999999964</v>
          </cell>
          <cell r="D417">
            <v>906.60000000000036</v>
          </cell>
          <cell r="E417">
            <v>-1437.25</v>
          </cell>
          <cell r="F417">
            <v>-355.92500000000018</v>
          </cell>
          <cell r="G417">
            <v>-2434.4000000000005</v>
          </cell>
          <cell r="K417">
            <v>0</v>
          </cell>
          <cell r="L417">
            <v>0</v>
          </cell>
          <cell r="M417">
            <v>0</v>
          </cell>
          <cell r="N417">
            <v>223</v>
          </cell>
          <cell r="O417">
            <v>174</v>
          </cell>
          <cell r="P417">
            <v>329</v>
          </cell>
          <cell r="T417">
            <v>906.59999999999945</v>
          </cell>
          <cell r="U417">
            <v>977.82499999999891</v>
          </cell>
          <cell r="V417">
            <v>906.60000000000036</v>
          </cell>
          <cell r="W417">
            <v>2179.1999999999994</v>
          </cell>
          <cell r="X417">
            <v>2236.5249999999992</v>
          </cell>
          <cell r="Y417">
            <v>2457.1999999999998</v>
          </cell>
        </row>
        <row r="418">
          <cell r="B418">
            <v>906.59999999999945</v>
          </cell>
          <cell r="C418">
            <v>938.97500000000036</v>
          </cell>
          <cell r="D418">
            <v>906.60000000000036</v>
          </cell>
          <cell r="E418">
            <v>-1048.75</v>
          </cell>
          <cell r="F418">
            <v>-239.375</v>
          </cell>
          <cell r="G418">
            <v>-2162.4500000000007</v>
          </cell>
          <cell r="K418">
            <v>0</v>
          </cell>
          <cell r="L418">
            <v>0</v>
          </cell>
          <cell r="M418">
            <v>0</v>
          </cell>
          <cell r="N418">
            <v>230</v>
          </cell>
          <cell r="O418">
            <v>190</v>
          </cell>
          <cell r="P418">
            <v>299</v>
          </cell>
          <cell r="T418">
            <v>906.59999999999945</v>
          </cell>
          <cell r="U418">
            <v>945.44999999999891</v>
          </cell>
          <cell r="V418">
            <v>906.59999999999945</v>
          </cell>
          <cell r="W418">
            <v>1613.5947846986251</v>
          </cell>
          <cell r="X418">
            <v>2216.8999999999992</v>
          </cell>
          <cell r="Y418">
            <v>2425.1999999999998</v>
          </cell>
        </row>
        <row r="419">
          <cell r="B419">
            <v>906.59999999999945</v>
          </cell>
          <cell r="C419">
            <v>945.44999999999982</v>
          </cell>
          <cell r="D419">
            <v>906.60000000000036</v>
          </cell>
          <cell r="E419">
            <v>-1204.1500000000005</v>
          </cell>
          <cell r="F419">
            <v>-414.20000000000073</v>
          </cell>
          <cell r="G419">
            <v>-2382.6000000000004</v>
          </cell>
          <cell r="K419">
            <v>0</v>
          </cell>
          <cell r="L419">
            <v>0</v>
          </cell>
          <cell r="M419">
            <v>0</v>
          </cell>
          <cell r="N419">
            <v>223</v>
          </cell>
          <cell r="O419">
            <v>168</v>
          </cell>
          <cell r="P419">
            <v>298</v>
          </cell>
          <cell r="T419">
            <v>906.59999999999945</v>
          </cell>
          <cell r="U419">
            <v>977.82499999999891</v>
          </cell>
          <cell r="V419">
            <v>906.60000000000036</v>
          </cell>
          <cell r="W419">
            <v>2241.1999999999994</v>
          </cell>
          <cell r="X419">
            <v>2191.4750000000004</v>
          </cell>
          <cell r="Y419">
            <v>2435.1999999999998</v>
          </cell>
        </row>
        <row r="420">
          <cell r="B420">
            <v>906.59999999999945</v>
          </cell>
          <cell r="C420">
            <v>958.39999999999873</v>
          </cell>
          <cell r="D420">
            <v>906.59999999999945</v>
          </cell>
          <cell r="E420">
            <v>-1152.3500000000004</v>
          </cell>
          <cell r="F420">
            <v>-304.125</v>
          </cell>
          <cell r="G420">
            <v>-2395.5500000000002</v>
          </cell>
          <cell r="K420">
            <v>0</v>
          </cell>
          <cell r="L420">
            <v>0</v>
          </cell>
          <cell r="M420">
            <v>0</v>
          </cell>
          <cell r="N420">
            <v>241</v>
          </cell>
          <cell r="O420">
            <v>163</v>
          </cell>
          <cell r="P420">
            <v>324</v>
          </cell>
          <cell r="T420">
            <v>906.59999999999945</v>
          </cell>
          <cell r="U420">
            <v>964.875</v>
          </cell>
          <cell r="V420">
            <v>906.59999999999945</v>
          </cell>
          <cell r="W420">
            <v>2243.1999999999998</v>
          </cell>
          <cell r="X420">
            <v>2239.9499999999998</v>
          </cell>
          <cell r="Y420">
            <v>207.23772463192017</v>
          </cell>
        </row>
        <row r="421">
          <cell r="B421">
            <v>906.59999999999945</v>
          </cell>
          <cell r="C421">
            <v>964.875</v>
          </cell>
          <cell r="D421">
            <v>906.59999999999945</v>
          </cell>
          <cell r="E421">
            <v>-1022.8500000000004</v>
          </cell>
          <cell r="F421">
            <v>-802.70000000000073</v>
          </cell>
          <cell r="G421">
            <v>-2628.6500000000005</v>
          </cell>
          <cell r="K421">
            <v>0</v>
          </cell>
          <cell r="L421">
            <v>0</v>
          </cell>
          <cell r="M421">
            <v>0</v>
          </cell>
          <cell r="N421">
            <v>193</v>
          </cell>
          <cell r="O421">
            <v>190</v>
          </cell>
          <cell r="P421">
            <v>323</v>
          </cell>
          <cell r="T421">
            <v>906.59999999999945</v>
          </cell>
          <cell r="U421">
            <v>1010.1999999999998</v>
          </cell>
          <cell r="V421">
            <v>906.59999999999945</v>
          </cell>
          <cell r="W421">
            <v>2309.1999999999994</v>
          </cell>
          <cell r="X421">
            <v>2186.5249999999992</v>
          </cell>
          <cell r="Y421">
            <v>-254.93308842342663</v>
          </cell>
        </row>
        <row r="422">
          <cell r="B422">
            <v>906.59999999999945</v>
          </cell>
          <cell r="C422">
            <v>997.25</v>
          </cell>
          <cell r="D422">
            <v>906.59999999999945</v>
          </cell>
          <cell r="E422">
            <v>-1009.9000000000005</v>
          </cell>
          <cell r="F422">
            <v>-550.17500000000018</v>
          </cell>
          <cell r="G422">
            <v>-2408.5</v>
          </cell>
          <cell r="K422">
            <v>0</v>
          </cell>
          <cell r="L422">
            <v>0</v>
          </cell>
          <cell r="M422">
            <v>0</v>
          </cell>
          <cell r="N422">
            <v>207</v>
          </cell>
          <cell r="O422">
            <v>170</v>
          </cell>
          <cell r="P422">
            <v>322</v>
          </cell>
          <cell r="T422">
            <v>906.59999999999945</v>
          </cell>
          <cell r="U422">
            <v>997.25</v>
          </cell>
          <cell r="V422">
            <v>906.60000000000036</v>
          </cell>
          <cell r="W422">
            <v>2263.1999999999998</v>
          </cell>
          <cell r="X422">
            <v>2237.9499999999998</v>
          </cell>
          <cell r="Y422">
            <v>2439.1999999999989</v>
          </cell>
        </row>
        <row r="423">
          <cell r="B423">
            <v>906.59999999999945</v>
          </cell>
          <cell r="C423">
            <v>971.34999999999854</v>
          </cell>
          <cell r="D423">
            <v>906.59999999999945</v>
          </cell>
          <cell r="E423">
            <v>-1126.4500000000007</v>
          </cell>
          <cell r="F423">
            <v>-640.82500000000073</v>
          </cell>
          <cell r="G423">
            <v>-2330.8000000000002</v>
          </cell>
          <cell r="K423">
            <v>0</v>
          </cell>
          <cell r="L423">
            <v>0</v>
          </cell>
          <cell r="M423">
            <v>0</v>
          </cell>
          <cell r="N423">
            <v>226</v>
          </cell>
          <cell r="O423">
            <v>191</v>
          </cell>
          <cell r="P423">
            <v>311</v>
          </cell>
          <cell r="T423">
            <v>906.59999999999945</v>
          </cell>
          <cell r="U423">
            <v>951.92499999999927</v>
          </cell>
          <cell r="V423">
            <v>906.59999999999945</v>
          </cell>
          <cell r="W423">
            <v>2295.1999999999998</v>
          </cell>
          <cell r="X423">
            <v>2316.3249999999994</v>
          </cell>
          <cell r="Y423">
            <v>362.96096903030366</v>
          </cell>
        </row>
        <row r="424">
          <cell r="B424">
            <v>906.59999999999945</v>
          </cell>
          <cell r="C424">
            <v>984.29999999999927</v>
          </cell>
          <cell r="D424">
            <v>906.60000000000036</v>
          </cell>
          <cell r="E424">
            <v>-1294.8000000000002</v>
          </cell>
          <cell r="F424">
            <v>-582.55000000000018</v>
          </cell>
          <cell r="G424">
            <v>-1864.6000000000004</v>
          </cell>
          <cell r="K424">
            <v>0</v>
          </cell>
          <cell r="L424">
            <v>0</v>
          </cell>
          <cell r="M424">
            <v>0</v>
          </cell>
          <cell r="N424">
            <v>209</v>
          </cell>
          <cell r="O424">
            <v>194</v>
          </cell>
          <cell r="P424">
            <v>326</v>
          </cell>
          <cell r="T424">
            <v>906.59999999999945</v>
          </cell>
          <cell r="U424">
            <v>997.24999999999909</v>
          </cell>
          <cell r="V424">
            <v>906.59999999999945</v>
          </cell>
          <cell r="W424">
            <v>1839.1746082443306</v>
          </cell>
          <cell r="X424">
            <v>2225.474999999999</v>
          </cell>
          <cell r="Y424">
            <v>-2322.2263446014672</v>
          </cell>
        </row>
        <row r="425">
          <cell r="B425">
            <v>906.59999999999945</v>
          </cell>
          <cell r="C425">
            <v>958.39999999999964</v>
          </cell>
          <cell r="D425">
            <v>906.59999999999945</v>
          </cell>
          <cell r="E425">
            <v>-1061.7000000000007</v>
          </cell>
          <cell r="F425">
            <v>-537.22500000000036</v>
          </cell>
          <cell r="G425">
            <v>-2279</v>
          </cell>
          <cell r="K425">
            <v>0</v>
          </cell>
          <cell r="L425">
            <v>0</v>
          </cell>
          <cell r="M425">
            <v>0</v>
          </cell>
          <cell r="N425">
            <v>233</v>
          </cell>
          <cell r="O425">
            <v>177</v>
          </cell>
          <cell r="P425">
            <v>331</v>
          </cell>
          <cell r="T425">
            <v>906.59999999999945</v>
          </cell>
          <cell r="U425">
            <v>990.77499999999873</v>
          </cell>
          <cell r="V425">
            <v>919.55000000000018</v>
          </cell>
          <cell r="W425">
            <v>-310.19250552484175</v>
          </cell>
          <cell r="X425">
            <v>2220.5249999999996</v>
          </cell>
          <cell r="Y425">
            <v>644.68197121198546</v>
          </cell>
        </row>
        <row r="426">
          <cell r="B426">
            <v>906.59999999999945</v>
          </cell>
          <cell r="C426">
            <v>964.875</v>
          </cell>
          <cell r="D426">
            <v>906.60000000000036</v>
          </cell>
          <cell r="E426">
            <v>-1035.8000000000002</v>
          </cell>
          <cell r="F426">
            <v>-420.67500000000018</v>
          </cell>
          <cell r="G426">
            <v>-2201.3000000000002</v>
          </cell>
          <cell r="K426">
            <v>0</v>
          </cell>
          <cell r="L426">
            <v>0</v>
          </cell>
          <cell r="M426">
            <v>0</v>
          </cell>
          <cell r="N426">
            <v>229</v>
          </cell>
          <cell r="O426">
            <v>193</v>
          </cell>
          <cell r="P426">
            <v>333</v>
          </cell>
          <cell r="T426">
            <v>906.59999999999945</v>
          </cell>
          <cell r="U426">
            <v>971.34999999999945</v>
          </cell>
          <cell r="V426">
            <v>906.60000000000036</v>
          </cell>
          <cell r="W426">
            <v>2217.1999999999989</v>
          </cell>
          <cell r="X426">
            <v>2290.8999999999996</v>
          </cell>
          <cell r="Y426">
            <v>1089.4936167744595</v>
          </cell>
        </row>
        <row r="427">
          <cell r="B427">
            <v>906.59999999999945</v>
          </cell>
          <cell r="C427">
            <v>938.97500000000036</v>
          </cell>
          <cell r="D427">
            <v>906.60000000000036</v>
          </cell>
          <cell r="E427">
            <v>-919.25</v>
          </cell>
          <cell r="F427">
            <v>-271.75</v>
          </cell>
          <cell r="G427">
            <v>-2512.1000000000004</v>
          </cell>
          <cell r="K427">
            <v>0</v>
          </cell>
          <cell r="L427">
            <v>0</v>
          </cell>
          <cell r="M427">
            <v>0</v>
          </cell>
          <cell r="N427">
            <v>243</v>
          </cell>
          <cell r="O427">
            <v>181</v>
          </cell>
          <cell r="P427">
            <v>292</v>
          </cell>
          <cell r="T427">
            <v>906.59999999999945</v>
          </cell>
          <cell r="U427">
            <v>984.29999999999927</v>
          </cell>
          <cell r="V427">
            <v>906.59999999999945</v>
          </cell>
          <cell r="W427">
            <v>2125.4964312268958</v>
          </cell>
          <cell r="X427">
            <v>2289.474999999999</v>
          </cell>
          <cell r="Y427">
            <v>384.89328267402107</v>
          </cell>
        </row>
        <row r="428">
          <cell r="B428">
            <v>906.59999999999945</v>
          </cell>
          <cell r="C428">
            <v>958.39999999999964</v>
          </cell>
          <cell r="D428">
            <v>906.60000000000036</v>
          </cell>
          <cell r="E428">
            <v>-906.30000000000018</v>
          </cell>
          <cell r="F428">
            <v>-401.25</v>
          </cell>
          <cell r="G428">
            <v>-1968.2000000000007</v>
          </cell>
          <cell r="K428">
            <v>0</v>
          </cell>
          <cell r="L428">
            <v>0</v>
          </cell>
          <cell r="M428">
            <v>0</v>
          </cell>
          <cell r="N428">
            <v>224</v>
          </cell>
          <cell r="O428">
            <v>177</v>
          </cell>
          <cell r="P428">
            <v>296</v>
          </cell>
          <cell r="T428">
            <v>906.59999999999945</v>
          </cell>
          <cell r="U428">
            <v>951.92499999999927</v>
          </cell>
          <cell r="V428">
            <v>906.59999999999945</v>
          </cell>
          <cell r="W428">
            <v>2277.1999999999989</v>
          </cell>
          <cell r="X428">
            <v>2245.3749999999995</v>
          </cell>
          <cell r="Y428">
            <v>2482.1499999999996</v>
          </cell>
        </row>
        <row r="429">
          <cell r="B429">
            <v>906.59999999999945</v>
          </cell>
          <cell r="C429">
            <v>977.82499999999891</v>
          </cell>
          <cell r="D429">
            <v>906.59999999999945</v>
          </cell>
          <cell r="E429">
            <v>-1178.25</v>
          </cell>
          <cell r="F429">
            <v>-478.95000000000073</v>
          </cell>
          <cell r="G429">
            <v>-2162.4500000000007</v>
          </cell>
          <cell r="K429">
            <v>0</v>
          </cell>
          <cell r="L429">
            <v>0</v>
          </cell>
          <cell r="M429">
            <v>0</v>
          </cell>
          <cell r="N429">
            <v>213</v>
          </cell>
          <cell r="O429">
            <v>172</v>
          </cell>
          <cell r="P429">
            <v>324</v>
          </cell>
          <cell r="T429">
            <v>906.59999999999945</v>
          </cell>
          <cell r="U429">
            <v>977.82499999999891</v>
          </cell>
          <cell r="V429">
            <v>906.59999999999945</v>
          </cell>
          <cell r="W429">
            <v>2023.3039372224894</v>
          </cell>
          <cell r="X429">
            <v>2195.5749999999998</v>
          </cell>
          <cell r="Y429">
            <v>-2499.1500000000005</v>
          </cell>
        </row>
        <row r="430">
          <cell r="B430">
            <v>906.59999999999945</v>
          </cell>
          <cell r="C430">
            <v>971.34999999999945</v>
          </cell>
          <cell r="D430">
            <v>906.59999999999945</v>
          </cell>
          <cell r="E430">
            <v>-1061.7000000000007</v>
          </cell>
          <cell r="F430">
            <v>-407.72500000000036</v>
          </cell>
          <cell r="G430">
            <v>-2136.5500000000002</v>
          </cell>
          <cell r="K430">
            <v>0</v>
          </cell>
          <cell r="L430">
            <v>0</v>
          </cell>
          <cell r="M430">
            <v>0</v>
          </cell>
          <cell r="N430">
            <v>230</v>
          </cell>
          <cell r="O430">
            <v>204</v>
          </cell>
          <cell r="P430">
            <v>332</v>
          </cell>
          <cell r="T430">
            <v>906.59999999999945</v>
          </cell>
          <cell r="U430">
            <v>958.39999999999964</v>
          </cell>
          <cell r="V430">
            <v>906.59999999999945</v>
          </cell>
          <cell r="W430">
            <v>2279.1999999999994</v>
          </cell>
          <cell r="X430">
            <v>2288.3249999999994</v>
          </cell>
          <cell r="Y430">
            <v>221.69461958629154</v>
          </cell>
        </row>
        <row r="431">
          <cell r="B431">
            <v>906.59999999999945</v>
          </cell>
          <cell r="C431">
            <v>1010.1999999999989</v>
          </cell>
          <cell r="D431">
            <v>906.59999999999945</v>
          </cell>
          <cell r="E431">
            <v>-1152.3500000000004</v>
          </cell>
          <cell r="F431">
            <v>-485.42500000000018</v>
          </cell>
          <cell r="G431">
            <v>-2447.3500000000004</v>
          </cell>
          <cell r="K431">
            <v>0</v>
          </cell>
          <cell r="L431">
            <v>0</v>
          </cell>
          <cell r="M431">
            <v>0</v>
          </cell>
          <cell r="N431">
            <v>234</v>
          </cell>
          <cell r="O431">
            <v>194</v>
          </cell>
          <cell r="P431">
            <v>322</v>
          </cell>
          <cell r="T431">
            <v>906.59999999999945</v>
          </cell>
          <cell r="U431">
            <v>958.39999999999964</v>
          </cell>
          <cell r="V431">
            <v>906.59999999999945</v>
          </cell>
          <cell r="W431">
            <v>1763.1242904433493</v>
          </cell>
          <cell r="X431">
            <v>2276.7999999999993</v>
          </cell>
          <cell r="Y431">
            <v>2463.1999999999998</v>
          </cell>
        </row>
        <row r="432">
          <cell r="B432">
            <v>906.59999999999945</v>
          </cell>
          <cell r="C432">
            <v>971.34999999999945</v>
          </cell>
          <cell r="D432">
            <v>906.59999999999945</v>
          </cell>
          <cell r="E432">
            <v>-1048.75</v>
          </cell>
          <cell r="F432">
            <v>-634.35000000000036</v>
          </cell>
          <cell r="G432">
            <v>-2240.1500000000005</v>
          </cell>
          <cell r="K432">
            <v>0</v>
          </cell>
          <cell r="L432">
            <v>0</v>
          </cell>
          <cell r="M432">
            <v>0</v>
          </cell>
          <cell r="N432">
            <v>240</v>
          </cell>
          <cell r="O432">
            <v>173</v>
          </cell>
          <cell r="P432">
            <v>332</v>
          </cell>
          <cell r="T432">
            <v>906.59999999999945</v>
          </cell>
          <cell r="U432">
            <v>958.39999999999873</v>
          </cell>
          <cell r="V432">
            <v>906.59999999999945</v>
          </cell>
          <cell r="W432">
            <v>2281.1999999999994</v>
          </cell>
          <cell r="X432">
            <v>2234.9</v>
          </cell>
          <cell r="Y432">
            <v>2437.1999999999989</v>
          </cell>
        </row>
        <row r="433">
          <cell r="B433">
            <v>906.59999999999945</v>
          </cell>
          <cell r="C433">
            <v>971.34999999999945</v>
          </cell>
          <cell r="D433">
            <v>906.59999999999945</v>
          </cell>
          <cell r="E433">
            <v>-1061.7000000000007</v>
          </cell>
          <cell r="F433">
            <v>-349.45000000000073</v>
          </cell>
          <cell r="G433">
            <v>-2589.8000000000002</v>
          </cell>
          <cell r="K433">
            <v>0</v>
          </cell>
          <cell r="L433">
            <v>0</v>
          </cell>
          <cell r="M433">
            <v>0</v>
          </cell>
          <cell r="N433">
            <v>210</v>
          </cell>
          <cell r="O433">
            <v>178</v>
          </cell>
          <cell r="P433">
            <v>354</v>
          </cell>
          <cell r="T433">
            <v>906.59999999999945</v>
          </cell>
          <cell r="U433">
            <v>984.29999999999927</v>
          </cell>
          <cell r="V433">
            <v>906.59999999999945</v>
          </cell>
          <cell r="W433">
            <v>2277.1999999999989</v>
          </cell>
          <cell r="X433">
            <v>2193.5749999999994</v>
          </cell>
          <cell r="Y433">
            <v>2427.1999999999989</v>
          </cell>
        </row>
        <row r="434">
          <cell r="B434">
            <v>906.59999999999945</v>
          </cell>
          <cell r="C434">
            <v>984.29999999999927</v>
          </cell>
          <cell r="D434">
            <v>906.59999999999945</v>
          </cell>
          <cell r="E434">
            <v>-1255.9500000000007</v>
          </cell>
          <cell r="F434">
            <v>-174.625</v>
          </cell>
          <cell r="G434">
            <v>-2149.5</v>
          </cell>
          <cell r="K434">
            <v>0</v>
          </cell>
          <cell r="L434">
            <v>0</v>
          </cell>
          <cell r="M434">
            <v>0</v>
          </cell>
          <cell r="N434">
            <v>211</v>
          </cell>
          <cell r="O434">
            <v>169</v>
          </cell>
          <cell r="P434">
            <v>327</v>
          </cell>
          <cell r="T434">
            <v>906.59999999999945</v>
          </cell>
          <cell r="U434">
            <v>997.25</v>
          </cell>
          <cell r="V434">
            <v>906.60000000000036</v>
          </cell>
          <cell r="W434">
            <v>2164.148126458816</v>
          </cell>
          <cell r="X434">
            <v>2276.8999999999992</v>
          </cell>
          <cell r="Y434">
            <v>1240.5490340690121</v>
          </cell>
        </row>
        <row r="435">
          <cell r="B435">
            <v>906.59999999999945</v>
          </cell>
          <cell r="C435">
            <v>984.29999999999927</v>
          </cell>
          <cell r="D435">
            <v>906.59999999999945</v>
          </cell>
          <cell r="E435">
            <v>-1178.25</v>
          </cell>
          <cell r="F435">
            <v>-543.70000000000073</v>
          </cell>
          <cell r="G435">
            <v>-2020</v>
          </cell>
          <cell r="K435">
            <v>0</v>
          </cell>
          <cell r="L435">
            <v>0</v>
          </cell>
          <cell r="M435">
            <v>0</v>
          </cell>
          <cell r="N435">
            <v>234</v>
          </cell>
          <cell r="O435">
            <v>203</v>
          </cell>
          <cell r="P435">
            <v>326</v>
          </cell>
          <cell r="T435">
            <v>906.59999999999945</v>
          </cell>
          <cell r="U435">
            <v>997.24999999999909</v>
          </cell>
          <cell r="V435">
            <v>906.59999999999945</v>
          </cell>
          <cell r="W435">
            <v>2279.1999999999994</v>
          </cell>
          <cell r="X435">
            <v>2223.9499999999994</v>
          </cell>
          <cell r="Y435">
            <v>2455.1999999999998</v>
          </cell>
        </row>
        <row r="436">
          <cell r="B436">
            <v>906.59999999999945</v>
          </cell>
          <cell r="C436">
            <v>932.5</v>
          </cell>
          <cell r="D436">
            <v>906.59999999999945</v>
          </cell>
          <cell r="E436">
            <v>-1035.8000000000002</v>
          </cell>
          <cell r="F436">
            <v>-569.60000000000036</v>
          </cell>
          <cell r="G436">
            <v>-2615.6999999999998</v>
          </cell>
          <cell r="K436">
            <v>0</v>
          </cell>
          <cell r="L436">
            <v>0</v>
          </cell>
          <cell r="M436">
            <v>0</v>
          </cell>
          <cell r="N436">
            <v>221</v>
          </cell>
          <cell r="O436">
            <v>193</v>
          </cell>
          <cell r="P436">
            <v>297</v>
          </cell>
          <cell r="T436">
            <v>906.59999999999945</v>
          </cell>
          <cell r="U436">
            <v>951.92499999999927</v>
          </cell>
          <cell r="V436">
            <v>906.59999999999945</v>
          </cell>
          <cell r="W436">
            <v>2289.1999999999994</v>
          </cell>
          <cell r="X436">
            <v>2195</v>
          </cell>
          <cell r="Y436">
            <v>-2154.5595092695103</v>
          </cell>
        </row>
        <row r="437">
          <cell r="B437">
            <v>906.59999999999945</v>
          </cell>
          <cell r="C437">
            <v>990.77499999999964</v>
          </cell>
          <cell r="D437">
            <v>906.59999999999945</v>
          </cell>
          <cell r="E437">
            <v>-1450.2000000000007</v>
          </cell>
          <cell r="F437">
            <v>-563.125</v>
          </cell>
          <cell r="G437">
            <v>-2343.75</v>
          </cell>
          <cell r="K437">
            <v>0</v>
          </cell>
          <cell r="L437">
            <v>0</v>
          </cell>
          <cell r="M437">
            <v>0</v>
          </cell>
          <cell r="N437">
            <v>227</v>
          </cell>
          <cell r="O437">
            <v>189</v>
          </cell>
          <cell r="P437">
            <v>333</v>
          </cell>
          <cell r="T437">
            <v>906.59999999999945</v>
          </cell>
          <cell r="U437">
            <v>945.44999999999982</v>
          </cell>
          <cell r="V437">
            <v>906.59999999999945</v>
          </cell>
          <cell r="W437">
            <v>1431.2399317879999</v>
          </cell>
          <cell r="X437">
            <v>2250.4249999999988</v>
          </cell>
          <cell r="Y437">
            <v>2415.1999999999998</v>
          </cell>
        </row>
        <row r="438">
          <cell r="B438">
            <v>906.59999999999945</v>
          </cell>
          <cell r="C438">
            <v>990.77499999999873</v>
          </cell>
          <cell r="D438">
            <v>906.59999999999945</v>
          </cell>
          <cell r="E438">
            <v>-1035.8000000000002</v>
          </cell>
          <cell r="F438">
            <v>-45.125</v>
          </cell>
          <cell r="G438">
            <v>-2291.9499999999998</v>
          </cell>
          <cell r="K438">
            <v>0</v>
          </cell>
          <cell r="L438">
            <v>0</v>
          </cell>
          <cell r="M438">
            <v>0</v>
          </cell>
          <cell r="N438">
            <v>240</v>
          </cell>
          <cell r="O438">
            <v>187</v>
          </cell>
          <cell r="P438">
            <v>308</v>
          </cell>
          <cell r="T438">
            <v>906.59999999999945</v>
          </cell>
          <cell r="U438">
            <v>945.44999999999891</v>
          </cell>
          <cell r="V438">
            <v>906.59999999999945</v>
          </cell>
          <cell r="W438">
            <v>2285.1999999999998</v>
          </cell>
          <cell r="X438">
            <v>2282.8999999999996</v>
          </cell>
          <cell r="Y438">
            <v>1835.4474211015568</v>
          </cell>
        </row>
        <row r="439">
          <cell r="B439">
            <v>906.59999999999945</v>
          </cell>
          <cell r="C439">
            <v>977.82499999999891</v>
          </cell>
          <cell r="D439">
            <v>906.59999999999945</v>
          </cell>
          <cell r="E439">
            <v>-1087.6000000000004</v>
          </cell>
          <cell r="F439">
            <v>-491.90000000000055</v>
          </cell>
          <cell r="G439">
            <v>-2266.0500000000002</v>
          </cell>
          <cell r="K439">
            <v>0</v>
          </cell>
          <cell r="L439">
            <v>0</v>
          </cell>
          <cell r="M439">
            <v>0</v>
          </cell>
          <cell r="N439">
            <v>231</v>
          </cell>
          <cell r="O439">
            <v>182</v>
          </cell>
          <cell r="P439">
            <v>313</v>
          </cell>
          <cell r="T439">
            <v>906.59999999999945</v>
          </cell>
          <cell r="U439">
            <v>964.87499999999909</v>
          </cell>
          <cell r="V439">
            <v>906.59999999999945</v>
          </cell>
          <cell r="W439">
            <v>376.04761847569011</v>
          </cell>
          <cell r="X439">
            <v>2246.9999999999991</v>
          </cell>
          <cell r="Y439">
            <v>2445.1999999999998</v>
          </cell>
        </row>
        <row r="440">
          <cell r="B440">
            <v>906.59999999999945</v>
          </cell>
          <cell r="C440">
            <v>964.87499999999909</v>
          </cell>
          <cell r="D440">
            <v>906.60000000000036</v>
          </cell>
          <cell r="E440">
            <v>-1074.6500000000005</v>
          </cell>
          <cell r="F440">
            <v>-330.02499999999964</v>
          </cell>
          <cell r="G440">
            <v>-2330.8000000000002</v>
          </cell>
          <cell r="K440">
            <v>0</v>
          </cell>
          <cell r="L440">
            <v>0</v>
          </cell>
          <cell r="M440">
            <v>0</v>
          </cell>
          <cell r="N440">
            <v>227</v>
          </cell>
          <cell r="O440">
            <v>212</v>
          </cell>
          <cell r="P440">
            <v>330</v>
          </cell>
          <cell r="T440">
            <v>906.59999999999945</v>
          </cell>
          <cell r="U440">
            <v>938.97499999999945</v>
          </cell>
          <cell r="V440">
            <v>906.59999999999945</v>
          </cell>
          <cell r="W440">
            <v>2265.1999999999998</v>
          </cell>
          <cell r="X440">
            <v>2268.8000000000002</v>
          </cell>
          <cell r="Y440">
            <v>2455.1999999999998</v>
          </cell>
        </row>
        <row r="441">
          <cell r="B441">
            <v>906.59999999999945</v>
          </cell>
          <cell r="C441">
            <v>964.87499999999909</v>
          </cell>
          <cell r="D441">
            <v>906.59999999999945</v>
          </cell>
          <cell r="E441">
            <v>-996.95000000000073</v>
          </cell>
          <cell r="F441">
            <v>-200.52499999999964</v>
          </cell>
          <cell r="G441">
            <v>-2240.1500000000005</v>
          </cell>
          <cell r="K441">
            <v>0</v>
          </cell>
          <cell r="L441">
            <v>0</v>
          </cell>
          <cell r="M441">
            <v>0</v>
          </cell>
          <cell r="N441">
            <v>236</v>
          </cell>
          <cell r="O441">
            <v>188</v>
          </cell>
          <cell r="P441">
            <v>329</v>
          </cell>
          <cell r="T441">
            <v>906.59999999999945</v>
          </cell>
          <cell r="U441">
            <v>990.77499999999873</v>
          </cell>
          <cell r="V441">
            <v>906.60000000000036</v>
          </cell>
          <cell r="W441">
            <v>2237.1999999999989</v>
          </cell>
          <cell r="X441">
            <v>1880.2206520302311</v>
          </cell>
          <cell r="Y441">
            <v>2487.1999999999998</v>
          </cell>
        </row>
        <row r="442">
          <cell r="B442">
            <v>906.59999999999945</v>
          </cell>
          <cell r="C442">
            <v>977.82499999999982</v>
          </cell>
          <cell r="D442">
            <v>906.59999999999945</v>
          </cell>
          <cell r="E442">
            <v>-763.85000000000036</v>
          </cell>
          <cell r="F442">
            <v>-446.57500000000073</v>
          </cell>
          <cell r="G442">
            <v>-2071.8000000000002</v>
          </cell>
          <cell r="K442">
            <v>0</v>
          </cell>
          <cell r="L442">
            <v>0</v>
          </cell>
          <cell r="M442">
            <v>0</v>
          </cell>
          <cell r="N442">
            <v>225</v>
          </cell>
          <cell r="O442">
            <v>157</v>
          </cell>
          <cell r="P442">
            <v>323</v>
          </cell>
          <cell r="T442">
            <v>906.59999999999945</v>
          </cell>
          <cell r="U442">
            <v>977.82499999999982</v>
          </cell>
          <cell r="V442">
            <v>906.59999999999945</v>
          </cell>
          <cell r="W442">
            <v>2241.1999999999994</v>
          </cell>
          <cell r="X442">
            <v>2309.2749999999992</v>
          </cell>
          <cell r="Y442">
            <v>2439.1999999999989</v>
          </cell>
        </row>
        <row r="443">
          <cell r="B443">
            <v>906.59999999999945</v>
          </cell>
          <cell r="C443">
            <v>1016.6749999999993</v>
          </cell>
          <cell r="D443">
            <v>906.59999999999945</v>
          </cell>
          <cell r="E443">
            <v>-1113.5</v>
          </cell>
          <cell r="F443">
            <v>-239.375</v>
          </cell>
          <cell r="G443">
            <v>-2266.0500000000002</v>
          </cell>
          <cell r="K443">
            <v>0</v>
          </cell>
          <cell r="L443">
            <v>0</v>
          </cell>
          <cell r="M443">
            <v>0</v>
          </cell>
          <cell r="N443">
            <v>229</v>
          </cell>
          <cell r="O443">
            <v>168</v>
          </cell>
          <cell r="P443">
            <v>324</v>
          </cell>
          <cell r="T443">
            <v>906.59999999999945</v>
          </cell>
          <cell r="U443">
            <v>984.29999999999927</v>
          </cell>
          <cell r="V443">
            <v>932.5</v>
          </cell>
          <cell r="W443">
            <v>-1126.4500000000007</v>
          </cell>
          <cell r="X443">
            <v>2214.0500000000002</v>
          </cell>
          <cell r="Y443">
            <v>-2279</v>
          </cell>
        </row>
        <row r="444">
          <cell r="B444">
            <v>906.59999999999945</v>
          </cell>
          <cell r="C444">
            <v>1023.1499999999996</v>
          </cell>
          <cell r="D444">
            <v>919.55000000000018</v>
          </cell>
          <cell r="E444">
            <v>-1217.1000000000004</v>
          </cell>
          <cell r="F444">
            <v>-647.30000000000109</v>
          </cell>
          <cell r="G444">
            <v>-2460.3000000000002</v>
          </cell>
          <cell r="K444">
            <v>0</v>
          </cell>
          <cell r="L444">
            <v>0</v>
          </cell>
          <cell r="M444">
            <v>0</v>
          </cell>
          <cell r="N444">
            <v>213</v>
          </cell>
          <cell r="O444">
            <v>197</v>
          </cell>
          <cell r="P444">
            <v>325</v>
          </cell>
          <cell r="T444">
            <v>906.59999999999945</v>
          </cell>
          <cell r="U444">
            <v>938.97500000000036</v>
          </cell>
          <cell r="V444">
            <v>919.55000000000018</v>
          </cell>
          <cell r="W444">
            <v>2201.1999999999994</v>
          </cell>
          <cell r="X444">
            <v>2192.5250000000001</v>
          </cell>
          <cell r="Y444">
            <v>1178.0303452158523</v>
          </cell>
        </row>
        <row r="445">
          <cell r="B445">
            <v>906.59999999999945</v>
          </cell>
          <cell r="C445">
            <v>951.92499999999927</v>
          </cell>
          <cell r="D445">
            <v>919.55000000000018</v>
          </cell>
          <cell r="E445">
            <v>-1152.3500000000004</v>
          </cell>
          <cell r="F445">
            <v>-524.27500000000055</v>
          </cell>
          <cell r="G445">
            <v>-2330.8000000000002</v>
          </cell>
          <cell r="K445">
            <v>0</v>
          </cell>
          <cell r="L445">
            <v>0</v>
          </cell>
          <cell r="M445">
            <v>0</v>
          </cell>
          <cell r="N445">
            <v>242</v>
          </cell>
          <cell r="O445">
            <v>181</v>
          </cell>
          <cell r="P445">
            <v>340</v>
          </cell>
          <cell r="T445">
            <v>906.59999999999945</v>
          </cell>
          <cell r="U445">
            <v>971.34999999999854</v>
          </cell>
          <cell r="V445">
            <v>906.59999999999945</v>
          </cell>
          <cell r="W445">
            <v>2231.1999999999994</v>
          </cell>
          <cell r="X445">
            <v>649.81222286627303</v>
          </cell>
          <cell r="Y445">
            <v>2489.1999999999989</v>
          </cell>
        </row>
        <row r="446">
          <cell r="B446">
            <v>906.59999999999945</v>
          </cell>
          <cell r="C446">
            <v>990.77499999999873</v>
          </cell>
          <cell r="D446">
            <v>906.60000000000036</v>
          </cell>
          <cell r="E446">
            <v>-1061.7000000000007</v>
          </cell>
          <cell r="F446">
            <v>26.100000000000364</v>
          </cell>
          <cell r="G446">
            <v>-2291.9499999999998</v>
          </cell>
          <cell r="K446">
            <v>0</v>
          </cell>
          <cell r="L446">
            <v>0</v>
          </cell>
          <cell r="M446">
            <v>0</v>
          </cell>
          <cell r="N446">
            <v>220</v>
          </cell>
          <cell r="O446">
            <v>178</v>
          </cell>
          <cell r="P446">
            <v>333</v>
          </cell>
          <cell r="T446">
            <v>906.59999999999945</v>
          </cell>
          <cell r="U446">
            <v>971.34999999999945</v>
          </cell>
          <cell r="V446">
            <v>906.59999999999945</v>
          </cell>
          <cell r="W446">
            <v>2225.1999999999998</v>
          </cell>
          <cell r="X446">
            <v>2191.5749999999994</v>
          </cell>
          <cell r="Y446">
            <v>2092.9711552123999</v>
          </cell>
        </row>
        <row r="447">
          <cell r="B447">
            <v>906.59999999999945</v>
          </cell>
          <cell r="C447">
            <v>997.25</v>
          </cell>
          <cell r="D447">
            <v>906.59999999999945</v>
          </cell>
          <cell r="E447">
            <v>-958.10000000000036</v>
          </cell>
          <cell r="F447">
            <v>-342.97500000000036</v>
          </cell>
          <cell r="G447">
            <v>-2279</v>
          </cell>
          <cell r="K447">
            <v>0</v>
          </cell>
          <cell r="L447">
            <v>0</v>
          </cell>
          <cell r="M447">
            <v>0</v>
          </cell>
          <cell r="N447">
            <v>251</v>
          </cell>
          <cell r="O447">
            <v>174</v>
          </cell>
          <cell r="P447">
            <v>303</v>
          </cell>
          <cell r="T447">
            <v>906.59999999999945</v>
          </cell>
          <cell r="U447">
            <v>964.87499999999909</v>
          </cell>
          <cell r="V447">
            <v>906.59999999999945</v>
          </cell>
          <cell r="W447">
            <v>2281.1999999999994</v>
          </cell>
          <cell r="X447">
            <v>2302.6999999999998</v>
          </cell>
          <cell r="Y447">
            <v>2469.1999999999989</v>
          </cell>
        </row>
        <row r="448">
          <cell r="B448">
            <v>906.59999999999945</v>
          </cell>
          <cell r="C448">
            <v>964.875</v>
          </cell>
          <cell r="D448">
            <v>906.59999999999945</v>
          </cell>
          <cell r="E448">
            <v>-1178.25</v>
          </cell>
          <cell r="F448">
            <v>-64.550000000000182</v>
          </cell>
          <cell r="G448">
            <v>-2304.9000000000005</v>
          </cell>
          <cell r="K448">
            <v>0</v>
          </cell>
          <cell r="L448">
            <v>0</v>
          </cell>
          <cell r="M448">
            <v>0</v>
          </cell>
          <cell r="N448">
            <v>200</v>
          </cell>
          <cell r="O448">
            <v>189</v>
          </cell>
          <cell r="P448">
            <v>333</v>
          </cell>
          <cell r="T448">
            <v>906.59999999999945</v>
          </cell>
          <cell r="U448">
            <v>990.77499999999964</v>
          </cell>
          <cell r="V448">
            <v>906.59999999999945</v>
          </cell>
          <cell r="W448">
            <v>2269.1999999999994</v>
          </cell>
          <cell r="X448">
            <v>264.84031386084916</v>
          </cell>
          <cell r="Y448">
            <v>2455.1999999999998</v>
          </cell>
        </row>
        <row r="449">
          <cell r="B449">
            <v>906.59999999999945</v>
          </cell>
          <cell r="C449">
            <v>964.875</v>
          </cell>
          <cell r="D449">
            <v>906.59999999999945</v>
          </cell>
          <cell r="E449">
            <v>-1009.9000000000005</v>
          </cell>
          <cell r="F449">
            <v>-504.85000000000036</v>
          </cell>
          <cell r="G449">
            <v>-2473.25</v>
          </cell>
          <cell r="K449">
            <v>0</v>
          </cell>
          <cell r="L449">
            <v>0</v>
          </cell>
          <cell r="M449">
            <v>0</v>
          </cell>
          <cell r="N449">
            <v>219</v>
          </cell>
          <cell r="O449">
            <v>183</v>
          </cell>
          <cell r="P449">
            <v>335</v>
          </cell>
          <cell r="T449">
            <v>906.59999999999945</v>
          </cell>
          <cell r="U449">
            <v>977.82499999999891</v>
          </cell>
          <cell r="V449">
            <v>906.59999999999945</v>
          </cell>
          <cell r="W449">
            <v>1095.7799714727807</v>
          </cell>
          <cell r="X449">
            <v>2220.4249999999988</v>
          </cell>
          <cell r="Y449">
            <v>2503.1999999999998</v>
          </cell>
        </row>
        <row r="450">
          <cell r="B450">
            <v>906.59999999999945</v>
          </cell>
          <cell r="C450">
            <v>977.82499999999891</v>
          </cell>
          <cell r="D450">
            <v>906.59999999999945</v>
          </cell>
          <cell r="E450">
            <v>-1281.8500000000004</v>
          </cell>
          <cell r="F450">
            <v>-310.60000000000036</v>
          </cell>
          <cell r="G450">
            <v>-2369.6500000000005</v>
          </cell>
          <cell r="K450">
            <v>0</v>
          </cell>
          <cell r="L450">
            <v>0</v>
          </cell>
          <cell r="M450">
            <v>0</v>
          </cell>
          <cell r="N450">
            <v>211</v>
          </cell>
          <cell r="O450">
            <v>160</v>
          </cell>
          <cell r="P450">
            <v>334</v>
          </cell>
          <cell r="T450">
            <v>906.59999999999945</v>
          </cell>
          <cell r="U450">
            <v>964.87499999999909</v>
          </cell>
          <cell r="V450">
            <v>906.59999999999945</v>
          </cell>
          <cell r="W450">
            <v>2253.1999999999998</v>
          </cell>
          <cell r="X450">
            <v>640.37520240997173</v>
          </cell>
          <cell r="Y450">
            <v>-1873.6932665785171</v>
          </cell>
        </row>
        <row r="451">
          <cell r="B451">
            <v>906.59999999999945</v>
          </cell>
          <cell r="C451">
            <v>977.82499999999982</v>
          </cell>
          <cell r="D451">
            <v>906.59999999999945</v>
          </cell>
          <cell r="E451">
            <v>-1359.5500000000002</v>
          </cell>
          <cell r="F451">
            <v>-491.90000000000055</v>
          </cell>
          <cell r="G451">
            <v>-2602.75</v>
          </cell>
          <cell r="K451">
            <v>0</v>
          </cell>
          <cell r="L451">
            <v>0</v>
          </cell>
          <cell r="M451">
            <v>0</v>
          </cell>
          <cell r="N451">
            <v>231</v>
          </cell>
          <cell r="O451">
            <v>191</v>
          </cell>
          <cell r="P451">
            <v>308</v>
          </cell>
          <cell r="T451">
            <v>906.59999999999945</v>
          </cell>
          <cell r="U451">
            <v>951.92500000000018</v>
          </cell>
          <cell r="V451">
            <v>906.59999999999945</v>
          </cell>
          <cell r="W451">
            <v>2243.1999999999998</v>
          </cell>
          <cell r="X451">
            <v>2188.9999999999995</v>
          </cell>
          <cell r="Y451">
            <v>2427.1999999999989</v>
          </cell>
        </row>
        <row r="452">
          <cell r="B452">
            <v>906.59999999999945</v>
          </cell>
          <cell r="C452">
            <v>984.29999999999927</v>
          </cell>
          <cell r="D452">
            <v>906.59999999999945</v>
          </cell>
          <cell r="E452">
            <v>-880.40000000000055</v>
          </cell>
          <cell r="F452">
            <v>-699.10000000000036</v>
          </cell>
          <cell r="G452">
            <v>-2550.9499999999998</v>
          </cell>
          <cell r="K452">
            <v>0</v>
          </cell>
          <cell r="L452">
            <v>0</v>
          </cell>
          <cell r="M452">
            <v>0</v>
          </cell>
          <cell r="N452">
            <v>230</v>
          </cell>
          <cell r="O452">
            <v>164</v>
          </cell>
          <cell r="P452">
            <v>312</v>
          </cell>
          <cell r="T452">
            <v>906.59999999999945</v>
          </cell>
          <cell r="U452">
            <v>964.87499999999909</v>
          </cell>
          <cell r="V452">
            <v>906.59999999999945</v>
          </cell>
          <cell r="W452">
            <v>2319.1999999999994</v>
          </cell>
          <cell r="X452">
            <v>2265.9499999999994</v>
          </cell>
          <cell r="Y452">
            <v>2439.1999999999989</v>
          </cell>
        </row>
        <row r="453">
          <cell r="B453">
            <v>906.59999999999945</v>
          </cell>
          <cell r="C453">
            <v>997.25</v>
          </cell>
          <cell r="D453">
            <v>906.59999999999945</v>
          </cell>
          <cell r="E453">
            <v>-1009.9000000000005</v>
          </cell>
          <cell r="F453">
            <v>-375.35000000000036</v>
          </cell>
          <cell r="G453">
            <v>-2550.9499999999998</v>
          </cell>
          <cell r="K453">
            <v>0</v>
          </cell>
          <cell r="L453">
            <v>0</v>
          </cell>
          <cell r="M453">
            <v>0</v>
          </cell>
          <cell r="N453">
            <v>241</v>
          </cell>
          <cell r="O453">
            <v>178</v>
          </cell>
          <cell r="P453">
            <v>312</v>
          </cell>
          <cell r="T453">
            <v>906.59999999999945</v>
          </cell>
          <cell r="U453">
            <v>971.34999999999945</v>
          </cell>
          <cell r="V453">
            <v>906.59999999999945</v>
          </cell>
          <cell r="W453">
            <v>2287.1999999999989</v>
          </cell>
          <cell r="X453">
            <v>2245.3749999999995</v>
          </cell>
          <cell r="Y453">
            <v>2415.1999999999998</v>
          </cell>
        </row>
        <row r="454">
          <cell r="B454">
            <v>906.59999999999945</v>
          </cell>
          <cell r="C454">
            <v>990.77499999999964</v>
          </cell>
          <cell r="D454">
            <v>906.59999999999945</v>
          </cell>
          <cell r="E454">
            <v>-712.05000000000018</v>
          </cell>
          <cell r="F454">
            <v>-459.52500000000055</v>
          </cell>
          <cell r="G454">
            <v>-2149.5</v>
          </cell>
          <cell r="K454">
            <v>0</v>
          </cell>
          <cell r="L454">
            <v>0</v>
          </cell>
          <cell r="M454">
            <v>0</v>
          </cell>
          <cell r="N454">
            <v>229</v>
          </cell>
          <cell r="O454">
            <v>179</v>
          </cell>
          <cell r="P454">
            <v>310</v>
          </cell>
          <cell r="T454">
            <v>906.59999999999945</v>
          </cell>
          <cell r="U454">
            <v>971.34999999999945</v>
          </cell>
          <cell r="V454">
            <v>906.60000000000036</v>
          </cell>
          <cell r="W454">
            <v>-880.37709667031379</v>
          </cell>
          <cell r="X454">
            <v>2269.3749999999991</v>
          </cell>
          <cell r="Y454">
            <v>-2433.8765388971115</v>
          </cell>
        </row>
        <row r="455">
          <cell r="B455">
            <v>906.59999999999945</v>
          </cell>
          <cell r="C455">
            <v>990.77499999999964</v>
          </cell>
          <cell r="D455">
            <v>906.60000000000036</v>
          </cell>
          <cell r="E455">
            <v>-1048.75</v>
          </cell>
          <cell r="F455">
            <v>-103.40000000000055</v>
          </cell>
          <cell r="G455">
            <v>-2253.1000000000004</v>
          </cell>
          <cell r="K455">
            <v>0</v>
          </cell>
          <cell r="L455">
            <v>0</v>
          </cell>
          <cell r="M455">
            <v>0</v>
          </cell>
          <cell r="N455">
            <v>227</v>
          </cell>
          <cell r="O455">
            <v>183</v>
          </cell>
          <cell r="P455">
            <v>317</v>
          </cell>
          <cell r="T455">
            <v>906.59999999999945</v>
          </cell>
          <cell r="U455">
            <v>1023.1499999999996</v>
          </cell>
          <cell r="V455">
            <v>906.60000000000036</v>
          </cell>
          <cell r="W455">
            <v>2219.1999999999994</v>
          </cell>
          <cell r="X455">
            <v>2220.4249999999988</v>
          </cell>
          <cell r="Y455">
            <v>595.02418574832654</v>
          </cell>
        </row>
        <row r="456">
          <cell r="B456">
            <v>906.59999999999945</v>
          </cell>
          <cell r="C456">
            <v>971.34999999999854</v>
          </cell>
          <cell r="D456">
            <v>906.59999999999945</v>
          </cell>
          <cell r="E456">
            <v>-1048.75</v>
          </cell>
          <cell r="F456">
            <v>-686.14999999999964</v>
          </cell>
          <cell r="G456">
            <v>-2835.8500000000004</v>
          </cell>
          <cell r="K456">
            <v>0</v>
          </cell>
          <cell r="L456">
            <v>0</v>
          </cell>
          <cell r="M456">
            <v>0</v>
          </cell>
          <cell r="N456">
            <v>190</v>
          </cell>
          <cell r="O456">
            <v>189</v>
          </cell>
          <cell r="P456">
            <v>317</v>
          </cell>
          <cell r="T456">
            <v>906.59999999999945</v>
          </cell>
          <cell r="U456">
            <v>990.77499999999964</v>
          </cell>
          <cell r="V456">
            <v>906.59999999999945</v>
          </cell>
          <cell r="W456">
            <v>2211.1999999999994</v>
          </cell>
          <cell r="X456">
            <v>2287.9499999999998</v>
          </cell>
          <cell r="Y456">
            <v>-2434.4000000000005</v>
          </cell>
        </row>
        <row r="457">
          <cell r="B457">
            <v>906.59999999999945</v>
          </cell>
          <cell r="C457">
            <v>977.82499999999982</v>
          </cell>
          <cell r="D457">
            <v>906.59999999999945</v>
          </cell>
          <cell r="E457">
            <v>-1035.8000000000002</v>
          </cell>
          <cell r="F457">
            <v>39.049999999999272</v>
          </cell>
          <cell r="G457">
            <v>-2356.6999999999998</v>
          </cell>
          <cell r="K457">
            <v>0</v>
          </cell>
          <cell r="L457">
            <v>0</v>
          </cell>
          <cell r="M457">
            <v>0</v>
          </cell>
          <cell r="N457">
            <v>217</v>
          </cell>
          <cell r="O457">
            <v>196</v>
          </cell>
          <cell r="P457">
            <v>306</v>
          </cell>
          <cell r="T457">
            <v>906.59999999999945</v>
          </cell>
          <cell r="U457">
            <v>945.44999999999982</v>
          </cell>
          <cell r="V457">
            <v>906.59999999999945</v>
          </cell>
          <cell r="W457">
            <v>2245.1999999999998</v>
          </cell>
          <cell r="X457">
            <v>1199.4348912515927</v>
          </cell>
          <cell r="Y457">
            <v>2413.1999999999998</v>
          </cell>
        </row>
        <row r="458">
          <cell r="B458">
            <v>906.59999999999945</v>
          </cell>
          <cell r="C458">
            <v>945.44999999999982</v>
          </cell>
          <cell r="D458">
            <v>906.59999999999945</v>
          </cell>
          <cell r="E458">
            <v>-815.65000000000055</v>
          </cell>
          <cell r="F458">
            <v>-491.89999999999964</v>
          </cell>
          <cell r="G458">
            <v>-2719.3</v>
          </cell>
          <cell r="K458">
            <v>0</v>
          </cell>
          <cell r="L458">
            <v>0</v>
          </cell>
          <cell r="M458">
            <v>0</v>
          </cell>
          <cell r="N458">
            <v>220</v>
          </cell>
          <cell r="O458">
            <v>191</v>
          </cell>
          <cell r="P458">
            <v>328</v>
          </cell>
          <cell r="T458">
            <v>906.59999999999945</v>
          </cell>
          <cell r="U458">
            <v>964.87499999999909</v>
          </cell>
          <cell r="V458">
            <v>906.60000000000036</v>
          </cell>
          <cell r="W458">
            <v>2263.1999999999998</v>
          </cell>
          <cell r="X458">
            <v>2194.5249999999992</v>
          </cell>
          <cell r="Y458">
            <v>-1491.9147791472526</v>
          </cell>
        </row>
        <row r="459">
          <cell r="B459">
            <v>906.59999999999945</v>
          </cell>
          <cell r="C459">
            <v>958.39999999999964</v>
          </cell>
          <cell r="D459">
            <v>906.60000000000036</v>
          </cell>
          <cell r="E459">
            <v>-906.30000000000018</v>
          </cell>
          <cell r="F459">
            <v>-420.67500000000018</v>
          </cell>
          <cell r="G459">
            <v>-2369.6500000000005</v>
          </cell>
          <cell r="K459">
            <v>0</v>
          </cell>
          <cell r="L459">
            <v>0</v>
          </cell>
          <cell r="M459">
            <v>0</v>
          </cell>
          <cell r="N459">
            <v>230</v>
          </cell>
          <cell r="O459">
            <v>176</v>
          </cell>
          <cell r="P459">
            <v>331</v>
          </cell>
          <cell r="T459">
            <v>906.59999999999945</v>
          </cell>
          <cell r="U459">
            <v>1016.6749999999993</v>
          </cell>
          <cell r="V459">
            <v>906.59999999999945</v>
          </cell>
          <cell r="W459">
            <v>2249.1999999999994</v>
          </cell>
          <cell r="X459">
            <v>-401.25</v>
          </cell>
          <cell r="Y459">
            <v>2437.1999999999989</v>
          </cell>
        </row>
        <row r="460">
          <cell r="B460">
            <v>906.59999999999945</v>
          </cell>
          <cell r="C460">
            <v>951.92499999999927</v>
          </cell>
          <cell r="D460">
            <v>906.59999999999945</v>
          </cell>
          <cell r="E460">
            <v>-1035.8000000000002</v>
          </cell>
          <cell r="F460">
            <v>-627.875</v>
          </cell>
          <cell r="G460">
            <v>-1786.9000000000005</v>
          </cell>
          <cell r="K460">
            <v>0</v>
          </cell>
          <cell r="L460">
            <v>0</v>
          </cell>
          <cell r="M460">
            <v>0</v>
          </cell>
          <cell r="N460">
            <v>243</v>
          </cell>
          <cell r="O460">
            <v>195</v>
          </cell>
          <cell r="P460">
            <v>330</v>
          </cell>
          <cell r="T460">
            <v>906.59999999999945</v>
          </cell>
          <cell r="U460">
            <v>997.24999999999909</v>
          </cell>
          <cell r="V460">
            <v>906.59999999999945</v>
          </cell>
          <cell r="W460">
            <v>2227.1999999999989</v>
          </cell>
          <cell r="X460">
            <v>1382.3030405219051</v>
          </cell>
          <cell r="Y460">
            <v>-729.94733592811758</v>
          </cell>
        </row>
        <row r="461">
          <cell r="B461">
            <v>906.59999999999945</v>
          </cell>
          <cell r="C461">
            <v>1010.1999999999998</v>
          </cell>
          <cell r="D461">
            <v>906.59999999999945</v>
          </cell>
          <cell r="E461">
            <v>-1255.9500000000007</v>
          </cell>
          <cell r="F461">
            <v>-375.35000000000036</v>
          </cell>
          <cell r="G461">
            <v>-2175.4000000000005</v>
          </cell>
          <cell r="K461">
            <v>0</v>
          </cell>
          <cell r="L461">
            <v>0</v>
          </cell>
          <cell r="M461">
            <v>0</v>
          </cell>
          <cell r="N461">
            <v>222</v>
          </cell>
          <cell r="O461">
            <v>192</v>
          </cell>
          <cell r="P461">
            <v>329</v>
          </cell>
          <cell r="T461">
            <v>906.59999999999945</v>
          </cell>
          <cell r="U461">
            <v>997.25</v>
          </cell>
          <cell r="V461">
            <v>906.59999999999945</v>
          </cell>
          <cell r="W461">
            <v>-595.57905618468567</v>
          </cell>
          <cell r="X461">
            <v>1180.376154793162</v>
          </cell>
          <cell r="Y461">
            <v>-19.260583816253074</v>
          </cell>
        </row>
        <row r="462">
          <cell r="B462">
            <v>906.59999999999945</v>
          </cell>
          <cell r="C462">
            <v>958.39999999999964</v>
          </cell>
          <cell r="D462">
            <v>906.59999999999945</v>
          </cell>
          <cell r="E462">
            <v>-1048.75</v>
          </cell>
          <cell r="F462">
            <v>-537.22500000000036</v>
          </cell>
          <cell r="G462">
            <v>-2447.3500000000004</v>
          </cell>
          <cell r="K462">
            <v>0</v>
          </cell>
          <cell r="L462">
            <v>0</v>
          </cell>
          <cell r="M462">
            <v>0</v>
          </cell>
          <cell r="N462">
            <v>203</v>
          </cell>
          <cell r="O462">
            <v>193</v>
          </cell>
          <cell r="P462">
            <v>311</v>
          </cell>
          <cell r="T462">
            <v>906.59999999999945</v>
          </cell>
          <cell r="U462">
            <v>977.82499999999891</v>
          </cell>
          <cell r="V462">
            <v>906.59999999999945</v>
          </cell>
          <cell r="W462">
            <v>2283.1999999999998</v>
          </cell>
          <cell r="X462">
            <v>2259.85</v>
          </cell>
          <cell r="Y462">
            <v>2469.1999999999989</v>
          </cell>
        </row>
        <row r="463">
          <cell r="B463">
            <v>906.59999999999945</v>
          </cell>
          <cell r="C463">
            <v>990.77499999999873</v>
          </cell>
          <cell r="D463">
            <v>906.59999999999945</v>
          </cell>
          <cell r="E463">
            <v>-1022.8500000000004</v>
          </cell>
          <cell r="F463">
            <v>-265.27499999999964</v>
          </cell>
          <cell r="G463">
            <v>-2097.7000000000007</v>
          </cell>
          <cell r="K463">
            <v>0</v>
          </cell>
          <cell r="L463">
            <v>0</v>
          </cell>
          <cell r="M463">
            <v>0</v>
          </cell>
          <cell r="N463">
            <v>226</v>
          </cell>
          <cell r="O463">
            <v>171</v>
          </cell>
          <cell r="P463">
            <v>304</v>
          </cell>
          <cell r="T463">
            <v>906.59999999999945</v>
          </cell>
          <cell r="U463">
            <v>990.77499999999964</v>
          </cell>
          <cell r="V463">
            <v>906.59999999999945</v>
          </cell>
          <cell r="W463">
            <v>2243.1999999999998</v>
          </cell>
          <cell r="X463">
            <v>2095.8853616427859</v>
          </cell>
          <cell r="Y463">
            <v>803.67344082678255</v>
          </cell>
        </row>
        <row r="464">
          <cell r="B464">
            <v>906.59999999999945</v>
          </cell>
          <cell r="C464">
            <v>945.44999999999982</v>
          </cell>
          <cell r="D464">
            <v>919.55000000000018</v>
          </cell>
          <cell r="E464">
            <v>-1307.75</v>
          </cell>
          <cell r="F464">
            <v>-446.57500000000073</v>
          </cell>
          <cell r="G464">
            <v>-2486.1999999999998</v>
          </cell>
          <cell r="K464">
            <v>0</v>
          </cell>
          <cell r="L464">
            <v>0</v>
          </cell>
          <cell r="M464">
            <v>0</v>
          </cell>
          <cell r="N464">
            <v>218</v>
          </cell>
          <cell r="O464">
            <v>191</v>
          </cell>
          <cell r="P464">
            <v>311</v>
          </cell>
          <cell r="T464">
            <v>906.59999999999945</v>
          </cell>
          <cell r="U464">
            <v>1003.7250000000004</v>
          </cell>
          <cell r="V464">
            <v>906.59999999999945</v>
          </cell>
          <cell r="W464">
            <v>2267.1999999999989</v>
          </cell>
          <cell r="X464">
            <v>2204.9</v>
          </cell>
          <cell r="Y464">
            <v>2441.1999999999998</v>
          </cell>
        </row>
        <row r="465">
          <cell r="B465">
            <v>906.59999999999945</v>
          </cell>
          <cell r="C465">
            <v>951.92499999999927</v>
          </cell>
          <cell r="D465">
            <v>906.59999999999945</v>
          </cell>
          <cell r="E465">
            <v>-828.60000000000036</v>
          </cell>
          <cell r="F465">
            <v>-336.5</v>
          </cell>
          <cell r="G465">
            <v>-2032.9500000000007</v>
          </cell>
          <cell r="K465">
            <v>0</v>
          </cell>
          <cell r="L465">
            <v>0</v>
          </cell>
          <cell r="M465">
            <v>0</v>
          </cell>
          <cell r="N465">
            <v>232</v>
          </cell>
          <cell r="O465">
            <v>207</v>
          </cell>
          <cell r="P465">
            <v>350</v>
          </cell>
          <cell r="T465">
            <v>906.59999999999945</v>
          </cell>
          <cell r="U465">
            <v>971.35000000000036</v>
          </cell>
          <cell r="V465">
            <v>906.60000000000036</v>
          </cell>
          <cell r="W465">
            <v>2255.1999999999998</v>
          </cell>
          <cell r="X465">
            <v>0.56517852371536037</v>
          </cell>
          <cell r="Y465">
            <v>366.05529775887499</v>
          </cell>
        </row>
        <row r="466">
          <cell r="B466">
            <v>906.59999999999945</v>
          </cell>
          <cell r="C466">
            <v>951.92499999999927</v>
          </cell>
          <cell r="D466">
            <v>906.59999999999945</v>
          </cell>
          <cell r="E466">
            <v>-867.45000000000073</v>
          </cell>
          <cell r="F466">
            <v>-621.40000000000055</v>
          </cell>
          <cell r="G466">
            <v>-2486.1999999999998</v>
          </cell>
          <cell r="K466">
            <v>0</v>
          </cell>
          <cell r="L466">
            <v>0</v>
          </cell>
          <cell r="M466">
            <v>0</v>
          </cell>
          <cell r="N466">
            <v>218</v>
          </cell>
          <cell r="O466">
            <v>188</v>
          </cell>
          <cell r="P466">
            <v>321</v>
          </cell>
          <cell r="T466">
            <v>906.59999999999945</v>
          </cell>
          <cell r="U466">
            <v>997.25</v>
          </cell>
          <cell r="V466">
            <v>906.60000000000036</v>
          </cell>
          <cell r="W466">
            <v>1086.7696620739021</v>
          </cell>
          <cell r="X466">
            <v>2231.4750000000004</v>
          </cell>
          <cell r="Y466">
            <v>2459.1999999999989</v>
          </cell>
        </row>
        <row r="467">
          <cell r="B467">
            <v>906.59999999999945</v>
          </cell>
          <cell r="C467">
            <v>1003.7249999999985</v>
          </cell>
          <cell r="D467">
            <v>919.55000000000018</v>
          </cell>
          <cell r="E467">
            <v>-996.95000000000073</v>
          </cell>
          <cell r="F467">
            <v>-699.10000000000036</v>
          </cell>
          <cell r="G467">
            <v>-2317.8500000000004</v>
          </cell>
          <cell r="K467">
            <v>0</v>
          </cell>
          <cell r="L467">
            <v>0</v>
          </cell>
          <cell r="M467">
            <v>5</v>
          </cell>
          <cell r="N467">
            <v>243</v>
          </cell>
          <cell r="O467">
            <v>184</v>
          </cell>
          <cell r="P467">
            <v>326</v>
          </cell>
          <cell r="T467">
            <v>906.59999999999945</v>
          </cell>
          <cell r="U467">
            <v>990.77499999999873</v>
          </cell>
          <cell r="V467">
            <v>906.60000000000036</v>
          </cell>
          <cell r="W467">
            <v>2331.1999999999994</v>
          </cell>
          <cell r="X467">
            <v>2246.4250000000002</v>
          </cell>
          <cell r="Y467">
            <v>2433.1999999999998</v>
          </cell>
        </row>
        <row r="468">
          <cell r="B468">
            <v>906.59999999999945</v>
          </cell>
          <cell r="C468">
            <v>971.34999999999945</v>
          </cell>
          <cell r="D468">
            <v>906.59999999999945</v>
          </cell>
          <cell r="E468">
            <v>-971.05000000000018</v>
          </cell>
          <cell r="F468">
            <v>-323.55000000000018</v>
          </cell>
          <cell r="G468">
            <v>-2071.8000000000002</v>
          </cell>
          <cell r="K468">
            <v>0</v>
          </cell>
          <cell r="L468">
            <v>0</v>
          </cell>
          <cell r="M468">
            <v>0</v>
          </cell>
          <cell r="N468">
            <v>218</v>
          </cell>
          <cell r="O468">
            <v>192</v>
          </cell>
          <cell r="P468">
            <v>324</v>
          </cell>
          <cell r="T468">
            <v>906.59999999999945</v>
          </cell>
          <cell r="U468">
            <v>984.29999999999927</v>
          </cell>
          <cell r="V468">
            <v>906.59999999999945</v>
          </cell>
          <cell r="W468">
            <v>2243.1999999999998</v>
          </cell>
          <cell r="X468">
            <v>2269.3749999999991</v>
          </cell>
          <cell r="Y468">
            <v>2461.1999999999998</v>
          </cell>
        </row>
        <row r="469">
          <cell r="B469">
            <v>906.59999999999945</v>
          </cell>
          <cell r="C469">
            <v>971.34999999999945</v>
          </cell>
          <cell r="D469">
            <v>906.59999999999945</v>
          </cell>
          <cell r="E469">
            <v>-996.95000000000073</v>
          </cell>
          <cell r="F469">
            <v>-789.75</v>
          </cell>
          <cell r="G469">
            <v>-2408.5</v>
          </cell>
          <cell r="K469">
            <v>0</v>
          </cell>
          <cell r="L469">
            <v>0</v>
          </cell>
          <cell r="M469">
            <v>0</v>
          </cell>
          <cell r="N469">
            <v>215</v>
          </cell>
          <cell r="O469">
            <v>188</v>
          </cell>
          <cell r="P469">
            <v>320</v>
          </cell>
          <cell r="T469">
            <v>906.59999999999945</v>
          </cell>
          <cell r="U469">
            <v>984.30000000000018</v>
          </cell>
          <cell r="V469">
            <v>906.59999999999945</v>
          </cell>
          <cell r="W469">
            <v>2267.1999999999989</v>
          </cell>
          <cell r="X469">
            <v>2219.3749999999991</v>
          </cell>
          <cell r="Y469">
            <v>2497.1999999999998</v>
          </cell>
        </row>
        <row r="470">
          <cell r="B470">
            <v>906.59999999999945</v>
          </cell>
          <cell r="C470">
            <v>964.875</v>
          </cell>
          <cell r="D470">
            <v>906.59999999999945</v>
          </cell>
          <cell r="E470">
            <v>-1204.1500000000005</v>
          </cell>
          <cell r="F470">
            <v>-627.875</v>
          </cell>
          <cell r="G470">
            <v>-2563.9000000000005</v>
          </cell>
          <cell r="K470">
            <v>0</v>
          </cell>
          <cell r="L470">
            <v>0</v>
          </cell>
          <cell r="M470">
            <v>0</v>
          </cell>
          <cell r="N470">
            <v>247</v>
          </cell>
          <cell r="O470">
            <v>199</v>
          </cell>
          <cell r="P470">
            <v>322</v>
          </cell>
          <cell r="T470">
            <v>906.59999999999945</v>
          </cell>
          <cell r="U470">
            <v>951.92500000000018</v>
          </cell>
          <cell r="V470">
            <v>906.60000000000036</v>
          </cell>
          <cell r="W470">
            <v>-163.15916276904613</v>
          </cell>
          <cell r="X470">
            <v>2236.4250000000002</v>
          </cell>
          <cell r="Y470">
            <v>2433.1999999999998</v>
          </cell>
        </row>
        <row r="471">
          <cell r="B471">
            <v>906.59999999999945</v>
          </cell>
          <cell r="C471">
            <v>984.29999999999927</v>
          </cell>
          <cell r="D471">
            <v>906.59999999999945</v>
          </cell>
          <cell r="E471">
            <v>-932.20000000000073</v>
          </cell>
          <cell r="F471">
            <v>-472.47500000000036</v>
          </cell>
          <cell r="G471">
            <v>-2084.75</v>
          </cell>
          <cell r="K471">
            <v>0</v>
          </cell>
          <cell r="L471">
            <v>0</v>
          </cell>
          <cell r="M471">
            <v>0</v>
          </cell>
          <cell r="N471">
            <v>216</v>
          </cell>
          <cell r="O471">
            <v>186</v>
          </cell>
          <cell r="P471">
            <v>341</v>
          </cell>
          <cell r="T471">
            <v>906.59999999999945</v>
          </cell>
          <cell r="U471">
            <v>984.29999999999927</v>
          </cell>
          <cell r="V471">
            <v>906.59999999999945</v>
          </cell>
          <cell r="W471">
            <v>2261.1999999999994</v>
          </cell>
          <cell r="X471">
            <v>2215.3749999999995</v>
          </cell>
          <cell r="Y471">
            <v>2425.1999999999998</v>
          </cell>
        </row>
        <row r="472">
          <cell r="B472">
            <v>906.59999999999945</v>
          </cell>
          <cell r="C472">
            <v>964.87499999999909</v>
          </cell>
          <cell r="D472">
            <v>906.59999999999945</v>
          </cell>
          <cell r="E472">
            <v>-867.45000000000073</v>
          </cell>
          <cell r="F472">
            <v>-362.40000000000055</v>
          </cell>
          <cell r="G472">
            <v>-2240.1500000000005</v>
          </cell>
          <cell r="K472">
            <v>0</v>
          </cell>
          <cell r="L472">
            <v>0</v>
          </cell>
          <cell r="M472">
            <v>0</v>
          </cell>
          <cell r="N472">
            <v>212</v>
          </cell>
          <cell r="O472">
            <v>181</v>
          </cell>
          <cell r="P472">
            <v>311</v>
          </cell>
          <cell r="T472">
            <v>906.59999999999945</v>
          </cell>
          <cell r="U472">
            <v>971.35000000000036</v>
          </cell>
          <cell r="V472">
            <v>906.60000000000036</v>
          </cell>
          <cell r="W472">
            <v>2285.1999999999998</v>
          </cell>
          <cell r="X472">
            <v>2200.5249999999996</v>
          </cell>
          <cell r="Y472">
            <v>2445.1999999999998</v>
          </cell>
        </row>
        <row r="473">
          <cell r="B473">
            <v>906.59999999999945</v>
          </cell>
          <cell r="C473">
            <v>951.92500000000018</v>
          </cell>
          <cell r="D473">
            <v>906.59999999999945</v>
          </cell>
          <cell r="E473">
            <v>-1165.3000000000002</v>
          </cell>
          <cell r="F473">
            <v>-466</v>
          </cell>
          <cell r="G473">
            <v>-2628.6500000000005</v>
          </cell>
          <cell r="K473">
            <v>0</v>
          </cell>
          <cell r="L473">
            <v>0</v>
          </cell>
          <cell r="M473">
            <v>0</v>
          </cell>
          <cell r="N473">
            <v>229</v>
          </cell>
          <cell r="O473">
            <v>160</v>
          </cell>
          <cell r="P473">
            <v>323</v>
          </cell>
          <cell r="T473">
            <v>906.59999999999945</v>
          </cell>
          <cell r="U473">
            <v>971.34999999999854</v>
          </cell>
          <cell r="V473">
            <v>906.59999999999945</v>
          </cell>
          <cell r="W473">
            <v>2237.1999999999989</v>
          </cell>
          <cell r="X473">
            <v>424.45526962766007</v>
          </cell>
          <cell r="Y473">
            <v>327.86364984473221</v>
          </cell>
        </row>
        <row r="474">
          <cell r="B474">
            <v>906.59999999999945</v>
          </cell>
          <cell r="C474">
            <v>964.87499999999909</v>
          </cell>
          <cell r="D474">
            <v>906.59999999999945</v>
          </cell>
          <cell r="E474">
            <v>-971.05000000000018</v>
          </cell>
          <cell r="F474">
            <v>-219.95000000000073</v>
          </cell>
          <cell r="G474">
            <v>-2447.3500000000004</v>
          </cell>
          <cell r="K474">
            <v>0</v>
          </cell>
          <cell r="L474">
            <v>0</v>
          </cell>
          <cell r="M474">
            <v>0</v>
          </cell>
          <cell r="N474">
            <v>208</v>
          </cell>
          <cell r="O474">
            <v>192</v>
          </cell>
          <cell r="P474">
            <v>333</v>
          </cell>
          <cell r="T474">
            <v>906.59999999999945</v>
          </cell>
          <cell r="U474">
            <v>964.875</v>
          </cell>
          <cell r="V474">
            <v>906.59999999999945</v>
          </cell>
          <cell r="W474">
            <v>2223.1999999999998</v>
          </cell>
          <cell r="X474">
            <v>2246.9999999999991</v>
          </cell>
          <cell r="Y474">
            <v>2423.1999999999998</v>
          </cell>
        </row>
        <row r="475">
          <cell r="B475">
            <v>906.59999999999945</v>
          </cell>
          <cell r="C475">
            <v>977.82499999999982</v>
          </cell>
          <cell r="D475">
            <v>906.60000000000036</v>
          </cell>
          <cell r="E475">
            <v>-1152.3500000000004</v>
          </cell>
          <cell r="F475">
            <v>-582.55000000000018</v>
          </cell>
          <cell r="G475">
            <v>-2149.5</v>
          </cell>
          <cell r="K475">
            <v>0</v>
          </cell>
          <cell r="L475">
            <v>0</v>
          </cell>
          <cell r="M475">
            <v>0</v>
          </cell>
          <cell r="N475">
            <v>216</v>
          </cell>
          <cell r="O475">
            <v>201</v>
          </cell>
          <cell r="P475">
            <v>338</v>
          </cell>
          <cell r="T475">
            <v>906.59999999999945</v>
          </cell>
          <cell r="U475">
            <v>1029.625</v>
          </cell>
          <cell r="V475">
            <v>906.59999999999945</v>
          </cell>
          <cell r="W475">
            <v>-1010.7861908829184</v>
          </cell>
          <cell r="X475">
            <v>2237.9499999999998</v>
          </cell>
          <cell r="Y475">
            <v>829.20098648873409</v>
          </cell>
        </row>
        <row r="476">
          <cell r="B476">
            <v>906.59999999999945</v>
          </cell>
          <cell r="C476">
            <v>951.92499999999927</v>
          </cell>
          <cell r="D476">
            <v>906.59999999999945</v>
          </cell>
          <cell r="E476">
            <v>-1009.9000000000005</v>
          </cell>
          <cell r="F476">
            <v>-595.5</v>
          </cell>
          <cell r="G476">
            <v>-2460.3000000000002</v>
          </cell>
          <cell r="K476">
            <v>0</v>
          </cell>
          <cell r="L476">
            <v>0</v>
          </cell>
          <cell r="M476">
            <v>0</v>
          </cell>
          <cell r="N476">
            <v>225</v>
          </cell>
          <cell r="O476">
            <v>179</v>
          </cell>
          <cell r="P476">
            <v>328</v>
          </cell>
          <cell r="T476">
            <v>906.59999999999945</v>
          </cell>
          <cell r="U476">
            <v>1010.1999999999998</v>
          </cell>
          <cell r="V476">
            <v>906.60000000000036</v>
          </cell>
          <cell r="W476">
            <v>1377.3900336539191</v>
          </cell>
          <cell r="X476">
            <v>2210.5249999999996</v>
          </cell>
          <cell r="Y476">
            <v>2431.1999999999998</v>
          </cell>
        </row>
        <row r="477">
          <cell r="B477">
            <v>906.59999999999945</v>
          </cell>
          <cell r="C477">
            <v>984.29999999999927</v>
          </cell>
          <cell r="D477">
            <v>906.60000000000036</v>
          </cell>
          <cell r="E477">
            <v>-1087.6000000000004</v>
          </cell>
          <cell r="F477">
            <v>-446.57500000000073</v>
          </cell>
          <cell r="G477">
            <v>-2097.7000000000007</v>
          </cell>
          <cell r="K477">
            <v>0</v>
          </cell>
          <cell r="L477">
            <v>0</v>
          </cell>
          <cell r="M477">
            <v>0</v>
          </cell>
          <cell r="N477">
            <v>224</v>
          </cell>
          <cell r="O477">
            <v>175</v>
          </cell>
          <cell r="P477">
            <v>337</v>
          </cell>
          <cell r="T477">
            <v>906.59999999999945</v>
          </cell>
          <cell r="U477">
            <v>984.29999999999927</v>
          </cell>
          <cell r="V477">
            <v>906.59999999999945</v>
          </cell>
          <cell r="W477">
            <v>2239.1999999999994</v>
          </cell>
          <cell r="X477">
            <v>-333.30553903574952</v>
          </cell>
          <cell r="Y477">
            <v>2450.1499999999996</v>
          </cell>
        </row>
        <row r="478">
          <cell r="B478">
            <v>906.59999999999945</v>
          </cell>
          <cell r="C478">
            <v>1023.1499999999996</v>
          </cell>
          <cell r="D478">
            <v>906.59999999999945</v>
          </cell>
          <cell r="E478">
            <v>-1048.75</v>
          </cell>
          <cell r="F478">
            <v>-653.77499999999964</v>
          </cell>
          <cell r="G478">
            <v>-2266.0500000000002</v>
          </cell>
          <cell r="K478">
            <v>0</v>
          </cell>
          <cell r="L478">
            <v>0</v>
          </cell>
          <cell r="M478">
            <v>0</v>
          </cell>
          <cell r="N478">
            <v>223</v>
          </cell>
          <cell r="O478">
            <v>193</v>
          </cell>
          <cell r="P478">
            <v>339</v>
          </cell>
          <cell r="T478">
            <v>906.59999999999945</v>
          </cell>
          <cell r="U478">
            <v>997.25</v>
          </cell>
          <cell r="V478">
            <v>906.59999999999945</v>
          </cell>
          <cell r="W478">
            <v>2227.1999999999989</v>
          </cell>
          <cell r="X478">
            <v>2280.8999999999996</v>
          </cell>
          <cell r="Y478">
            <v>-1096.2624269132657</v>
          </cell>
        </row>
        <row r="479">
          <cell r="B479">
            <v>906.59999999999945</v>
          </cell>
          <cell r="C479">
            <v>945.44999999999982</v>
          </cell>
          <cell r="D479">
            <v>906.59999999999945</v>
          </cell>
          <cell r="E479">
            <v>-1217.1000000000004</v>
          </cell>
          <cell r="F479">
            <v>-472.47500000000036</v>
          </cell>
          <cell r="G479">
            <v>-2227.2000000000007</v>
          </cell>
          <cell r="K479">
            <v>0</v>
          </cell>
          <cell r="L479">
            <v>0</v>
          </cell>
          <cell r="M479">
            <v>0</v>
          </cell>
          <cell r="N479">
            <v>234</v>
          </cell>
          <cell r="O479">
            <v>170</v>
          </cell>
          <cell r="P479">
            <v>318</v>
          </cell>
          <cell r="T479">
            <v>906.59999999999945</v>
          </cell>
          <cell r="U479">
            <v>984.29999999999927</v>
          </cell>
          <cell r="V479">
            <v>906.60000000000036</v>
          </cell>
          <cell r="W479">
            <v>1719.7988692534313</v>
          </cell>
          <cell r="X479">
            <v>912.46807637153825</v>
          </cell>
          <cell r="Y479">
            <v>2469.1999999999989</v>
          </cell>
        </row>
        <row r="480">
          <cell r="B480">
            <v>906.59999999999945</v>
          </cell>
          <cell r="C480">
            <v>984.29999999999927</v>
          </cell>
          <cell r="D480">
            <v>906.60000000000036</v>
          </cell>
          <cell r="E480">
            <v>-1152.3500000000004</v>
          </cell>
          <cell r="F480">
            <v>-511.32500000000073</v>
          </cell>
          <cell r="G480">
            <v>-2279</v>
          </cell>
          <cell r="K480">
            <v>0</v>
          </cell>
          <cell r="L480">
            <v>0</v>
          </cell>
          <cell r="M480">
            <v>0</v>
          </cell>
          <cell r="N480">
            <v>230</v>
          </cell>
          <cell r="O480">
            <v>193</v>
          </cell>
          <cell r="P480">
            <v>327</v>
          </cell>
          <cell r="T480">
            <v>906.59999999999945</v>
          </cell>
          <cell r="U480">
            <v>990.77499999999964</v>
          </cell>
          <cell r="V480">
            <v>906.60000000000036</v>
          </cell>
          <cell r="W480">
            <v>2311.1999999999994</v>
          </cell>
          <cell r="X480">
            <v>2224.0500000000002</v>
          </cell>
          <cell r="Y480">
            <v>1421.7119526036195</v>
          </cell>
        </row>
        <row r="481">
          <cell r="B481">
            <v>906.59999999999945</v>
          </cell>
          <cell r="C481">
            <v>964.87499999999909</v>
          </cell>
          <cell r="D481">
            <v>906.60000000000036</v>
          </cell>
          <cell r="E481">
            <v>-1268.9000000000005</v>
          </cell>
          <cell r="F481">
            <v>-297.65000000000055</v>
          </cell>
          <cell r="G481">
            <v>-2330.8000000000002</v>
          </cell>
          <cell r="K481">
            <v>0</v>
          </cell>
          <cell r="L481">
            <v>0</v>
          </cell>
          <cell r="M481">
            <v>0</v>
          </cell>
          <cell r="N481">
            <v>241</v>
          </cell>
          <cell r="O481">
            <v>198</v>
          </cell>
          <cell r="P481">
            <v>342</v>
          </cell>
          <cell r="T481">
            <v>906.59999999999945</v>
          </cell>
          <cell r="U481">
            <v>951.92499999999927</v>
          </cell>
          <cell r="V481">
            <v>906.59999999999945</v>
          </cell>
          <cell r="W481">
            <v>2249.1999999999994</v>
          </cell>
          <cell r="X481">
            <v>2298.3249999999994</v>
          </cell>
          <cell r="Y481">
            <v>931.61704657682822</v>
          </cell>
        </row>
        <row r="482">
          <cell r="B482">
            <v>906.59999999999945</v>
          </cell>
          <cell r="C482">
            <v>932.5</v>
          </cell>
          <cell r="D482">
            <v>906.59999999999945</v>
          </cell>
          <cell r="E482">
            <v>-1217.1000000000004</v>
          </cell>
          <cell r="F482">
            <v>-608.45000000000073</v>
          </cell>
          <cell r="G482">
            <v>-2330.8000000000002</v>
          </cell>
          <cell r="K482">
            <v>0</v>
          </cell>
          <cell r="L482">
            <v>0</v>
          </cell>
          <cell r="M482">
            <v>0</v>
          </cell>
          <cell r="N482">
            <v>223</v>
          </cell>
          <cell r="O482">
            <v>164</v>
          </cell>
          <cell r="P482">
            <v>313</v>
          </cell>
          <cell r="T482">
            <v>906.59999999999945</v>
          </cell>
          <cell r="U482">
            <v>1016.6749999999993</v>
          </cell>
          <cell r="V482">
            <v>906.59999999999945</v>
          </cell>
          <cell r="W482">
            <v>2233.1999999999998</v>
          </cell>
          <cell r="X482">
            <v>2256.4250000000002</v>
          </cell>
          <cell r="Y482">
            <v>-1006.8118782463664</v>
          </cell>
        </row>
        <row r="483">
          <cell r="B483">
            <v>906.59999999999945</v>
          </cell>
          <cell r="C483">
            <v>984.30000000000018</v>
          </cell>
          <cell r="D483">
            <v>906.59999999999945</v>
          </cell>
          <cell r="E483">
            <v>-1061.7000000000007</v>
          </cell>
          <cell r="F483">
            <v>-368.875</v>
          </cell>
          <cell r="G483">
            <v>-2589.8000000000002</v>
          </cell>
          <cell r="K483">
            <v>0</v>
          </cell>
          <cell r="L483">
            <v>0</v>
          </cell>
          <cell r="M483">
            <v>0</v>
          </cell>
          <cell r="N483">
            <v>216</v>
          </cell>
          <cell r="O483">
            <v>196</v>
          </cell>
          <cell r="P483">
            <v>315</v>
          </cell>
          <cell r="T483">
            <v>906.59999999999945</v>
          </cell>
          <cell r="U483">
            <v>958.39999999999964</v>
          </cell>
          <cell r="V483">
            <v>906.60000000000036</v>
          </cell>
          <cell r="W483">
            <v>2243.1999999999998</v>
          </cell>
          <cell r="X483">
            <v>2170.6249999999995</v>
          </cell>
          <cell r="Y483">
            <v>1069.770203920631</v>
          </cell>
        </row>
        <row r="484">
          <cell r="B484">
            <v>906.59999999999945</v>
          </cell>
          <cell r="C484">
            <v>958.39999999999964</v>
          </cell>
          <cell r="D484">
            <v>906.59999999999945</v>
          </cell>
          <cell r="E484">
            <v>-984</v>
          </cell>
          <cell r="F484">
            <v>-537.22500000000036</v>
          </cell>
          <cell r="G484">
            <v>-2253.1000000000004</v>
          </cell>
          <cell r="K484">
            <v>0</v>
          </cell>
          <cell r="L484">
            <v>0</v>
          </cell>
          <cell r="M484">
            <v>0</v>
          </cell>
          <cell r="N484">
            <v>221</v>
          </cell>
          <cell r="O484">
            <v>185</v>
          </cell>
          <cell r="P484">
            <v>309</v>
          </cell>
          <cell r="T484">
            <v>906.59999999999945</v>
          </cell>
          <cell r="U484">
            <v>997.24999999999909</v>
          </cell>
          <cell r="V484">
            <v>906.60000000000036</v>
          </cell>
          <cell r="W484">
            <v>2223.1999999999998</v>
          </cell>
          <cell r="X484">
            <v>2223.9499999999994</v>
          </cell>
          <cell r="Y484">
            <v>2452.1499999999987</v>
          </cell>
        </row>
        <row r="485">
          <cell r="B485">
            <v>906.59999999999945</v>
          </cell>
          <cell r="C485">
            <v>997.25</v>
          </cell>
          <cell r="D485">
            <v>906.59999999999945</v>
          </cell>
          <cell r="E485">
            <v>-1035.8000000000002</v>
          </cell>
          <cell r="F485">
            <v>-401.25</v>
          </cell>
          <cell r="G485">
            <v>-2421.4499999999998</v>
          </cell>
          <cell r="K485">
            <v>0</v>
          </cell>
          <cell r="L485">
            <v>0</v>
          </cell>
          <cell r="M485">
            <v>0</v>
          </cell>
          <cell r="N485">
            <v>227</v>
          </cell>
          <cell r="O485">
            <v>213</v>
          </cell>
          <cell r="P485">
            <v>327</v>
          </cell>
          <cell r="T485">
            <v>906.59999999999945</v>
          </cell>
          <cell r="U485">
            <v>971.34999999999945</v>
          </cell>
          <cell r="V485">
            <v>906.60000000000036</v>
          </cell>
          <cell r="W485">
            <v>2263.1999999999998</v>
          </cell>
          <cell r="X485">
            <v>380.72914475438358</v>
          </cell>
          <cell r="Y485">
            <v>-2382.6000000000004</v>
          </cell>
        </row>
        <row r="486">
          <cell r="B486">
            <v>906.59999999999945</v>
          </cell>
          <cell r="C486">
            <v>1010.1999999999998</v>
          </cell>
          <cell r="D486">
            <v>906.59999999999945</v>
          </cell>
          <cell r="E486">
            <v>-1152.3500000000004</v>
          </cell>
          <cell r="F486">
            <v>-336.5</v>
          </cell>
          <cell r="G486">
            <v>-2343.75</v>
          </cell>
          <cell r="K486">
            <v>0</v>
          </cell>
          <cell r="L486">
            <v>0</v>
          </cell>
          <cell r="M486">
            <v>0</v>
          </cell>
          <cell r="N486">
            <v>216</v>
          </cell>
          <cell r="O486">
            <v>156</v>
          </cell>
          <cell r="P486">
            <v>306</v>
          </cell>
          <cell r="T486">
            <v>906.59999999999945</v>
          </cell>
          <cell r="U486">
            <v>951.92499999999927</v>
          </cell>
          <cell r="V486">
            <v>919.55000000000018</v>
          </cell>
          <cell r="W486">
            <v>2251.1999999999994</v>
          </cell>
          <cell r="X486">
            <v>2214.4249999999993</v>
          </cell>
          <cell r="Y486">
            <v>2421.1999999999998</v>
          </cell>
        </row>
        <row r="487">
          <cell r="B487">
            <v>906.59999999999945</v>
          </cell>
          <cell r="C487">
            <v>958.39999999999873</v>
          </cell>
          <cell r="D487">
            <v>906.59999999999945</v>
          </cell>
          <cell r="E487">
            <v>-1139.4000000000005</v>
          </cell>
          <cell r="F487">
            <v>-582.55000000000109</v>
          </cell>
          <cell r="G487">
            <v>-2253.1000000000004</v>
          </cell>
          <cell r="K487">
            <v>0</v>
          </cell>
          <cell r="L487">
            <v>0</v>
          </cell>
          <cell r="M487">
            <v>0</v>
          </cell>
          <cell r="N487">
            <v>228</v>
          </cell>
          <cell r="O487">
            <v>187</v>
          </cell>
          <cell r="P487">
            <v>314</v>
          </cell>
          <cell r="T487">
            <v>906.59999999999945</v>
          </cell>
          <cell r="U487">
            <v>984.29999999999927</v>
          </cell>
          <cell r="V487">
            <v>906.59999999999945</v>
          </cell>
          <cell r="W487">
            <v>1333.055206742637</v>
          </cell>
          <cell r="X487">
            <v>2272.3249999999998</v>
          </cell>
          <cell r="Y487">
            <v>2477.1999999999998</v>
          </cell>
        </row>
        <row r="488">
          <cell r="B488">
            <v>906.59999999999945</v>
          </cell>
          <cell r="C488">
            <v>990.77499999999964</v>
          </cell>
          <cell r="D488">
            <v>906.59999999999945</v>
          </cell>
          <cell r="E488">
            <v>-932.20000000000073</v>
          </cell>
          <cell r="F488">
            <v>-304.125</v>
          </cell>
          <cell r="G488">
            <v>-2667.5</v>
          </cell>
          <cell r="K488">
            <v>0</v>
          </cell>
          <cell r="L488">
            <v>0</v>
          </cell>
          <cell r="M488">
            <v>0</v>
          </cell>
          <cell r="N488">
            <v>244</v>
          </cell>
          <cell r="O488">
            <v>186</v>
          </cell>
          <cell r="P488">
            <v>360</v>
          </cell>
          <cell r="T488">
            <v>906.59999999999945</v>
          </cell>
          <cell r="U488">
            <v>1003.7249999999995</v>
          </cell>
          <cell r="V488">
            <v>906.59999999999945</v>
          </cell>
          <cell r="W488">
            <v>2265.1999999999998</v>
          </cell>
          <cell r="X488">
            <v>2196.7291466759439</v>
          </cell>
          <cell r="Y488">
            <v>1942.7040789672583</v>
          </cell>
        </row>
        <row r="489">
          <cell r="B489">
            <v>906.59999999999945</v>
          </cell>
          <cell r="C489">
            <v>1023.1499999999996</v>
          </cell>
          <cell r="D489">
            <v>906.60000000000036</v>
          </cell>
          <cell r="E489">
            <v>-1048.75</v>
          </cell>
          <cell r="F489">
            <v>-789.75</v>
          </cell>
          <cell r="G489">
            <v>-2149.5</v>
          </cell>
          <cell r="K489">
            <v>0</v>
          </cell>
          <cell r="L489">
            <v>0</v>
          </cell>
          <cell r="M489">
            <v>0</v>
          </cell>
          <cell r="N489">
            <v>201</v>
          </cell>
          <cell r="O489">
            <v>188</v>
          </cell>
          <cell r="P489">
            <v>315</v>
          </cell>
          <cell r="T489">
            <v>906.59999999999945</v>
          </cell>
          <cell r="U489">
            <v>958.39999999999964</v>
          </cell>
          <cell r="V489">
            <v>906.59999999999945</v>
          </cell>
          <cell r="W489">
            <v>2267.1999999999989</v>
          </cell>
          <cell r="X489">
            <v>2202.0499999999993</v>
          </cell>
          <cell r="Y489">
            <v>-2032.9500000000007</v>
          </cell>
        </row>
        <row r="490">
          <cell r="B490">
            <v>906.59999999999945</v>
          </cell>
          <cell r="C490">
            <v>984.29999999999927</v>
          </cell>
          <cell r="D490">
            <v>906.59999999999945</v>
          </cell>
          <cell r="E490">
            <v>-1048.75</v>
          </cell>
          <cell r="F490">
            <v>-517.80000000000018</v>
          </cell>
          <cell r="G490">
            <v>-2123.6000000000004</v>
          </cell>
          <cell r="K490">
            <v>0</v>
          </cell>
          <cell r="L490">
            <v>0</v>
          </cell>
          <cell r="M490">
            <v>0</v>
          </cell>
          <cell r="N490">
            <v>207</v>
          </cell>
          <cell r="O490">
            <v>193</v>
          </cell>
          <cell r="P490">
            <v>303</v>
          </cell>
          <cell r="T490">
            <v>906.59999999999945</v>
          </cell>
          <cell r="U490">
            <v>964.875</v>
          </cell>
          <cell r="V490">
            <v>906.59999999999945</v>
          </cell>
          <cell r="W490">
            <v>1128.5311644391873</v>
          </cell>
          <cell r="X490">
            <v>2255.9499999999994</v>
          </cell>
          <cell r="Y490">
            <v>2445.1999999999998</v>
          </cell>
        </row>
        <row r="491">
          <cell r="B491">
            <v>906.59999999999945</v>
          </cell>
          <cell r="C491">
            <v>997.25</v>
          </cell>
          <cell r="D491">
            <v>906.59999999999945</v>
          </cell>
          <cell r="E491">
            <v>-1048.75</v>
          </cell>
          <cell r="F491">
            <v>-323.55000000000109</v>
          </cell>
          <cell r="G491">
            <v>-2369.6500000000005</v>
          </cell>
          <cell r="K491">
            <v>0</v>
          </cell>
          <cell r="L491">
            <v>0</v>
          </cell>
          <cell r="M491">
            <v>0</v>
          </cell>
          <cell r="N491">
            <v>227</v>
          </cell>
          <cell r="O491">
            <v>196</v>
          </cell>
          <cell r="P491">
            <v>330</v>
          </cell>
          <cell r="T491">
            <v>906.59999999999945</v>
          </cell>
          <cell r="U491">
            <v>971.34999999999945</v>
          </cell>
          <cell r="V491">
            <v>906.60000000000036</v>
          </cell>
          <cell r="W491">
            <v>197.9026103892752</v>
          </cell>
          <cell r="X491">
            <v>2218.5249999999996</v>
          </cell>
          <cell r="Y491">
            <v>-967.89969863236456</v>
          </cell>
        </row>
        <row r="492">
          <cell r="B492">
            <v>906.59999999999945</v>
          </cell>
          <cell r="C492">
            <v>977.82499999999982</v>
          </cell>
          <cell r="D492">
            <v>906.60000000000036</v>
          </cell>
          <cell r="E492">
            <v>-1139.4000000000005</v>
          </cell>
          <cell r="F492">
            <v>-718.52499999999964</v>
          </cell>
          <cell r="G492">
            <v>-2240.1500000000005</v>
          </cell>
          <cell r="K492">
            <v>0</v>
          </cell>
          <cell r="L492">
            <v>0</v>
          </cell>
          <cell r="M492">
            <v>0</v>
          </cell>
          <cell r="N492">
            <v>229</v>
          </cell>
          <cell r="O492">
            <v>193</v>
          </cell>
          <cell r="P492">
            <v>307</v>
          </cell>
          <cell r="T492">
            <v>906.59999999999945</v>
          </cell>
          <cell r="U492">
            <v>977.82499999999891</v>
          </cell>
          <cell r="V492">
            <v>906.59999999999945</v>
          </cell>
          <cell r="W492">
            <v>2247.1999999999989</v>
          </cell>
          <cell r="X492">
            <v>2276.7999999999993</v>
          </cell>
          <cell r="Y492">
            <v>2435.1999999999998</v>
          </cell>
        </row>
        <row r="493">
          <cell r="B493">
            <v>906.59999999999945</v>
          </cell>
          <cell r="C493">
            <v>1010.1999999999989</v>
          </cell>
          <cell r="D493">
            <v>906.59999999999945</v>
          </cell>
          <cell r="E493">
            <v>-1087.6000000000004</v>
          </cell>
          <cell r="F493">
            <v>-446.57500000000073</v>
          </cell>
          <cell r="G493">
            <v>-2382.6000000000004</v>
          </cell>
          <cell r="K493">
            <v>0</v>
          </cell>
          <cell r="L493">
            <v>0</v>
          </cell>
          <cell r="M493">
            <v>0</v>
          </cell>
          <cell r="N493">
            <v>235</v>
          </cell>
          <cell r="O493">
            <v>206</v>
          </cell>
          <cell r="P493">
            <v>317</v>
          </cell>
          <cell r="T493">
            <v>906.59999999999945</v>
          </cell>
          <cell r="U493">
            <v>984.29999999999927</v>
          </cell>
          <cell r="V493">
            <v>906.60000000000036</v>
          </cell>
          <cell r="W493">
            <v>1340.4472781838163</v>
          </cell>
          <cell r="X493">
            <v>2122.5742804166202</v>
          </cell>
          <cell r="Y493">
            <v>1872.7574890772521</v>
          </cell>
        </row>
        <row r="494">
          <cell r="B494">
            <v>906.59999999999945</v>
          </cell>
          <cell r="C494">
            <v>958.39999999999964</v>
          </cell>
          <cell r="D494">
            <v>906.60000000000036</v>
          </cell>
          <cell r="E494">
            <v>-841.55000000000018</v>
          </cell>
          <cell r="F494">
            <v>-627.875</v>
          </cell>
          <cell r="G494">
            <v>-2201.3000000000002</v>
          </cell>
          <cell r="K494">
            <v>0</v>
          </cell>
          <cell r="L494">
            <v>0</v>
          </cell>
          <cell r="M494">
            <v>0</v>
          </cell>
          <cell r="N494">
            <v>224</v>
          </cell>
          <cell r="O494">
            <v>173</v>
          </cell>
          <cell r="P494">
            <v>320</v>
          </cell>
          <cell r="T494">
            <v>906.59999999999945</v>
          </cell>
          <cell r="U494">
            <v>1010.1999999999998</v>
          </cell>
          <cell r="V494">
            <v>906.59999999999945</v>
          </cell>
          <cell r="W494">
            <v>2263.1999999999998</v>
          </cell>
          <cell r="X494">
            <v>2200.0499999999997</v>
          </cell>
          <cell r="Y494">
            <v>2455.1999999999998</v>
          </cell>
        </row>
        <row r="495">
          <cell r="B495">
            <v>906.59999999999945</v>
          </cell>
          <cell r="C495">
            <v>951.92499999999927</v>
          </cell>
          <cell r="D495">
            <v>906.60000000000036</v>
          </cell>
          <cell r="E495">
            <v>-1204.1500000000005</v>
          </cell>
          <cell r="F495">
            <v>-407.72500000000036</v>
          </cell>
          <cell r="G495">
            <v>-2434.4000000000005</v>
          </cell>
          <cell r="K495">
            <v>0</v>
          </cell>
          <cell r="L495">
            <v>0</v>
          </cell>
          <cell r="M495">
            <v>0</v>
          </cell>
          <cell r="N495">
            <v>213</v>
          </cell>
          <cell r="O495">
            <v>183</v>
          </cell>
          <cell r="P495">
            <v>352</v>
          </cell>
          <cell r="T495">
            <v>906.59999999999945</v>
          </cell>
          <cell r="U495">
            <v>997.25</v>
          </cell>
          <cell r="V495">
            <v>906.60000000000036</v>
          </cell>
          <cell r="W495">
            <v>2307.1999999999989</v>
          </cell>
          <cell r="X495">
            <v>2198.4249999999997</v>
          </cell>
          <cell r="Y495">
            <v>-651.03166472309977</v>
          </cell>
        </row>
        <row r="496">
          <cell r="B496">
            <v>906.59999999999945</v>
          </cell>
          <cell r="C496">
            <v>977.82499999999891</v>
          </cell>
          <cell r="D496">
            <v>906.59999999999945</v>
          </cell>
          <cell r="E496">
            <v>-1113.5</v>
          </cell>
          <cell r="F496">
            <v>-517.80000000000109</v>
          </cell>
          <cell r="G496">
            <v>-2602.75</v>
          </cell>
          <cell r="K496">
            <v>0</v>
          </cell>
          <cell r="L496">
            <v>0</v>
          </cell>
          <cell r="M496">
            <v>0</v>
          </cell>
          <cell r="N496">
            <v>236</v>
          </cell>
          <cell r="O496">
            <v>203</v>
          </cell>
          <cell r="P496">
            <v>317</v>
          </cell>
          <cell r="T496">
            <v>906.59999999999945</v>
          </cell>
          <cell r="U496">
            <v>964.875</v>
          </cell>
          <cell r="V496">
            <v>906.59999999999945</v>
          </cell>
          <cell r="W496">
            <v>-1230.0500000000002</v>
          </cell>
          <cell r="X496">
            <v>2209.9499999999998</v>
          </cell>
          <cell r="Y496">
            <v>57.971870890707123</v>
          </cell>
        </row>
        <row r="497">
          <cell r="B497">
            <v>906.59999999999945</v>
          </cell>
          <cell r="C497">
            <v>977.82499999999982</v>
          </cell>
          <cell r="D497">
            <v>906.59999999999945</v>
          </cell>
          <cell r="E497">
            <v>-867.45000000000073</v>
          </cell>
          <cell r="F497">
            <v>-537.22500000000036</v>
          </cell>
          <cell r="G497">
            <v>-2447.3500000000004</v>
          </cell>
          <cell r="K497">
            <v>0</v>
          </cell>
          <cell r="L497">
            <v>0</v>
          </cell>
          <cell r="M497">
            <v>0</v>
          </cell>
          <cell r="N497">
            <v>226</v>
          </cell>
          <cell r="O497">
            <v>173</v>
          </cell>
          <cell r="P497">
            <v>348</v>
          </cell>
          <cell r="T497">
            <v>906.59999999999945</v>
          </cell>
          <cell r="U497">
            <v>964.87499999999909</v>
          </cell>
          <cell r="V497">
            <v>906.60000000000036</v>
          </cell>
          <cell r="W497">
            <v>2275.1999999999998</v>
          </cell>
          <cell r="X497">
            <v>2267.7499999999995</v>
          </cell>
          <cell r="Y497">
            <v>2443.1999999999998</v>
          </cell>
        </row>
        <row r="498">
          <cell r="B498">
            <v>906.59999999999945</v>
          </cell>
          <cell r="C498">
            <v>964.87499999999909</v>
          </cell>
          <cell r="D498">
            <v>906.59999999999945</v>
          </cell>
          <cell r="E498">
            <v>-1255.9500000000007</v>
          </cell>
          <cell r="F498">
            <v>-692.625</v>
          </cell>
          <cell r="G498">
            <v>-2253.1000000000004</v>
          </cell>
          <cell r="K498">
            <v>0</v>
          </cell>
          <cell r="L498">
            <v>0</v>
          </cell>
          <cell r="M498">
            <v>0</v>
          </cell>
          <cell r="N498">
            <v>226</v>
          </cell>
          <cell r="O498">
            <v>179</v>
          </cell>
          <cell r="P498">
            <v>342</v>
          </cell>
          <cell r="T498">
            <v>906.59999999999945</v>
          </cell>
          <cell r="U498">
            <v>964.87499999999909</v>
          </cell>
          <cell r="V498">
            <v>906.59999999999945</v>
          </cell>
          <cell r="W498">
            <v>752.85812693320804</v>
          </cell>
          <cell r="X498">
            <v>2301.3749999999991</v>
          </cell>
          <cell r="Y498">
            <v>2481.1999999999998</v>
          </cell>
        </row>
        <row r="499">
          <cell r="B499">
            <v>906.59999999999945</v>
          </cell>
          <cell r="C499">
            <v>926.02499999999964</v>
          </cell>
          <cell r="D499">
            <v>906.60000000000036</v>
          </cell>
          <cell r="E499">
            <v>-1268.9000000000005</v>
          </cell>
          <cell r="F499">
            <v>-407.72500000000036</v>
          </cell>
          <cell r="G499">
            <v>-2356.6999999999998</v>
          </cell>
          <cell r="K499">
            <v>0</v>
          </cell>
          <cell r="L499">
            <v>0</v>
          </cell>
          <cell r="M499">
            <v>0</v>
          </cell>
          <cell r="N499">
            <v>240</v>
          </cell>
          <cell r="O499">
            <v>186</v>
          </cell>
          <cell r="P499">
            <v>326</v>
          </cell>
          <cell r="T499">
            <v>906.59999999999945</v>
          </cell>
          <cell r="U499">
            <v>971.34999999999945</v>
          </cell>
          <cell r="V499">
            <v>906.59999999999945</v>
          </cell>
          <cell r="W499">
            <v>2269.1999999999994</v>
          </cell>
          <cell r="X499">
            <v>2171.5749999999994</v>
          </cell>
          <cell r="Y499">
            <v>2443.1999999999998</v>
          </cell>
        </row>
        <row r="500">
          <cell r="B500">
            <v>906.59999999999945</v>
          </cell>
          <cell r="C500">
            <v>984.30000000000018</v>
          </cell>
          <cell r="D500">
            <v>919.55000000000018</v>
          </cell>
          <cell r="E500">
            <v>-971.05000000000018</v>
          </cell>
          <cell r="F500">
            <v>-608.45000000000073</v>
          </cell>
          <cell r="G500">
            <v>-2550.9499999999998</v>
          </cell>
          <cell r="K500">
            <v>0</v>
          </cell>
          <cell r="L500">
            <v>0</v>
          </cell>
          <cell r="M500">
            <v>0</v>
          </cell>
          <cell r="N500">
            <v>214</v>
          </cell>
          <cell r="O500">
            <v>168</v>
          </cell>
          <cell r="P500">
            <v>327</v>
          </cell>
          <cell r="T500">
            <v>906.59999999999945</v>
          </cell>
          <cell r="U500">
            <v>932.49999999999909</v>
          </cell>
          <cell r="V500">
            <v>906.60000000000036</v>
          </cell>
          <cell r="W500">
            <v>2255.1999999999998</v>
          </cell>
          <cell r="X500">
            <v>2246.0499999999993</v>
          </cell>
          <cell r="Y500">
            <v>1529.590066315719</v>
          </cell>
        </row>
        <row r="501">
          <cell r="B501">
            <v>906.59999999999945</v>
          </cell>
          <cell r="C501">
            <v>997.25</v>
          </cell>
          <cell r="D501">
            <v>906.59999999999945</v>
          </cell>
          <cell r="E501">
            <v>-1074.6500000000005</v>
          </cell>
          <cell r="F501">
            <v>-530.75</v>
          </cell>
          <cell r="G501">
            <v>-2848.8</v>
          </cell>
          <cell r="K501">
            <v>0</v>
          </cell>
          <cell r="L501">
            <v>0</v>
          </cell>
          <cell r="M501">
            <v>0</v>
          </cell>
          <cell r="N501">
            <v>226</v>
          </cell>
          <cell r="O501">
            <v>194</v>
          </cell>
          <cell r="P501">
            <v>329</v>
          </cell>
          <cell r="T501">
            <v>906.59999999999945</v>
          </cell>
          <cell r="U501">
            <v>951.92499999999927</v>
          </cell>
          <cell r="V501">
            <v>906.59999999999945</v>
          </cell>
          <cell r="W501">
            <v>-1191.2000000000007</v>
          </cell>
          <cell r="X501">
            <v>1275.3147523570576</v>
          </cell>
          <cell r="Y501">
            <v>2351.3927180564624</v>
          </cell>
        </row>
        <row r="502">
          <cell r="B502">
            <v>906.59999999999945</v>
          </cell>
          <cell r="C502">
            <v>977.82499999999891</v>
          </cell>
          <cell r="D502">
            <v>841.84999999999945</v>
          </cell>
          <cell r="E502">
            <v>-1152.3500000000004</v>
          </cell>
          <cell r="F502">
            <v>-459.52499999999964</v>
          </cell>
          <cell r="G502">
            <v>-2175.4000000000005</v>
          </cell>
          <cell r="K502">
            <v>0</v>
          </cell>
          <cell r="L502">
            <v>0</v>
          </cell>
          <cell r="M502">
            <v>0</v>
          </cell>
          <cell r="N502">
            <v>219</v>
          </cell>
          <cell r="O502">
            <v>176</v>
          </cell>
          <cell r="P502">
            <v>323</v>
          </cell>
          <cell r="T502">
            <v>906.59999999999945</v>
          </cell>
          <cell r="U502">
            <v>990.77499999999964</v>
          </cell>
          <cell r="V502">
            <v>906.60000000000036</v>
          </cell>
          <cell r="W502">
            <v>806.56397392242957</v>
          </cell>
          <cell r="X502">
            <v>2277.375</v>
          </cell>
          <cell r="Y502">
            <v>2451.1999999999998</v>
          </cell>
        </row>
        <row r="503">
          <cell r="B503">
            <v>906.59999999999945</v>
          </cell>
          <cell r="C503">
            <v>945.44999999999891</v>
          </cell>
          <cell r="D503">
            <v>906.59999999999945</v>
          </cell>
          <cell r="E503">
            <v>-971.05000000000018</v>
          </cell>
          <cell r="F503">
            <v>-705.57500000000073</v>
          </cell>
          <cell r="G503">
            <v>-2693.4000000000005</v>
          </cell>
          <cell r="K503">
            <v>0</v>
          </cell>
          <cell r="L503">
            <v>0</v>
          </cell>
          <cell r="M503">
            <v>0</v>
          </cell>
          <cell r="N503">
            <v>214</v>
          </cell>
          <cell r="O503">
            <v>162</v>
          </cell>
          <cell r="P503">
            <v>305</v>
          </cell>
          <cell r="T503">
            <v>906.59999999999945</v>
          </cell>
          <cell r="U503">
            <v>951.92499999999927</v>
          </cell>
          <cell r="V503">
            <v>906.60000000000036</v>
          </cell>
          <cell r="W503">
            <v>-1230.0500000000002</v>
          </cell>
          <cell r="X503">
            <v>2230.4249999999988</v>
          </cell>
          <cell r="Y503">
            <v>1965.5529938622467</v>
          </cell>
        </row>
        <row r="504">
          <cell r="B504">
            <v>906.59999999999945</v>
          </cell>
          <cell r="C504">
            <v>984.29999999999927</v>
          </cell>
          <cell r="D504">
            <v>906.60000000000036</v>
          </cell>
          <cell r="E504">
            <v>-1191.2000000000007</v>
          </cell>
          <cell r="F504">
            <v>-563.125</v>
          </cell>
          <cell r="G504">
            <v>-2512.1000000000004</v>
          </cell>
          <cell r="K504">
            <v>0</v>
          </cell>
          <cell r="L504">
            <v>0</v>
          </cell>
          <cell r="M504">
            <v>0</v>
          </cell>
          <cell r="N504">
            <v>250</v>
          </cell>
          <cell r="O504">
            <v>178</v>
          </cell>
          <cell r="P504">
            <v>322</v>
          </cell>
          <cell r="T504">
            <v>906.59999999999945</v>
          </cell>
          <cell r="U504">
            <v>945.44999999999982</v>
          </cell>
          <cell r="V504">
            <v>906.59999999999945</v>
          </cell>
          <cell r="W504">
            <v>2249.1999999999994</v>
          </cell>
          <cell r="X504">
            <v>1064.4828439626144</v>
          </cell>
          <cell r="Y504">
            <v>2469.1999999999989</v>
          </cell>
        </row>
        <row r="505">
          <cell r="B505">
            <v>906.59999999999945</v>
          </cell>
          <cell r="C505">
            <v>951.92499999999927</v>
          </cell>
          <cell r="D505">
            <v>906.59999999999945</v>
          </cell>
          <cell r="E505">
            <v>-1022.8500000000004</v>
          </cell>
          <cell r="F505">
            <v>-666.72500000000036</v>
          </cell>
          <cell r="G505">
            <v>-2304.9000000000005</v>
          </cell>
          <cell r="K505">
            <v>0</v>
          </cell>
          <cell r="L505">
            <v>0</v>
          </cell>
          <cell r="M505">
            <v>0</v>
          </cell>
          <cell r="N505">
            <v>218</v>
          </cell>
          <cell r="O505">
            <v>178</v>
          </cell>
          <cell r="P505">
            <v>317</v>
          </cell>
          <cell r="T505">
            <v>906.59999999999945</v>
          </cell>
          <cell r="U505">
            <v>958.39999999999964</v>
          </cell>
          <cell r="V505">
            <v>906.60000000000036</v>
          </cell>
          <cell r="W505">
            <v>1816.5306266256903</v>
          </cell>
          <cell r="X505">
            <v>2305.3749999999995</v>
          </cell>
          <cell r="Y505">
            <v>-1391.2040380712192</v>
          </cell>
        </row>
        <row r="506">
          <cell r="B506">
            <v>906.59999999999945</v>
          </cell>
          <cell r="C506">
            <v>984.29999999999927</v>
          </cell>
          <cell r="D506">
            <v>906.60000000000036</v>
          </cell>
          <cell r="E506">
            <v>-1281.8500000000004</v>
          </cell>
          <cell r="F506">
            <v>-504.85000000000036</v>
          </cell>
          <cell r="G506">
            <v>-2266.0500000000002</v>
          </cell>
          <cell r="K506">
            <v>0</v>
          </cell>
          <cell r="L506">
            <v>0</v>
          </cell>
          <cell r="M506">
            <v>0</v>
          </cell>
          <cell r="N506">
            <v>230</v>
          </cell>
          <cell r="O506">
            <v>163</v>
          </cell>
          <cell r="P506">
            <v>353</v>
          </cell>
          <cell r="T506">
            <v>906.59999999999945</v>
          </cell>
          <cell r="U506">
            <v>945.44999999999982</v>
          </cell>
          <cell r="V506">
            <v>906.59999999999945</v>
          </cell>
          <cell r="W506">
            <v>2271.1999999999994</v>
          </cell>
          <cell r="X506">
            <v>2239.9499999999998</v>
          </cell>
          <cell r="Y506">
            <v>2403.1999999999998</v>
          </cell>
        </row>
        <row r="507">
          <cell r="B507">
            <v>906.59999999999945</v>
          </cell>
          <cell r="C507">
            <v>964.87499999999909</v>
          </cell>
          <cell r="D507">
            <v>906.60000000000036</v>
          </cell>
          <cell r="E507">
            <v>-854.5</v>
          </cell>
          <cell r="F507">
            <v>-608.45000000000073</v>
          </cell>
          <cell r="G507">
            <v>-2291.9499999999998</v>
          </cell>
          <cell r="K507">
            <v>0</v>
          </cell>
          <cell r="L507">
            <v>0</v>
          </cell>
          <cell r="M507">
            <v>0</v>
          </cell>
          <cell r="N507">
            <v>229</v>
          </cell>
          <cell r="O507">
            <v>196</v>
          </cell>
          <cell r="P507">
            <v>323</v>
          </cell>
          <cell r="T507">
            <v>906.59999999999945</v>
          </cell>
          <cell r="U507">
            <v>1016.6749999999993</v>
          </cell>
          <cell r="V507">
            <v>906.60000000000036</v>
          </cell>
          <cell r="W507">
            <v>2255.1999999999998</v>
          </cell>
          <cell r="X507">
            <v>2243.9499999999994</v>
          </cell>
          <cell r="Y507">
            <v>718.09264792611384</v>
          </cell>
        </row>
        <row r="508">
          <cell r="B508">
            <v>906.59999999999945</v>
          </cell>
          <cell r="C508">
            <v>964.875</v>
          </cell>
          <cell r="D508">
            <v>906.59999999999945</v>
          </cell>
          <cell r="E508">
            <v>-867.45000000000073</v>
          </cell>
          <cell r="F508">
            <v>-433.625</v>
          </cell>
          <cell r="G508">
            <v>-2356.6999999999998</v>
          </cell>
          <cell r="K508">
            <v>0</v>
          </cell>
          <cell r="L508">
            <v>0</v>
          </cell>
          <cell r="M508">
            <v>0</v>
          </cell>
          <cell r="N508">
            <v>243</v>
          </cell>
          <cell r="O508">
            <v>162</v>
          </cell>
          <cell r="P508">
            <v>316</v>
          </cell>
          <cell r="T508">
            <v>906.59999999999945</v>
          </cell>
          <cell r="U508">
            <v>945.44999999999982</v>
          </cell>
          <cell r="V508">
            <v>906.60000000000036</v>
          </cell>
          <cell r="W508">
            <v>1670.2336750106952</v>
          </cell>
          <cell r="X508">
            <v>2267.9499999999998</v>
          </cell>
          <cell r="Y508">
            <v>2025.2382206729135</v>
          </cell>
        </row>
        <row r="509">
          <cell r="B509">
            <v>906.59999999999945</v>
          </cell>
          <cell r="C509">
            <v>997.25</v>
          </cell>
          <cell r="D509">
            <v>906.59999999999945</v>
          </cell>
          <cell r="E509">
            <v>-1126.4500000000007</v>
          </cell>
          <cell r="F509">
            <v>-498.375</v>
          </cell>
          <cell r="G509">
            <v>-2447.3500000000004</v>
          </cell>
          <cell r="K509">
            <v>0</v>
          </cell>
          <cell r="L509">
            <v>0</v>
          </cell>
          <cell r="M509">
            <v>0</v>
          </cell>
          <cell r="N509">
            <v>228</v>
          </cell>
          <cell r="O509">
            <v>191</v>
          </cell>
          <cell r="P509">
            <v>322</v>
          </cell>
          <cell r="T509">
            <v>906.59999999999945</v>
          </cell>
          <cell r="U509">
            <v>951.92499999999927</v>
          </cell>
          <cell r="V509">
            <v>906.60000000000036</v>
          </cell>
          <cell r="W509">
            <v>2235.1999999999998</v>
          </cell>
          <cell r="X509">
            <v>2260.4249999999988</v>
          </cell>
          <cell r="Y509">
            <v>2491.1999999999998</v>
          </cell>
        </row>
        <row r="510">
          <cell r="B510">
            <v>906.59999999999945</v>
          </cell>
          <cell r="C510">
            <v>958.39999999999964</v>
          </cell>
          <cell r="D510">
            <v>906.59999999999945</v>
          </cell>
          <cell r="E510">
            <v>-1152.3500000000004</v>
          </cell>
          <cell r="F510">
            <v>-621.39999999999964</v>
          </cell>
          <cell r="G510">
            <v>-2304.9000000000005</v>
          </cell>
          <cell r="K510">
            <v>0</v>
          </cell>
          <cell r="L510">
            <v>0</v>
          </cell>
          <cell r="M510">
            <v>0</v>
          </cell>
          <cell r="N510">
            <v>224</v>
          </cell>
          <cell r="O510">
            <v>188</v>
          </cell>
          <cell r="P510">
            <v>321</v>
          </cell>
          <cell r="T510">
            <v>906.59999999999945</v>
          </cell>
          <cell r="U510">
            <v>977.82499999999982</v>
          </cell>
          <cell r="V510">
            <v>906.59999999999945</v>
          </cell>
          <cell r="W510">
            <v>2305.1999999999998</v>
          </cell>
          <cell r="X510">
            <v>2195</v>
          </cell>
          <cell r="Y510">
            <v>-315.69054481478361</v>
          </cell>
        </row>
        <row r="511">
          <cell r="B511">
            <v>906.59999999999945</v>
          </cell>
          <cell r="C511">
            <v>964.875</v>
          </cell>
          <cell r="D511">
            <v>906.60000000000036</v>
          </cell>
          <cell r="E511">
            <v>-1035.8000000000002</v>
          </cell>
          <cell r="F511">
            <v>-336.5</v>
          </cell>
          <cell r="G511">
            <v>-2227.2000000000007</v>
          </cell>
          <cell r="K511">
            <v>0</v>
          </cell>
          <cell r="L511">
            <v>0</v>
          </cell>
          <cell r="M511">
            <v>0</v>
          </cell>
          <cell r="N511">
            <v>222</v>
          </cell>
          <cell r="O511">
            <v>186</v>
          </cell>
          <cell r="P511">
            <v>333</v>
          </cell>
          <cell r="T511">
            <v>906.59999999999945</v>
          </cell>
          <cell r="U511">
            <v>958.39999999999964</v>
          </cell>
          <cell r="V511">
            <v>906.59999999999945</v>
          </cell>
          <cell r="W511">
            <v>2293.1999999999998</v>
          </cell>
          <cell r="X511">
            <v>2297.375</v>
          </cell>
          <cell r="Y511">
            <v>1549.693070902234</v>
          </cell>
        </row>
        <row r="512">
          <cell r="B512">
            <v>906.59999999999945</v>
          </cell>
          <cell r="C512">
            <v>951.92499999999927</v>
          </cell>
          <cell r="D512">
            <v>906.60000000000036</v>
          </cell>
          <cell r="E512">
            <v>-1165.3000000000002</v>
          </cell>
          <cell r="F512">
            <v>-336.5</v>
          </cell>
          <cell r="G512">
            <v>-2330.8000000000002</v>
          </cell>
          <cell r="K512">
            <v>0</v>
          </cell>
          <cell r="L512">
            <v>0</v>
          </cell>
          <cell r="M512">
            <v>0</v>
          </cell>
          <cell r="N512">
            <v>244</v>
          </cell>
          <cell r="O512">
            <v>190</v>
          </cell>
          <cell r="P512">
            <v>312</v>
          </cell>
          <cell r="T512">
            <v>906.59999999999945</v>
          </cell>
          <cell r="U512">
            <v>964.875</v>
          </cell>
          <cell r="V512">
            <v>906.59999999999945</v>
          </cell>
          <cell r="W512">
            <v>-1035.8000000000002</v>
          </cell>
          <cell r="X512">
            <v>2281.7499999999991</v>
          </cell>
          <cell r="Y512">
            <v>2409.1999999999989</v>
          </cell>
        </row>
        <row r="513">
          <cell r="B513">
            <v>906.59999999999945</v>
          </cell>
          <cell r="C513">
            <v>932.5</v>
          </cell>
          <cell r="D513">
            <v>906.59999999999945</v>
          </cell>
          <cell r="E513">
            <v>-971.05000000000018</v>
          </cell>
          <cell r="F513">
            <v>-453.05000000000109</v>
          </cell>
          <cell r="G513">
            <v>-2447.3500000000004</v>
          </cell>
          <cell r="K513">
            <v>0</v>
          </cell>
          <cell r="L513">
            <v>0</v>
          </cell>
          <cell r="M513">
            <v>0</v>
          </cell>
          <cell r="N513">
            <v>201</v>
          </cell>
          <cell r="O513">
            <v>207</v>
          </cell>
          <cell r="P513">
            <v>309</v>
          </cell>
          <cell r="T513">
            <v>906.59999999999945</v>
          </cell>
          <cell r="U513">
            <v>958.39999999999964</v>
          </cell>
          <cell r="V513">
            <v>919.55000000000018</v>
          </cell>
          <cell r="W513">
            <v>2265.1999999999998</v>
          </cell>
          <cell r="X513">
            <v>-589.02499999999964</v>
          </cell>
          <cell r="Y513">
            <v>1876.0547055528168</v>
          </cell>
        </row>
        <row r="514">
          <cell r="B514">
            <v>906.59999999999945</v>
          </cell>
          <cell r="C514">
            <v>945.44999999999982</v>
          </cell>
          <cell r="D514">
            <v>906.60000000000036</v>
          </cell>
          <cell r="E514">
            <v>-1048.75</v>
          </cell>
          <cell r="F514">
            <v>-485.42500000000109</v>
          </cell>
          <cell r="G514">
            <v>-2356.6999999999998</v>
          </cell>
          <cell r="K514">
            <v>0</v>
          </cell>
          <cell r="L514">
            <v>0</v>
          </cell>
          <cell r="M514">
            <v>0</v>
          </cell>
          <cell r="N514">
            <v>225</v>
          </cell>
          <cell r="O514">
            <v>175</v>
          </cell>
          <cell r="P514">
            <v>319</v>
          </cell>
          <cell r="T514">
            <v>906.59999999999945</v>
          </cell>
          <cell r="U514">
            <v>977.82499999999982</v>
          </cell>
          <cell r="V514">
            <v>906.59999999999945</v>
          </cell>
          <cell r="W514">
            <v>1981.609332842876</v>
          </cell>
          <cell r="X514">
            <v>2219.474999999999</v>
          </cell>
          <cell r="Y514">
            <v>-611.21877554537878</v>
          </cell>
        </row>
        <row r="515">
          <cell r="B515">
            <v>906.59999999999945</v>
          </cell>
          <cell r="C515">
            <v>990.77499999999964</v>
          </cell>
          <cell r="D515">
            <v>919.54999999999927</v>
          </cell>
          <cell r="E515">
            <v>-932.20000000000073</v>
          </cell>
          <cell r="F515">
            <v>-731.47500000000036</v>
          </cell>
          <cell r="G515">
            <v>-2253.1000000000004</v>
          </cell>
          <cell r="K515">
            <v>0</v>
          </cell>
          <cell r="L515">
            <v>0</v>
          </cell>
          <cell r="M515">
            <v>0</v>
          </cell>
          <cell r="N515">
            <v>235</v>
          </cell>
          <cell r="O515">
            <v>177</v>
          </cell>
          <cell r="P515">
            <v>313</v>
          </cell>
          <cell r="T515">
            <v>906.59999999999945</v>
          </cell>
          <cell r="U515">
            <v>971.35000000000036</v>
          </cell>
          <cell r="V515">
            <v>906.60000000000036</v>
          </cell>
          <cell r="W515">
            <v>2317.1999999999989</v>
          </cell>
          <cell r="X515">
            <v>207.45267727853354</v>
          </cell>
          <cell r="Y515">
            <v>196.14481516829846</v>
          </cell>
        </row>
        <row r="516">
          <cell r="B516">
            <v>906.59999999999945</v>
          </cell>
          <cell r="C516">
            <v>971.34999999999945</v>
          </cell>
          <cell r="D516">
            <v>906.60000000000036</v>
          </cell>
          <cell r="E516">
            <v>-958.10000000000036</v>
          </cell>
          <cell r="F516">
            <v>-459.52499999999964</v>
          </cell>
          <cell r="G516">
            <v>-2343.75</v>
          </cell>
          <cell r="K516">
            <v>0</v>
          </cell>
          <cell r="L516">
            <v>0</v>
          </cell>
          <cell r="M516">
            <v>0</v>
          </cell>
          <cell r="N516">
            <v>228</v>
          </cell>
          <cell r="O516">
            <v>191</v>
          </cell>
          <cell r="P516">
            <v>334</v>
          </cell>
          <cell r="T516">
            <v>906.59999999999945</v>
          </cell>
          <cell r="U516">
            <v>964.875</v>
          </cell>
          <cell r="V516">
            <v>906.59999999999945</v>
          </cell>
          <cell r="W516">
            <v>2253.1999999999998</v>
          </cell>
          <cell r="X516">
            <v>2219.9499999999998</v>
          </cell>
          <cell r="Y516">
            <v>2447.1999999999998</v>
          </cell>
        </row>
        <row r="517">
          <cell r="B517">
            <v>906.59999999999945</v>
          </cell>
          <cell r="C517">
            <v>971.34999999999854</v>
          </cell>
          <cell r="D517">
            <v>906.59999999999945</v>
          </cell>
          <cell r="E517">
            <v>-1074.6500000000005</v>
          </cell>
          <cell r="F517">
            <v>-440.10000000000036</v>
          </cell>
          <cell r="G517">
            <v>-2279</v>
          </cell>
          <cell r="K517">
            <v>0</v>
          </cell>
          <cell r="L517">
            <v>0</v>
          </cell>
          <cell r="M517">
            <v>0</v>
          </cell>
          <cell r="N517">
            <v>203</v>
          </cell>
          <cell r="O517">
            <v>201</v>
          </cell>
          <cell r="P517">
            <v>332</v>
          </cell>
          <cell r="T517">
            <v>906.59999999999945</v>
          </cell>
          <cell r="U517">
            <v>964.87499999999909</v>
          </cell>
          <cell r="V517">
            <v>906.60000000000036</v>
          </cell>
          <cell r="W517">
            <v>2309.1999999999994</v>
          </cell>
          <cell r="X517">
            <v>2228.9999999999995</v>
          </cell>
          <cell r="Y517">
            <v>-899.51964901531255</v>
          </cell>
        </row>
        <row r="518">
          <cell r="B518">
            <v>906.59999999999945</v>
          </cell>
          <cell r="C518">
            <v>951.92499999999927</v>
          </cell>
          <cell r="D518">
            <v>906.59999999999945</v>
          </cell>
          <cell r="E518">
            <v>-1113.5</v>
          </cell>
          <cell r="F518">
            <v>-673.20000000000073</v>
          </cell>
          <cell r="G518">
            <v>-1903.4500000000007</v>
          </cell>
          <cell r="K518">
            <v>0</v>
          </cell>
          <cell r="L518">
            <v>0</v>
          </cell>
          <cell r="M518">
            <v>0</v>
          </cell>
          <cell r="N518">
            <v>229</v>
          </cell>
          <cell r="O518">
            <v>194</v>
          </cell>
          <cell r="P518">
            <v>316</v>
          </cell>
          <cell r="T518">
            <v>906.59999999999945</v>
          </cell>
          <cell r="U518">
            <v>951.92499999999927</v>
          </cell>
          <cell r="V518">
            <v>906.59999999999945</v>
          </cell>
          <cell r="W518">
            <v>2209.1999999999994</v>
          </cell>
          <cell r="X518">
            <v>2304.7999999999997</v>
          </cell>
          <cell r="Y518">
            <v>2463.1999999999998</v>
          </cell>
        </row>
        <row r="519">
          <cell r="B519">
            <v>906.59999999999945</v>
          </cell>
          <cell r="C519">
            <v>971.34999999999945</v>
          </cell>
          <cell r="D519">
            <v>906.59999999999945</v>
          </cell>
          <cell r="E519">
            <v>-763.85000000000036</v>
          </cell>
          <cell r="F519">
            <v>-608.45000000000073</v>
          </cell>
          <cell r="G519">
            <v>-2421.4499999999998</v>
          </cell>
          <cell r="K519">
            <v>0</v>
          </cell>
          <cell r="L519">
            <v>0</v>
          </cell>
          <cell r="M519">
            <v>0</v>
          </cell>
          <cell r="N519">
            <v>212</v>
          </cell>
          <cell r="O519">
            <v>176</v>
          </cell>
          <cell r="P519">
            <v>331</v>
          </cell>
          <cell r="T519">
            <v>906.59999999999945</v>
          </cell>
          <cell r="U519">
            <v>977.82499999999982</v>
          </cell>
          <cell r="V519">
            <v>906.60000000000036</v>
          </cell>
          <cell r="W519">
            <v>1653.69601121814</v>
          </cell>
          <cell r="X519">
            <v>2280.9999999999995</v>
          </cell>
          <cell r="Y519">
            <v>2459.1999999999989</v>
          </cell>
        </row>
        <row r="520">
          <cell r="B520">
            <v>906.59999999999945</v>
          </cell>
          <cell r="C520">
            <v>951.92499999999927</v>
          </cell>
          <cell r="D520">
            <v>906.59999999999945</v>
          </cell>
          <cell r="E520">
            <v>-958.10000000000036</v>
          </cell>
          <cell r="F520">
            <v>-472.47500000000036</v>
          </cell>
          <cell r="G520">
            <v>-2110.6500000000005</v>
          </cell>
          <cell r="K520">
            <v>0</v>
          </cell>
          <cell r="L520">
            <v>0</v>
          </cell>
          <cell r="M520">
            <v>0</v>
          </cell>
          <cell r="N520">
            <v>239</v>
          </cell>
          <cell r="O520">
            <v>193</v>
          </cell>
          <cell r="P520">
            <v>353</v>
          </cell>
          <cell r="T520">
            <v>906.59999999999945</v>
          </cell>
          <cell r="U520">
            <v>945.44999999999982</v>
          </cell>
          <cell r="V520">
            <v>906.59999999999945</v>
          </cell>
          <cell r="W520">
            <v>1487.1733429343635</v>
          </cell>
          <cell r="X520">
            <v>2186.0499999999997</v>
          </cell>
          <cell r="Y520">
            <v>33.370094398347646</v>
          </cell>
        </row>
        <row r="521">
          <cell r="B521">
            <v>906.59999999999945</v>
          </cell>
          <cell r="C521">
            <v>990.77499999999873</v>
          </cell>
          <cell r="D521">
            <v>906.59999999999945</v>
          </cell>
          <cell r="E521">
            <v>-1113.5</v>
          </cell>
          <cell r="F521">
            <v>-653.77499999999964</v>
          </cell>
          <cell r="G521">
            <v>-2473.25</v>
          </cell>
          <cell r="K521">
            <v>0</v>
          </cell>
          <cell r="L521">
            <v>0</v>
          </cell>
          <cell r="M521">
            <v>0</v>
          </cell>
          <cell r="N521">
            <v>220</v>
          </cell>
          <cell r="O521">
            <v>185</v>
          </cell>
          <cell r="P521">
            <v>332</v>
          </cell>
          <cell r="T521">
            <v>906.59999999999945</v>
          </cell>
          <cell r="U521">
            <v>971.35000000000036</v>
          </cell>
          <cell r="V521">
            <v>906.60000000000036</v>
          </cell>
          <cell r="W521">
            <v>1095.5231967236882</v>
          </cell>
          <cell r="X521">
            <v>2255.3749999999995</v>
          </cell>
          <cell r="Y521">
            <v>2008.3997966002835</v>
          </cell>
        </row>
        <row r="522">
          <cell r="B522">
            <v>906.59999999999945</v>
          </cell>
          <cell r="C522">
            <v>938.97499999999854</v>
          </cell>
          <cell r="D522">
            <v>906.59999999999945</v>
          </cell>
          <cell r="E522">
            <v>-1333.6500000000005</v>
          </cell>
          <cell r="F522">
            <v>-459.52500000000055</v>
          </cell>
          <cell r="G522">
            <v>-2512.1000000000004</v>
          </cell>
          <cell r="K522">
            <v>0</v>
          </cell>
          <cell r="L522">
            <v>0</v>
          </cell>
          <cell r="M522">
            <v>0</v>
          </cell>
          <cell r="N522">
            <v>224</v>
          </cell>
          <cell r="O522">
            <v>160</v>
          </cell>
          <cell r="P522">
            <v>315</v>
          </cell>
          <cell r="T522">
            <v>906.59999999999945</v>
          </cell>
          <cell r="U522">
            <v>958.39999999999873</v>
          </cell>
          <cell r="V522">
            <v>906.59999999999945</v>
          </cell>
          <cell r="W522">
            <v>2265.1999999999998</v>
          </cell>
          <cell r="X522">
            <v>2299.75</v>
          </cell>
          <cell r="Y522">
            <v>2487.1999999999998</v>
          </cell>
        </row>
        <row r="523">
          <cell r="B523">
            <v>906.59999999999945</v>
          </cell>
          <cell r="C523">
            <v>977.82499999999982</v>
          </cell>
          <cell r="D523">
            <v>906.59999999999945</v>
          </cell>
          <cell r="E523">
            <v>-1087.6000000000004</v>
          </cell>
          <cell r="F523">
            <v>-375.35000000000036</v>
          </cell>
          <cell r="G523">
            <v>-2486.1999999999998</v>
          </cell>
          <cell r="K523">
            <v>0</v>
          </cell>
          <cell r="L523">
            <v>0</v>
          </cell>
          <cell r="M523">
            <v>0</v>
          </cell>
          <cell r="N523">
            <v>229</v>
          </cell>
          <cell r="O523">
            <v>168</v>
          </cell>
          <cell r="P523">
            <v>310</v>
          </cell>
          <cell r="T523">
            <v>906.59999999999945</v>
          </cell>
          <cell r="U523">
            <v>964.875</v>
          </cell>
          <cell r="V523">
            <v>906.60000000000036</v>
          </cell>
          <cell r="W523">
            <v>1812.3608835439236</v>
          </cell>
          <cell r="X523">
            <v>-524.27500000000055</v>
          </cell>
          <cell r="Y523">
            <v>-449.45140442330444</v>
          </cell>
        </row>
        <row r="524">
          <cell r="B524">
            <v>906.59999999999945</v>
          </cell>
          <cell r="C524">
            <v>1010.1999999999998</v>
          </cell>
          <cell r="D524">
            <v>906.59999999999945</v>
          </cell>
          <cell r="E524">
            <v>-1204.1500000000005</v>
          </cell>
          <cell r="F524">
            <v>-550.17500000000018</v>
          </cell>
          <cell r="G524">
            <v>-2071.8000000000002</v>
          </cell>
          <cell r="K524">
            <v>0</v>
          </cell>
          <cell r="L524">
            <v>0</v>
          </cell>
          <cell r="M524">
            <v>0</v>
          </cell>
          <cell r="N524">
            <v>227</v>
          </cell>
          <cell r="O524">
            <v>164</v>
          </cell>
          <cell r="P524">
            <v>312</v>
          </cell>
          <cell r="T524">
            <v>906.59999999999945</v>
          </cell>
          <cell r="U524">
            <v>990.77499999999964</v>
          </cell>
          <cell r="V524">
            <v>906.60000000000036</v>
          </cell>
          <cell r="W524">
            <v>2128.2648986460072</v>
          </cell>
          <cell r="X524">
            <v>2211.4750000000004</v>
          </cell>
          <cell r="Y524">
            <v>-269.18177154875139</v>
          </cell>
        </row>
        <row r="525">
          <cell r="B525">
            <v>906.59999999999945</v>
          </cell>
          <cell r="C525">
            <v>958.39999999999964</v>
          </cell>
          <cell r="D525">
            <v>906.59999999999945</v>
          </cell>
          <cell r="E525">
            <v>-854.5</v>
          </cell>
          <cell r="F525">
            <v>-478.95000000000073</v>
          </cell>
          <cell r="G525">
            <v>-2499.1500000000005</v>
          </cell>
          <cell r="K525">
            <v>0</v>
          </cell>
          <cell r="L525">
            <v>0</v>
          </cell>
          <cell r="M525">
            <v>0</v>
          </cell>
          <cell r="N525">
            <v>208</v>
          </cell>
          <cell r="O525">
            <v>200</v>
          </cell>
          <cell r="P525">
            <v>321</v>
          </cell>
          <cell r="T525">
            <v>906.59999999999945</v>
          </cell>
          <cell r="U525">
            <v>971.34999999999854</v>
          </cell>
          <cell r="V525">
            <v>906.59999999999945</v>
          </cell>
          <cell r="W525">
            <v>2251.1999999999994</v>
          </cell>
          <cell r="X525">
            <v>2246.3249999999994</v>
          </cell>
          <cell r="Y525">
            <v>2447.1999999999998</v>
          </cell>
        </row>
        <row r="526">
          <cell r="B526">
            <v>906.59999999999945</v>
          </cell>
          <cell r="C526">
            <v>984.29999999999927</v>
          </cell>
          <cell r="D526">
            <v>906.60000000000036</v>
          </cell>
          <cell r="E526">
            <v>-854.5</v>
          </cell>
          <cell r="F526">
            <v>-129.30000000000018</v>
          </cell>
          <cell r="G526">
            <v>-2460.3000000000002</v>
          </cell>
          <cell r="K526">
            <v>0</v>
          </cell>
          <cell r="L526">
            <v>0</v>
          </cell>
          <cell r="M526">
            <v>0</v>
          </cell>
          <cell r="N526">
            <v>215</v>
          </cell>
          <cell r="O526">
            <v>164</v>
          </cell>
          <cell r="P526">
            <v>313</v>
          </cell>
          <cell r="T526">
            <v>906.59999999999945</v>
          </cell>
          <cell r="U526">
            <v>951.92500000000018</v>
          </cell>
          <cell r="V526">
            <v>906.59999999999945</v>
          </cell>
          <cell r="W526">
            <v>2215.1999999999998</v>
          </cell>
          <cell r="X526">
            <v>-124.53212191184747</v>
          </cell>
          <cell r="Y526">
            <v>2432.1499999999987</v>
          </cell>
        </row>
        <row r="527">
          <cell r="B527">
            <v>906.59999999999945</v>
          </cell>
          <cell r="C527">
            <v>984.29999999999927</v>
          </cell>
          <cell r="D527">
            <v>906.59999999999945</v>
          </cell>
          <cell r="E527">
            <v>-958.10000000000036</v>
          </cell>
          <cell r="F527">
            <v>-427.14999999999964</v>
          </cell>
          <cell r="G527">
            <v>-2279</v>
          </cell>
          <cell r="K527">
            <v>0</v>
          </cell>
          <cell r="L527">
            <v>0</v>
          </cell>
          <cell r="M527">
            <v>0</v>
          </cell>
          <cell r="N527">
            <v>238</v>
          </cell>
          <cell r="O527">
            <v>169</v>
          </cell>
          <cell r="P527">
            <v>314</v>
          </cell>
          <cell r="T527">
            <v>906.59999999999945</v>
          </cell>
          <cell r="U527">
            <v>990.77499999999964</v>
          </cell>
          <cell r="V527">
            <v>906.59999999999945</v>
          </cell>
          <cell r="W527">
            <v>2215.1999999999998</v>
          </cell>
          <cell r="X527">
            <v>2211.9499999999994</v>
          </cell>
          <cell r="Y527">
            <v>2453.1999999999998</v>
          </cell>
        </row>
        <row r="528">
          <cell r="B528">
            <v>906.59999999999945</v>
          </cell>
          <cell r="C528">
            <v>1003.7249999999995</v>
          </cell>
          <cell r="D528">
            <v>906.59999999999945</v>
          </cell>
          <cell r="E528">
            <v>-893.35000000000036</v>
          </cell>
          <cell r="F528">
            <v>-129.30000000000018</v>
          </cell>
          <cell r="G528">
            <v>-2538</v>
          </cell>
          <cell r="K528">
            <v>0</v>
          </cell>
          <cell r="L528">
            <v>0</v>
          </cell>
          <cell r="M528">
            <v>0</v>
          </cell>
          <cell r="N528">
            <v>198</v>
          </cell>
          <cell r="O528">
            <v>173</v>
          </cell>
          <cell r="P528">
            <v>347</v>
          </cell>
          <cell r="T528">
            <v>906.59999999999945</v>
          </cell>
          <cell r="U528">
            <v>997.24999999999909</v>
          </cell>
          <cell r="V528">
            <v>906.59999999999945</v>
          </cell>
          <cell r="W528">
            <v>2303.1999999999998</v>
          </cell>
          <cell r="X528">
            <v>2305.3749999999995</v>
          </cell>
          <cell r="Y528">
            <v>2463.1999999999998</v>
          </cell>
        </row>
        <row r="529">
          <cell r="B529">
            <v>906.59999999999945</v>
          </cell>
          <cell r="C529">
            <v>984.30000000000018</v>
          </cell>
          <cell r="D529">
            <v>906.59999999999945</v>
          </cell>
          <cell r="E529">
            <v>-1087.6000000000004</v>
          </cell>
          <cell r="F529">
            <v>-537.22500000000036</v>
          </cell>
          <cell r="G529">
            <v>-2343.75</v>
          </cell>
          <cell r="K529">
            <v>0</v>
          </cell>
          <cell r="L529">
            <v>0</v>
          </cell>
          <cell r="M529">
            <v>0</v>
          </cell>
          <cell r="N529">
            <v>227</v>
          </cell>
          <cell r="O529">
            <v>188</v>
          </cell>
          <cell r="P529">
            <v>317</v>
          </cell>
          <cell r="T529">
            <v>906.59999999999945</v>
          </cell>
          <cell r="U529">
            <v>958.39999999999964</v>
          </cell>
          <cell r="V529">
            <v>906.59999999999945</v>
          </cell>
          <cell r="W529">
            <v>2305.1999999999998</v>
          </cell>
          <cell r="X529">
            <v>2165</v>
          </cell>
          <cell r="Y529">
            <v>2403.1999999999998</v>
          </cell>
        </row>
        <row r="530">
          <cell r="B530">
            <v>906.59999999999945</v>
          </cell>
          <cell r="C530">
            <v>971.34999999999945</v>
          </cell>
          <cell r="D530">
            <v>906.59999999999945</v>
          </cell>
          <cell r="E530">
            <v>-1048.75</v>
          </cell>
          <cell r="F530">
            <v>-194.05000000000018</v>
          </cell>
          <cell r="G530">
            <v>-2395.5500000000002</v>
          </cell>
          <cell r="K530">
            <v>0</v>
          </cell>
          <cell r="L530">
            <v>0</v>
          </cell>
          <cell r="M530">
            <v>0</v>
          </cell>
          <cell r="N530">
            <v>204</v>
          </cell>
          <cell r="O530">
            <v>171</v>
          </cell>
          <cell r="P530">
            <v>316</v>
          </cell>
          <cell r="T530">
            <v>906.59999999999945</v>
          </cell>
          <cell r="U530">
            <v>964.875</v>
          </cell>
          <cell r="V530">
            <v>906.59999999999945</v>
          </cell>
          <cell r="W530">
            <v>2225.1999999999998</v>
          </cell>
          <cell r="X530">
            <v>2265.8499999999995</v>
          </cell>
          <cell r="Y530">
            <v>763.70173683699613</v>
          </cell>
        </row>
        <row r="531">
          <cell r="B531">
            <v>906.59999999999945</v>
          </cell>
          <cell r="C531">
            <v>958.39999999999964</v>
          </cell>
          <cell r="D531">
            <v>906.59999999999945</v>
          </cell>
          <cell r="E531">
            <v>-971.05000000000018</v>
          </cell>
          <cell r="F531">
            <v>-388.30000000000109</v>
          </cell>
          <cell r="G531">
            <v>-2136.5500000000002</v>
          </cell>
          <cell r="K531">
            <v>0</v>
          </cell>
          <cell r="L531">
            <v>0</v>
          </cell>
          <cell r="M531">
            <v>0</v>
          </cell>
          <cell r="N531">
            <v>228</v>
          </cell>
          <cell r="O531">
            <v>165</v>
          </cell>
          <cell r="P531">
            <v>310</v>
          </cell>
          <cell r="T531">
            <v>906.59999999999945</v>
          </cell>
          <cell r="U531">
            <v>958.39999999999964</v>
          </cell>
          <cell r="V531">
            <v>919.55000000000018</v>
          </cell>
          <cell r="W531">
            <v>2253.1999999999998</v>
          </cell>
          <cell r="X531">
            <v>2233.9499999999994</v>
          </cell>
          <cell r="Y531">
            <v>220.57170800802714</v>
          </cell>
        </row>
        <row r="532">
          <cell r="B532">
            <v>906.59999999999945</v>
          </cell>
          <cell r="C532">
            <v>951.92499999999927</v>
          </cell>
          <cell r="D532">
            <v>906.59999999999945</v>
          </cell>
          <cell r="E532">
            <v>-1074.6500000000005</v>
          </cell>
          <cell r="F532">
            <v>-459.52499999999964</v>
          </cell>
          <cell r="G532">
            <v>-2136.5500000000002</v>
          </cell>
          <cell r="K532">
            <v>0</v>
          </cell>
          <cell r="L532">
            <v>0</v>
          </cell>
          <cell r="M532">
            <v>0</v>
          </cell>
          <cell r="N532">
            <v>231</v>
          </cell>
          <cell r="O532">
            <v>172</v>
          </cell>
          <cell r="P532">
            <v>329</v>
          </cell>
          <cell r="T532">
            <v>906.59999999999945</v>
          </cell>
          <cell r="U532">
            <v>977.82499999999891</v>
          </cell>
          <cell r="V532">
            <v>906.60000000000036</v>
          </cell>
          <cell r="W532">
            <v>2289.1999999999994</v>
          </cell>
          <cell r="X532">
            <v>2281.849999999999</v>
          </cell>
          <cell r="Y532">
            <v>2435.1999999999998</v>
          </cell>
        </row>
        <row r="533">
          <cell r="B533">
            <v>906.59999999999945</v>
          </cell>
          <cell r="C533">
            <v>977.82499999999891</v>
          </cell>
          <cell r="D533">
            <v>906.60000000000036</v>
          </cell>
          <cell r="E533">
            <v>-1139.4000000000005</v>
          </cell>
          <cell r="F533">
            <v>-712.05000000000018</v>
          </cell>
          <cell r="G533">
            <v>-2408.5</v>
          </cell>
          <cell r="K533">
            <v>0</v>
          </cell>
          <cell r="L533">
            <v>0</v>
          </cell>
          <cell r="M533">
            <v>0</v>
          </cell>
          <cell r="N533">
            <v>234</v>
          </cell>
          <cell r="O533">
            <v>179</v>
          </cell>
          <cell r="P533">
            <v>322</v>
          </cell>
          <cell r="T533">
            <v>906.59999999999945</v>
          </cell>
          <cell r="U533">
            <v>977.82499999999891</v>
          </cell>
          <cell r="V533">
            <v>906.59999999999945</v>
          </cell>
          <cell r="W533">
            <v>-1022.4536699862049</v>
          </cell>
          <cell r="X533">
            <v>2256.8999999999992</v>
          </cell>
          <cell r="Y533">
            <v>2435.1999999999998</v>
          </cell>
        </row>
        <row r="534">
          <cell r="B534">
            <v>906.59999999999945</v>
          </cell>
          <cell r="C534">
            <v>977.82499999999982</v>
          </cell>
          <cell r="D534">
            <v>906.60000000000036</v>
          </cell>
          <cell r="E534">
            <v>-1035.8000000000002</v>
          </cell>
          <cell r="F534">
            <v>-757.375</v>
          </cell>
          <cell r="G534">
            <v>-1994.1000000000004</v>
          </cell>
          <cell r="K534">
            <v>0</v>
          </cell>
          <cell r="L534">
            <v>0</v>
          </cell>
          <cell r="M534">
            <v>0</v>
          </cell>
          <cell r="N534">
            <v>212</v>
          </cell>
          <cell r="O534">
            <v>169</v>
          </cell>
          <cell r="P534">
            <v>322</v>
          </cell>
          <cell r="T534">
            <v>906.59999999999945</v>
          </cell>
          <cell r="U534">
            <v>964.87499999999909</v>
          </cell>
          <cell r="V534">
            <v>906.59999999999945</v>
          </cell>
          <cell r="W534">
            <v>2239.1999999999994</v>
          </cell>
          <cell r="X534">
            <v>2194.5249999999992</v>
          </cell>
          <cell r="Y534">
            <v>2197.0515861996782</v>
          </cell>
        </row>
        <row r="535">
          <cell r="B535">
            <v>906.59999999999945</v>
          </cell>
          <cell r="C535">
            <v>938.97500000000036</v>
          </cell>
          <cell r="D535">
            <v>906.60000000000036</v>
          </cell>
          <cell r="E535">
            <v>-1320.7000000000007</v>
          </cell>
          <cell r="F535">
            <v>-414.20000000000073</v>
          </cell>
          <cell r="G535">
            <v>-2447.3500000000004</v>
          </cell>
          <cell r="K535">
            <v>0</v>
          </cell>
          <cell r="L535">
            <v>0</v>
          </cell>
          <cell r="M535">
            <v>0</v>
          </cell>
          <cell r="N535">
            <v>235</v>
          </cell>
          <cell r="O535">
            <v>190</v>
          </cell>
          <cell r="P535">
            <v>327</v>
          </cell>
          <cell r="T535">
            <v>906.59999999999945</v>
          </cell>
          <cell r="U535">
            <v>977.82499999999891</v>
          </cell>
          <cell r="V535">
            <v>906.60000000000036</v>
          </cell>
          <cell r="W535">
            <v>2219.1999999999994</v>
          </cell>
          <cell r="X535">
            <v>2235.474999999999</v>
          </cell>
          <cell r="Y535">
            <v>1800.7173883484866</v>
          </cell>
        </row>
        <row r="536">
          <cell r="B536">
            <v>906.59999999999945</v>
          </cell>
          <cell r="C536">
            <v>971.35000000000036</v>
          </cell>
          <cell r="D536">
            <v>854.80000000000018</v>
          </cell>
          <cell r="E536">
            <v>-1255.9500000000007</v>
          </cell>
          <cell r="F536">
            <v>-530.75</v>
          </cell>
          <cell r="G536">
            <v>-2201.3000000000002</v>
          </cell>
          <cell r="K536">
            <v>0</v>
          </cell>
          <cell r="L536">
            <v>0</v>
          </cell>
          <cell r="M536">
            <v>0</v>
          </cell>
          <cell r="N536">
            <v>202</v>
          </cell>
          <cell r="O536">
            <v>179</v>
          </cell>
          <cell r="P536">
            <v>332</v>
          </cell>
          <cell r="T536">
            <v>906.59999999999945</v>
          </cell>
          <cell r="U536">
            <v>938.97500000000036</v>
          </cell>
          <cell r="V536">
            <v>906.59999999999945</v>
          </cell>
          <cell r="W536">
            <v>2257.1999999999989</v>
          </cell>
          <cell r="X536">
            <v>2229.474999999999</v>
          </cell>
          <cell r="Y536">
            <v>2475.1999999999998</v>
          </cell>
        </row>
        <row r="537">
          <cell r="B537">
            <v>906.59999999999945</v>
          </cell>
          <cell r="C537">
            <v>964.87499999999909</v>
          </cell>
          <cell r="D537">
            <v>906.60000000000036</v>
          </cell>
          <cell r="E537">
            <v>-919.25</v>
          </cell>
          <cell r="F537">
            <v>-550.17500000000018</v>
          </cell>
          <cell r="G537">
            <v>-2304.9000000000005</v>
          </cell>
          <cell r="K537">
            <v>0</v>
          </cell>
          <cell r="L537">
            <v>0</v>
          </cell>
          <cell r="M537">
            <v>0</v>
          </cell>
          <cell r="N537">
            <v>228</v>
          </cell>
          <cell r="O537">
            <v>166</v>
          </cell>
          <cell r="P537">
            <v>297</v>
          </cell>
          <cell r="T537">
            <v>906.59999999999945</v>
          </cell>
          <cell r="U537">
            <v>984.29999999999927</v>
          </cell>
          <cell r="V537">
            <v>906.59999999999945</v>
          </cell>
          <cell r="W537">
            <v>-893.35000000000036</v>
          </cell>
          <cell r="X537">
            <v>2202.9999999999995</v>
          </cell>
          <cell r="Y537">
            <v>2431.1999999999998</v>
          </cell>
        </row>
        <row r="538">
          <cell r="B538">
            <v>906.59999999999945</v>
          </cell>
          <cell r="C538">
            <v>984.29999999999927</v>
          </cell>
          <cell r="D538">
            <v>867.75</v>
          </cell>
          <cell r="E538">
            <v>-1333.6500000000005</v>
          </cell>
          <cell r="F538">
            <v>-634.35000000000036</v>
          </cell>
          <cell r="G538">
            <v>-2330.8000000000002</v>
          </cell>
          <cell r="K538">
            <v>0</v>
          </cell>
          <cell r="L538">
            <v>0</v>
          </cell>
          <cell r="M538">
            <v>0</v>
          </cell>
          <cell r="N538">
            <v>220</v>
          </cell>
          <cell r="O538">
            <v>187</v>
          </cell>
          <cell r="P538">
            <v>316</v>
          </cell>
          <cell r="T538">
            <v>906.59999999999945</v>
          </cell>
          <cell r="U538">
            <v>964.875</v>
          </cell>
          <cell r="V538">
            <v>920.5999999999998</v>
          </cell>
          <cell r="W538">
            <v>2287.1999999999989</v>
          </cell>
          <cell r="X538">
            <v>1983.7213633978336</v>
          </cell>
          <cell r="Y538">
            <v>2431.1999999999998</v>
          </cell>
        </row>
        <row r="539">
          <cell r="B539">
            <v>906.59999999999945</v>
          </cell>
          <cell r="C539">
            <v>964.87499999999909</v>
          </cell>
          <cell r="D539">
            <v>906.59999999999945</v>
          </cell>
          <cell r="E539">
            <v>-1113.5</v>
          </cell>
          <cell r="F539">
            <v>-375.35000000000036</v>
          </cell>
          <cell r="G539">
            <v>-2499.1500000000005</v>
          </cell>
          <cell r="K539">
            <v>0</v>
          </cell>
          <cell r="L539">
            <v>0</v>
          </cell>
          <cell r="M539">
            <v>0</v>
          </cell>
          <cell r="N539">
            <v>224</v>
          </cell>
          <cell r="O539">
            <v>190</v>
          </cell>
          <cell r="P539">
            <v>315</v>
          </cell>
          <cell r="T539">
            <v>906.59999999999945</v>
          </cell>
          <cell r="U539">
            <v>964.87499999999909</v>
          </cell>
          <cell r="V539">
            <v>906.60000000000036</v>
          </cell>
          <cell r="W539">
            <v>2263.1999999999998</v>
          </cell>
          <cell r="X539">
            <v>2311.7499999999991</v>
          </cell>
          <cell r="Y539">
            <v>977.62156152864054</v>
          </cell>
        </row>
        <row r="540">
          <cell r="B540">
            <v>906.59999999999945</v>
          </cell>
          <cell r="C540">
            <v>997.25</v>
          </cell>
          <cell r="D540">
            <v>919.55000000000018</v>
          </cell>
          <cell r="E540">
            <v>-1152.3500000000004</v>
          </cell>
          <cell r="F540">
            <v>-770.32500000000073</v>
          </cell>
          <cell r="G540">
            <v>-2253.1000000000004</v>
          </cell>
          <cell r="K540">
            <v>0</v>
          </cell>
          <cell r="L540">
            <v>0</v>
          </cell>
          <cell r="M540">
            <v>0</v>
          </cell>
          <cell r="N540">
            <v>235</v>
          </cell>
          <cell r="O540">
            <v>201</v>
          </cell>
          <cell r="P540">
            <v>307</v>
          </cell>
          <cell r="T540">
            <v>906.59999999999945</v>
          </cell>
          <cell r="U540">
            <v>945.44999999999891</v>
          </cell>
          <cell r="V540">
            <v>906.59999999999945</v>
          </cell>
          <cell r="W540">
            <v>-664.82325293540828</v>
          </cell>
          <cell r="X540">
            <v>1276.4661177007188</v>
          </cell>
          <cell r="Y540">
            <v>2461.1999999999998</v>
          </cell>
        </row>
        <row r="541">
          <cell r="B541">
            <v>906.59999999999945</v>
          </cell>
          <cell r="C541">
            <v>971.34999999999945</v>
          </cell>
          <cell r="D541">
            <v>906.59999999999945</v>
          </cell>
          <cell r="E541">
            <v>-958.10000000000036</v>
          </cell>
          <cell r="F541">
            <v>-336.5</v>
          </cell>
          <cell r="G541">
            <v>-2576.8500000000004</v>
          </cell>
          <cell r="K541">
            <v>0</v>
          </cell>
          <cell r="L541">
            <v>0</v>
          </cell>
          <cell r="M541">
            <v>0</v>
          </cell>
          <cell r="N541">
            <v>226</v>
          </cell>
          <cell r="O541">
            <v>181</v>
          </cell>
          <cell r="P541">
            <v>317</v>
          </cell>
          <cell r="T541">
            <v>906.59999999999945</v>
          </cell>
          <cell r="U541">
            <v>964.87499999999909</v>
          </cell>
          <cell r="V541">
            <v>906.60000000000036</v>
          </cell>
          <cell r="W541">
            <v>2281.1999999999994</v>
          </cell>
          <cell r="X541">
            <v>-537.22500000000036</v>
          </cell>
          <cell r="Y541">
            <v>2455.1999999999998</v>
          </cell>
        </row>
        <row r="542">
          <cell r="B542">
            <v>906.59999999999945</v>
          </cell>
          <cell r="C542">
            <v>964.875</v>
          </cell>
          <cell r="D542">
            <v>906.59999999999945</v>
          </cell>
          <cell r="E542">
            <v>-880.40000000000055</v>
          </cell>
          <cell r="F542">
            <v>-427.15000000000055</v>
          </cell>
          <cell r="G542">
            <v>-2654.55</v>
          </cell>
          <cell r="K542">
            <v>0</v>
          </cell>
          <cell r="L542">
            <v>0</v>
          </cell>
          <cell r="M542">
            <v>0</v>
          </cell>
          <cell r="N542">
            <v>220</v>
          </cell>
          <cell r="O542">
            <v>183</v>
          </cell>
          <cell r="P542">
            <v>316</v>
          </cell>
          <cell r="T542">
            <v>906.59999999999945</v>
          </cell>
          <cell r="U542">
            <v>971.34999999999945</v>
          </cell>
          <cell r="V542">
            <v>906.60000000000036</v>
          </cell>
          <cell r="W542">
            <v>2263.1999999999998</v>
          </cell>
          <cell r="X542">
            <v>1464.1460959500146</v>
          </cell>
          <cell r="Y542">
            <v>2441.1999999999998</v>
          </cell>
        </row>
        <row r="543">
          <cell r="B543">
            <v>906.59999999999945</v>
          </cell>
          <cell r="C543">
            <v>958.39999999999873</v>
          </cell>
          <cell r="D543">
            <v>906.59999999999945</v>
          </cell>
          <cell r="E543">
            <v>-958.10000000000036</v>
          </cell>
          <cell r="F543">
            <v>-692.625</v>
          </cell>
          <cell r="G543">
            <v>-2550.9499999999998</v>
          </cell>
          <cell r="K543">
            <v>0</v>
          </cell>
          <cell r="L543">
            <v>0</v>
          </cell>
          <cell r="M543">
            <v>0</v>
          </cell>
          <cell r="N543">
            <v>233</v>
          </cell>
          <cell r="O543">
            <v>198</v>
          </cell>
          <cell r="P543">
            <v>330</v>
          </cell>
          <cell r="T543">
            <v>906.59999999999945</v>
          </cell>
          <cell r="U543">
            <v>945.44999999999891</v>
          </cell>
          <cell r="V543">
            <v>906.59999999999945</v>
          </cell>
          <cell r="W543">
            <v>-1017.1811480767338</v>
          </cell>
          <cell r="X543">
            <v>2338.2249999999995</v>
          </cell>
          <cell r="Y543">
            <v>-1027.4562325493237</v>
          </cell>
        </row>
        <row r="544">
          <cell r="B544">
            <v>906.59999999999945</v>
          </cell>
          <cell r="C544">
            <v>977.82499999999982</v>
          </cell>
          <cell r="D544">
            <v>906.60000000000036</v>
          </cell>
          <cell r="E544">
            <v>-1048.75</v>
          </cell>
          <cell r="F544">
            <v>-459.52500000000055</v>
          </cell>
          <cell r="G544">
            <v>-2473.25</v>
          </cell>
          <cell r="K544">
            <v>0</v>
          </cell>
          <cell r="L544">
            <v>0</v>
          </cell>
          <cell r="M544">
            <v>0</v>
          </cell>
          <cell r="N544">
            <v>219</v>
          </cell>
          <cell r="O544">
            <v>185</v>
          </cell>
          <cell r="P544">
            <v>341</v>
          </cell>
          <cell r="T544">
            <v>906.59999999999945</v>
          </cell>
          <cell r="U544">
            <v>971.34999999999854</v>
          </cell>
          <cell r="V544">
            <v>906.59999999999945</v>
          </cell>
          <cell r="W544">
            <v>2241.1999999999994</v>
          </cell>
          <cell r="X544">
            <v>2026.6316799040119</v>
          </cell>
          <cell r="Y544">
            <v>304.40897233275791</v>
          </cell>
        </row>
        <row r="545">
          <cell r="B545">
            <v>906.59999999999945</v>
          </cell>
          <cell r="C545">
            <v>958.39999999999964</v>
          </cell>
          <cell r="D545">
            <v>906.59999999999945</v>
          </cell>
          <cell r="E545">
            <v>-750.90000000000055</v>
          </cell>
          <cell r="F545">
            <v>-731.47500000000036</v>
          </cell>
          <cell r="G545">
            <v>-2460.3000000000002</v>
          </cell>
          <cell r="K545">
            <v>0</v>
          </cell>
          <cell r="L545">
            <v>0</v>
          </cell>
          <cell r="M545">
            <v>0</v>
          </cell>
          <cell r="N545">
            <v>234</v>
          </cell>
          <cell r="O545">
            <v>189</v>
          </cell>
          <cell r="P545">
            <v>304</v>
          </cell>
          <cell r="T545">
            <v>906.59999999999945</v>
          </cell>
          <cell r="U545">
            <v>958.39999999999964</v>
          </cell>
          <cell r="V545">
            <v>906.59999999999945</v>
          </cell>
          <cell r="W545">
            <v>1807.4194604134427</v>
          </cell>
          <cell r="X545">
            <v>2240.5249999999996</v>
          </cell>
          <cell r="Y545">
            <v>2441.1999999999998</v>
          </cell>
        </row>
        <row r="546">
          <cell r="B546">
            <v>906.59999999999945</v>
          </cell>
          <cell r="C546">
            <v>964.87499999999909</v>
          </cell>
          <cell r="D546">
            <v>906.60000000000036</v>
          </cell>
          <cell r="E546">
            <v>-1087.6000000000004</v>
          </cell>
          <cell r="F546">
            <v>-355.92500000000018</v>
          </cell>
          <cell r="G546">
            <v>-2343.75</v>
          </cell>
          <cell r="K546">
            <v>0</v>
          </cell>
          <cell r="L546">
            <v>0</v>
          </cell>
          <cell r="M546">
            <v>0</v>
          </cell>
          <cell r="N546">
            <v>217</v>
          </cell>
          <cell r="O546">
            <v>172</v>
          </cell>
          <cell r="P546">
            <v>327</v>
          </cell>
          <cell r="T546">
            <v>906.59999999999945</v>
          </cell>
          <cell r="U546">
            <v>951.92499999999927</v>
          </cell>
          <cell r="V546">
            <v>906.59999999999945</v>
          </cell>
          <cell r="W546">
            <v>2129.3326870712031</v>
          </cell>
          <cell r="X546">
            <v>2221.9499999999994</v>
          </cell>
          <cell r="Y546">
            <v>-1557.299279899104</v>
          </cell>
        </row>
        <row r="547">
          <cell r="B547">
            <v>906.59999999999945</v>
          </cell>
          <cell r="C547">
            <v>977.82499999999982</v>
          </cell>
          <cell r="D547">
            <v>906.59999999999945</v>
          </cell>
          <cell r="E547">
            <v>-1035.8000000000002</v>
          </cell>
          <cell r="F547">
            <v>-563.125</v>
          </cell>
          <cell r="G547">
            <v>-2499.1500000000005</v>
          </cell>
          <cell r="K547">
            <v>0</v>
          </cell>
          <cell r="L547">
            <v>0</v>
          </cell>
          <cell r="M547">
            <v>0</v>
          </cell>
          <cell r="N547">
            <v>236</v>
          </cell>
          <cell r="O547">
            <v>184</v>
          </cell>
          <cell r="P547">
            <v>329</v>
          </cell>
          <cell r="T547">
            <v>906.59999999999945</v>
          </cell>
          <cell r="U547">
            <v>971.34999999999945</v>
          </cell>
          <cell r="V547">
            <v>906.59999999999945</v>
          </cell>
          <cell r="W547">
            <v>-737.95000000000073</v>
          </cell>
          <cell r="X547">
            <v>281.23156276772318</v>
          </cell>
          <cell r="Y547">
            <v>95.139508419600133</v>
          </cell>
        </row>
        <row r="548">
          <cell r="B548">
            <v>906.59999999999945</v>
          </cell>
          <cell r="C548">
            <v>945.44999999999982</v>
          </cell>
          <cell r="D548">
            <v>906.59999999999945</v>
          </cell>
          <cell r="E548">
            <v>-1087.6000000000004</v>
          </cell>
          <cell r="F548">
            <v>-750.90000000000055</v>
          </cell>
          <cell r="G548">
            <v>-2240.1500000000005</v>
          </cell>
          <cell r="K548">
            <v>0</v>
          </cell>
          <cell r="L548">
            <v>0</v>
          </cell>
          <cell r="M548">
            <v>0</v>
          </cell>
          <cell r="N548">
            <v>226</v>
          </cell>
          <cell r="O548">
            <v>194</v>
          </cell>
          <cell r="P548">
            <v>319</v>
          </cell>
          <cell r="T548">
            <v>906.59999999999945</v>
          </cell>
          <cell r="U548">
            <v>945.44999999999891</v>
          </cell>
          <cell r="V548">
            <v>906.59999999999945</v>
          </cell>
          <cell r="W548">
            <v>2233.1999999999998</v>
          </cell>
          <cell r="X548">
            <v>2358.6999999999994</v>
          </cell>
          <cell r="Y548">
            <v>1835.2853204763169</v>
          </cell>
        </row>
        <row r="549">
          <cell r="B549">
            <v>906.59999999999945</v>
          </cell>
          <cell r="C549">
            <v>945.44999999999891</v>
          </cell>
          <cell r="D549">
            <v>906.60000000000036</v>
          </cell>
          <cell r="E549">
            <v>-1100.5500000000002</v>
          </cell>
          <cell r="F549">
            <v>-530.75</v>
          </cell>
          <cell r="G549">
            <v>-2589.8000000000002</v>
          </cell>
          <cell r="K549">
            <v>0</v>
          </cell>
          <cell r="L549">
            <v>0</v>
          </cell>
          <cell r="M549">
            <v>0</v>
          </cell>
          <cell r="N549">
            <v>223</v>
          </cell>
          <cell r="O549">
            <v>187</v>
          </cell>
          <cell r="P549">
            <v>305</v>
          </cell>
          <cell r="T549">
            <v>906.59999999999945</v>
          </cell>
          <cell r="U549">
            <v>977.82499999999891</v>
          </cell>
          <cell r="V549">
            <v>906.60000000000036</v>
          </cell>
          <cell r="W549">
            <v>2139.2988998370815</v>
          </cell>
          <cell r="X549">
            <v>2214.5249999999992</v>
          </cell>
          <cell r="Y549">
            <v>2415.1999999999998</v>
          </cell>
        </row>
        <row r="550">
          <cell r="B550">
            <v>906.59999999999945</v>
          </cell>
          <cell r="C550">
            <v>977.82499999999891</v>
          </cell>
          <cell r="D550">
            <v>919.55000000000018</v>
          </cell>
          <cell r="E550">
            <v>-1268.9000000000005</v>
          </cell>
          <cell r="F550">
            <v>-245.85000000000036</v>
          </cell>
          <cell r="G550">
            <v>-2058.8500000000004</v>
          </cell>
          <cell r="K550">
            <v>0</v>
          </cell>
          <cell r="L550">
            <v>0</v>
          </cell>
          <cell r="M550">
            <v>0</v>
          </cell>
          <cell r="N550">
            <v>229</v>
          </cell>
          <cell r="O550">
            <v>193</v>
          </cell>
          <cell r="P550">
            <v>319</v>
          </cell>
          <cell r="T550">
            <v>906.59999999999945</v>
          </cell>
          <cell r="U550">
            <v>977.82499999999982</v>
          </cell>
          <cell r="V550">
            <v>906.59999999999945</v>
          </cell>
          <cell r="W550">
            <v>2249.1999999999994</v>
          </cell>
          <cell r="X550">
            <v>2239.474999999999</v>
          </cell>
          <cell r="Y550">
            <v>1646.9712926561824</v>
          </cell>
        </row>
        <row r="551">
          <cell r="B551">
            <v>906.59999999999945</v>
          </cell>
          <cell r="C551">
            <v>990.77499999999964</v>
          </cell>
          <cell r="D551">
            <v>880.69999999999982</v>
          </cell>
          <cell r="E551">
            <v>-1178.25</v>
          </cell>
          <cell r="F551">
            <v>-336.5</v>
          </cell>
          <cell r="G551">
            <v>-2291.9499999999998</v>
          </cell>
          <cell r="K551">
            <v>0</v>
          </cell>
          <cell r="L551">
            <v>0</v>
          </cell>
          <cell r="M551">
            <v>0</v>
          </cell>
          <cell r="N551">
            <v>236</v>
          </cell>
          <cell r="O551">
            <v>188</v>
          </cell>
          <cell r="P551">
            <v>311</v>
          </cell>
          <cell r="T551">
            <v>906.59999999999945</v>
          </cell>
          <cell r="U551">
            <v>1003.7249999999985</v>
          </cell>
          <cell r="V551">
            <v>906.59999999999945</v>
          </cell>
          <cell r="W551">
            <v>2249.1999999999994</v>
          </cell>
          <cell r="X551">
            <v>2266.8999999999992</v>
          </cell>
          <cell r="Y551">
            <v>-681.23769030002586</v>
          </cell>
        </row>
        <row r="552">
          <cell r="B552">
            <v>906.59999999999945</v>
          </cell>
          <cell r="C552">
            <v>984.29999999999927</v>
          </cell>
          <cell r="D552">
            <v>906.59999999999945</v>
          </cell>
          <cell r="E552">
            <v>-1009.9000000000005</v>
          </cell>
          <cell r="F552">
            <v>-601.97500000000036</v>
          </cell>
          <cell r="G552">
            <v>-2473.25</v>
          </cell>
          <cell r="K552">
            <v>0</v>
          </cell>
          <cell r="L552">
            <v>0</v>
          </cell>
          <cell r="M552">
            <v>0</v>
          </cell>
          <cell r="N552">
            <v>219</v>
          </cell>
          <cell r="O552">
            <v>191</v>
          </cell>
          <cell r="P552">
            <v>333</v>
          </cell>
          <cell r="T552">
            <v>906.59999999999945</v>
          </cell>
          <cell r="U552">
            <v>977.82499999999891</v>
          </cell>
          <cell r="V552">
            <v>906.59999999999945</v>
          </cell>
          <cell r="W552">
            <v>2265.1999999999998</v>
          </cell>
          <cell r="X552">
            <v>2203.4749999999995</v>
          </cell>
          <cell r="Y552">
            <v>-1189.6063023461406</v>
          </cell>
        </row>
        <row r="553">
          <cell r="B553">
            <v>906.59999999999945</v>
          </cell>
          <cell r="C553">
            <v>984.30000000000018</v>
          </cell>
          <cell r="D553">
            <v>906.59999999999945</v>
          </cell>
          <cell r="E553">
            <v>-1178.25</v>
          </cell>
          <cell r="F553">
            <v>-297.65000000000055</v>
          </cell>
          <cell r="G553">
            <v>-2680.45</v>
          </cell>
          <cell r="K553">
            <v>0</v>
          </cell>
          <cell r="L553">
            <v>0</v>
          </cell>
          <cell r="M553">
            <v>0</v>
          </cell>
          <cell r="N553">
            <v>217</v>
          </cell>
          <cell r="O553">
            <v>156</v>
          </cell>
          <cell r="P553">
            <v>313</v>
          </cell>
          <cell r="T553">
            <v>906.59999999999945</v>
          </cell>
          <cell r="U553">
            <v>951.92499999999927</v>
          </cell>
          <cell r="V553">
            <v>906.60000000000036</v>
          </cell>
          <cell r="W553">
            <v>2065.2245443391198</v>
          </cell>
          <cell r="X553">
            <v>2251.3749999999995</v>
          </cell>
          <cell r="Y553">
            <v>-63.181172470925503</v>
          </cell>
        </row>
        <row r="554">
          <cell r="B554">
            <v>906.59999999999945</v>
          </cell>
          <cell r="C554">
            <v>971.34999999999945</v>
          </cell>
          <cell r="D554">
            <v>906.59999999999945</v>
          </cell>
          <cell r="E554">
            <v>-1255.9500000000007</v>
          </cell>
          <cell r="F554">
            <v>-252.32500000000073</v>
          </cell>
          <cell r="G554">
            <v>-2395.5500000000002</v>
          </cell>
          <cell r="K554">
            <v>0</v>
          </cell>
          <cell r="L554">
            <v>0</v>
          </cell>
          <cell r="M554">
            <v>0</v>
          </cell>
          <cell r="N554">
            <v>209</v>
          </cell>
          <cell r="O554">
            <v>188</v>
          </cell>
          <cell r="P554">
            <v>330</v>
          </cell>
          <cell r="T554">
            <v>906.59999999999945</v>
          </cell>
          <cell r="U554">
            <v>951.92499999999927</v>
          </cell>
          <cell r="V554">
            <v>906.59999999999945</v>
          </cell>
          <cell r="W554">
            <v>-1182.1395331722995</v>
          </cell>
          <cell r="X554">
            <v>2251.849999999999</v>
          </cell>
          <cell r="Y554">
            <v>2457.1999999999998</v>
          </cell>
        </row>
        <row r="555">
          <cell r="B555">
            <v>906.59999999999945</v>
          </cell>
          <cell r="C555">
            <v>984.29999999999927</v>
          </cell>
          <cell r="D555">
            <v>906.60000000000036</v>
          </cell>
          <cell r="E555">
            <v>-1204.1500000000005</v>
          </cell>
          <cell r="F555">
            <v>-543.70000000000073</v>
          </cell>
          <cell r="G555">
            <v>-2279</v>
          </cell>
          <cell r="K555">
            <v>0</v>
          </cell>
          <cell r="L555">
            <v>0</v>
          </cell>
          <cell r="M555">
            <v>0</v>
          </cell>
          <cell r="N555">
            <v>222</v>
          </cell>
          <cell r="O555">
            <v>178</v>
          </cell>
          <cell r="P555">
            <v>314</v>
          </cell>
          <cell r="T555">
            <v>906.59999999999945</v>
          </cell>
          <cell r="U555">
            <v>945.44999999999891</v>
          </cell>
          <cell r="V555">
            <v>906.60000000000036</v>
          </cell>
          <cell r="W555">
            <v>2015.1919035467677</v>
          </cell>
          <cell r="X555">
            <v>2296.8999999999992</v>
          </cell>
          <cell r="Y555">
            <v>-2373.9169235831882</v>
          </cell>
        </row>
        <row r="556">
          <cell r="B556">
            <v>906.59999999999945</v>
          </cell>
          <cell r="C556">
            <v>971.34999999999854</v>
          </cell>
          <cell r="D556">
            <v>906.59999999999945</v>
          </cell>
          <cell r="E556">
            <v>-1035.8000000000002</v>
          </cell>
          <cell r="F556">
            <v>-537.22500000000036</v>
          </cell>
          <cell r="G556">
            <v>-2395.5500000000002</v>
          </cell>
          <cell r="K556">
            <v>0</v>
          </cell>
          <cell r="L556">
            <v>0</v>
          </cell>
          <cell r="M556">
            <v>0</v>
          </cell>
          <cell r="N556">
            <v>208</v>
          </cell>
          <cell r="O556">
            <v>195</v>
          </cell>
          <cell r="P556">
            <v>335</v>
          </cell>
          <cell r="T556">
            <v>906.59999999999945</v>
          </cell>
          <cell r="U556">
            <v>990.77499999999873</v>
          </cell>
          <cell r="V556">
            <v>906.59999999999945</v>
          </cell>
          <cell r="W556">
            <v>-430.49539651842099</v>
          </cell>
          <cell r="X556">
            <v>2248.8999999999992</v>
          </cell>
          <cell r="Y556">
            <v>-1287.0439484062535</v>
          </cell>
        </row>
        <row r="557">
          <cell r="B557">
            <v>906.59999999999945</v>
          </cell>
          <cell r="C557">
            <v>964.87499999999909</v>
          </cell>
          <cell r="D557">
            <v>906.59999999999945</v>
          </cell>
          <cell r="E557">
            <v>-1100.5500000000002</v>
          </cell>
          <cell r="F557">
            <v>-589.02499999999964</v>
          </cell>
          <cell r="G557">
            <v>-2563.9000000000005</v>
          </cell>
          <cell r="K557">
            <v>0</v>
          </cell>
          <cell r="L557">
            <v>0</v>
          </cell>
          <cell r="M557">
            <v>0</v>
          </cell>
          <cell r="N557">
            <v>232</v>
          </cell>
          <cell r="O557">
            <v>197</v>
          </cell>
          <cell r="P557">
            <v>326</v>
          </cell>
          <cell r="T557">
            <v>906.59999999999945</v>
          </cell>
          <cell r="U557">
            <v>977.82499999999982</v>
          </cell>
          <cell r="V557">
            <v>906.59999999999945</v>
          </cell>
          <cell r="W557">
            <v>2263.1999999999998</v>
          </cell>
          <cell r="X557">
            <v>2267.849999999999</v>
          </cell>
          <cell r="Y557">
            <v>2033.6663165491882</v>
          </cell>
        </row>
        <row r="558">
          <cell r="B558">
            <v>906.59999999999945</v>
          </cell>
          <cell r="C558">
            <v>964.875</v>
          </cell>
          <cell r="D558">
            <v>906.59999999999945</v>
          </cell>
          <cell r="E558">
            <v>-1126.4500000000007</v>
          </cell>
          <cell r="F558">
            <v>-679.67500000000109</v>
          </cell>
          <cell r="G558">
            <v>-2214.25</v>
          </cell>
          <cell r="K558">
            <v>0</v>
          </cell>
          <cell r="L558">
            <v>0</v>
          </cell>
          <cell r="M558">
            <v>0</v>
          </cell>
          <cell r="N558">
            <v>212</v>
          </cell>
          <cell r="O558">
            <v>162</v>
          </cell>
          <cell r="P558">
            <v>324</v>
          </cell>
          <cell r="T558">
            <v>906.59999999999945</v>
          </cell>
          <cell r="U558">
            <v>951.92499999999927</v>
          </cell>
          <cell r="V558">
            <v>906.60000000000036</v>
          </cell>
          <cell r="W558">
            <v>-403.29689845786652</v>
          </cell>
          <cell r="X558">
            <v>2244.9</v>
          </cell>
          <cell r="Y558">
            <v>2489.1999999999989</v>
          </cell>
        </row>
        <row r="559">
          <cell r="B559">
            <v>906.59999999999945</v>
          </cell>
          <cell r="C559">
            <v>990.77499999999964</v>
          </cell>
          <cell r="D559">
            <v>906.60000000000036</v>
          </cell>
          <cell r="E559">
            <v>-958.10000000000036</v>
          </cell>
          <cell r="F559">
            <v>-401.25</v>
          </cell>
          <cell r="G559">
            <v>-2317.8500000000004</v>
          </cell>
          <cell r="K559">
            <v>0</v>
          </cell>
          <cell r="L559">
            <v>0</v>
          </cell>
          <cell r="M559">
            <v>0</v>
          </cell>
          <cell r="N559">
            <v>229</v>
          </cell>
          <cell r="O559">
            <v>198</v>
          </cell>
          <cell r="P559">
            <v>324</v>
          </cell>
          <cell r="T559">
            <v>906.59999999999945</v>
          </cell>
          <cell r="U559">
            <v>1010.1999999999989</v>
          </cell>
          <cell r="V559">
            <v>906.59999999999945</v>
          </cell>
          <cell r="W559">
            <v>2259.1999999999994</v>
          </cell>
          <cell r="X559">
            <v>2265.4749999999985</v>
          </cell>
          <cell r="Y559">
            <v>-455.11508783087947</v>
          </cell>
        </row>
        <row r="560">
          <cell r="B560">
            <v>906.59999999999945</v>
          </cell>
          <cell r="C560">
            <v>932.49999999999909</v>
          </cell>
          <cell r="D560">
            <v>919.55000000000018</v>
          </cell>
          <cell r="E560">
            <v>-1152.3500000000004</v>
          </cell>
          <cell r="F560">
            <v>-466</v>
          </cell>
          <cell r="G560">
            <v>-2525.0500000000002</v>
          </cell>
          <cell r="K560">
            <v>0</v>
          </cell>
          <cell r="L560">
            <v>0</v>
          </cell>
          <cell r="M560">
            <v>0</v>
          </cell>
          <cell r="N560">
            <v>245</v>
          </cell>
          <cell r="O560">
            <v>187</v>
          </cell>
          <cell r="P560">
            <v>314</v>
          </cell>
          <cell r="T560">
            <v>906.59999999999945</v>
          </cell>
          <cell r="U560">
            <v>945.44999999999982</v>
          </cell>
          <cell r="V560">
            <v>906.59999999999945</v>
          </cell>
          <cell r="W560">
            <v>2277.1999999999989</v>
          </cell>
          <cell r="X560">
            <v>2224.5249999999992</v>
          </cell>
          <cell r="Y560">
            <v>546.41246002829075</v>
          </cell>
        </row>
        <row r="561">
          <cell r="B561">
            <v>906.59999999999945</v>
          </cell>
          <cell r="C561">
            <v>938.97499999999945</v>
          </cell>
          <cell r="D561">
            <v>919.54999999999927</v>
          </cell>
          <cell r="E561">
            <v>-919.25</v>
          </cell>
          <cell r="F561">
            <v>-349.45000000000073</v>
          </cell>
          <cell r="G561">
            <v>-2279</v>
          </cell>
          <cell r="K561">
            <v>0</v>
          </cell>
          <cell r="L561">
            <v>0</v>
          </cell>
          <cell r="M561">
            <v>0</v>
          </cell>
          <cell r="N561">
            <v>224</v>
          </cell>
          <cell r="O561">
            <v>196</v>
          </cell>
          <cell r="P561">
            <v>323</v>
          </cell>
          <cell r="T561">
            <v>906.59999999999945</v>
          </cell>
          <cell r="U561">
            <v>990.77499999999873</v>
          </cell>
          <cell r="V561">
            <v>919.55000000000018</v>
          </cell>
          <cell r="W561">
            <v>2277.1999999999989</v>
          </cell>
          <cell r="X561">
            <v>2243.3749999999995</v>
          </cell>
          <cell r="Y561">
            <v>2423.1999999999998</v>
          </cell>
        </row>
        <row r="562">
          <cell r="B562">
            <v>906.59999999999945</v>
          </cell>
          <cell r="C562">
            <v>997.25</v>
          </cell>
          <cell r="D562">
            <v>906.60000000000036</v>
          </cell>
          <cell r="E562">
            <v>-958.10000000000036</v>
          </cell>
          <cell r="F562">
            <v>-504.85000000000036</v>
          </cell>
          <cell r="G562">
            <v>-2149.5</v>
          </cell>
          <cell r="K562">
            <v>0</v>
          </cell>
          <cell r="L562">
            <v>0</v>
          </cell>
          <cell r="M562">
            <v>0</v>
          </cell>
          <cell r="N562">
            <v>240</v>
          </cell>
          <cell r="O562">
            <v>177</v>
          </cell>
          <cell r="P562">
            <v>342</v>
          </cell>
          <cell r="T562">
            <v>906.59999999999945</v>
          </cell>
          <cell r="U562">
            <v>977.82499999999982</v>
          </cell>
          <cell r="V562">
            <v>906.59999999999945</v>
          </cell>
          <cell r="W562">
            <v>2263.1999999999998</v>
          </cell>
          <cell r="X562">
            <v>2248.3249999999994</v>
          </cell>
          <cell r="Y562">
            <v>154.63783418313096</v>
          </cell>
        </row>
        <row r="563">
          <cell r="B563">
            <v>906.59999999999945</v>
          </cell>
          <cell r="C563">
            <v>997.25</v>
          </cell>
          <cell r="D563">
            <v>906.60000000000036</v>
          </cell>
          <cell r="E563">
            <v>-1061.7000000000007</v>
          </cell>
          <cell r="F563">
            <v>-336.5</v>
          </cell>
          <cell r="G563">
            <v>-2512.1000000000004</v>
          </cell>
          <cell r="K563">
            <v>0</v>
          </cell>
          <cell r="L563">
            <v>0</v>
          </cell>
          <cell r="M563">
            <v>0</v>
          </cell>
          <cell r="N563">
            <v>217</v>
          </cell>
          <cell r="O563">
            <v>175</v>
          </cell>
          <cell r="P563">
            <v>334</v>
          </cell>
          <cell r="T563">
            <v>906.59999999999945</v>
          </cell>
          <cell r="U563">
            <v>964.875</v>
          </cell>
          <cell r="V563">
            <v>906.59999999999945</v>
          </cell>
          <cell r="W563">
            <v>2263.1999999999998</v>
          </cell>
          <cell r="X563">
            <v>2199.0539703708509</v>
          </cell>
          <cell r="Y563">
            <v>-101.50843334355659</v>
          </cell>
        </row>
        <row r="564">
          <cell r="B564">
            <v>906.59999999999945</v>
          </cell>
          <cell r="C564">
            <v>964.87499999999909</v>
          </cell>
          <cell r="D564">
            <v>893.64999999999964</v>
          </cell>
          <cell r="E564">
            <v>-1359.5500000000002</v>
          </cell>
          <cell r="F564">
            <v>-135.77499999999964</v>
          </cell>
          <cell r="G564">
            <v>-2020</v>
          </cell>
          <cell r="K564">
            <v>0</v>
          </cell>
          <cell r="L564">
            <v>0</v>
          </cell>
          <cell r="M564">
            <v>0</v>
          </cell>
          <cell r="N564">
            <v>225</v>
          </cell>
          <cell r="O564">
            <v>183</v>
          </cell>
          <cell r="P564">
            <v>342</v>
          </cell>
          <cell r="T564">
            <v>906.59999999999945</v>
          </cell>
          <cell r="U564">
            <v>964.875</v>
          </cell>
          <cell r="V564">
            <v>906.59999999999945</v>
          </cell>
          <cell r="W564">
            <v>2261.1999999999994</v>
          </cell>
          <cell r="X564">
            <v>2311.2749999999992</v>
          </cell>
          <cell r="Y564">
            <v>2443.1999999999998</v>
          </cell>
        </row>
        <row r="565">
          <cell r="B565">
            <v>906.59999999999945</v>
          </cell>
          <cell r="C565">
            <v>984.29999999999927</v>
          </cell>
          <cell r="D565">
            <v>906.59999999999945</v>
          </cell>
          <cell r="E565">
            <v>-1217.1000000000004</v>
          </cell>
          <cell r="F565">
            <v>-744.42500000000018</v>
          </cell>
          <cell r="G565">
            <v>-2162.4500000000007</v>
          </cell>
          <cell r="K565">
            <v>0</v>
          </cell>
          <cell r="L565">
            <v>0</v>
          </cell>
          <cell r="M565">
            <v>0</v>
          </cell>
          <cell r="N565">
            <v>200</v>
          </cell>
          <cell r="O565">
            <v>184</v>
          </cell>
          <cell r="P565">
            <v>303</v>
          </cell>
          <cell r="T565">
            <v>906.59999999999945</v>
          </cell>
          <cell r="U565">
            <v>990.77499999999964</v>
          </cell>
          <cell r="V565">
            <v>936.59999999999945</v>
          </cell>
          <cell r="W565">
            <v>2263.1999999999998</v>
          </cell>
          <cell r="X565">
            <v>-271.75</v>
          </cell>
          <cell r="Y565">
            <v>-1716.5968202124936</v>
          </cell>
        </row>
        <row r="566">
          <cell r="B566">
            <v>906.59999999999945</v>
          </cell>
          <cell r="C566">
            <v>964.87499999999909</v>
          </cell>
          <cell r="D566">
            <v>906.59999999999945</v>
          </cell>
          <cell r="E566">
            <v>-1217.1000000000004</v>
          </cell>
          <cell r="F566">
            <v>-453.05000000000018</v>
          </cell>
          <cell r="G566">
            <v>-2499.1500000000005</v>
          </cell>
          <cell r="K566">
            <v>0</v>
          </cell>
          <cell r="L566">
            <v>0</v>
          </cell>
          <cell r="M566">
            <v>0</v>
          </cell>
          <cell r="N566">
            <v>234</v>
          </cell>
          <cell r="O566">
            <v>207</v>
          </cell>
          <cell r="P566">
            <v>339</v>
          </cell>
          <cell r="T566">
            <v>906.59999999999945</v>
          </cell>
          <cell r="U566">
            <v>958.39999999999964</v>
          </cell>
          <cell r="V566">
            <v>906.59999999999945</v>
          </cell>
          <cell r="W566">
            <v>937.40891835115713</v>
          </cell>
          <cell r="X566">
            <v>2164.5249999999992</v>
          </cell>
          <cell r="Y566">
            <v>2423.1999999999998</v>
          </cell>
        </row>
        <row r="567">
          <cell r="B567">
            <v>906.59999999999945</v>
          </cell>
          <cell r="C567">
            <v>958.39999999999964</v>
          </cell>
          <cell r="D567">
            <v>906.59999999999945</v>
          </cell>
          <cell r="E567">
            <v>-1035.8000000000002</v>
          </cell>
          <cell r="F567">
            <v>-381.82500000000073</v>
          </cell>
          <cell r="G567">
            <v>-2447.3500000000004</v>
          </cell>
          <cell r="K567">
            <v>0</v>
          </cell>
          <cell r="L567">
            <v>0</v>
          </cell>
          <cell r="M567">
            <v>0</v>
          </cell>
          <cell r="N567">
            <v>228</v>
          </cell>
          <cell r="O567">
            <v>189</v>
          </cell>
          <cell r="P567">
            <v>329</v>
          </cell>
          <cell r="T567">
            <v>906.59999999999945</v>
          </cell>
          <cell r="U567">
            <v>977.82499999999982</v>
          </cell>
          <cell r="V567">
            <v>906.59999999999945</v>
          </cell>
          <cell r="W567">
            <v>2245.1999999999998</v>
          </cell>
          <cell r="X567">
            <v>2246.9999999999991</v>
          </cell>
          <cell r="Y567">
            <v>-1337.6276402580065</v>
          </cell>
        </row>
        <row r="568">
          <cell r="B568">
            <v>906.59999999999945</v>
          </cell>
          <cell r="C568">
            <v>984.29999999999927</v>
          </cell>
          <cell r="D568">
            <v>906.59999999999945</v>
          </cell>
          <cell r="E568">
            <v>-1048.75</v>
          </cell>
          <cell r="F568">
            <v>-433.625</v>
          </cell>
          <cell r="G568">
            <v>-2291.9499999999998</v>
          </cell>
          <cell r="K568">
            <v>0</v>
          </cell>
          <cell r="L568">
            <v>0</v>
          </cell>
          <cell r="M568">
            <v>0</v>
          </cell>
          <cell r="N568">
            <v>195</v>
          </cell>
          <cell r="O568">
            <v>174</v>
          </cell>
          <cell r="P568">
            <v>310</v>
          </cell>
          <cell r="T568">
            <v>906.59999999999945</v>
          </cell>
          <cell r="U568">
            <v>1003.7250000000004</v>
          </cell>
          <cell r="V568">
            <v>906.59999999999945</v>
          </cell>
          <cell r="W568">
            <v>2247.1999999999989</v>
          </cell>
          <cell r="X568">
            <v>690.16737893023355</v>
          </cell>
          <cell r="Y568">
            <v>2457.1999999999998</v>
          </cell>
        </row>
        <row r="569">
          <cell r="B569">
            <v>906.59999999999945</v>
          </cell>
          <cell r="C569">
            <v>971.34999999999854</v>
          </cell>
          <cell r="D569">
            <v>906.60000000000036</v>
          </cell>
          <cell r="E569">
            <v>-1009.9000000000005</v>
          </cell>
          <cell r="F569">
            <v>-239.375</v>
          </cell>
          <cell r="G569">
            <v>-2421.4499999999998</v>
          </cell>
          <cell r="K569">
            <v>0</v>
          </cell>
          <cell r="L569">
            <v>0</v>
          </cell>
          <cell r="M569">
            <v>0</v>
          </cell>
          <cell r="N569">
            <v>222</v>
          </cell>
          <cell r="O569">
            <v>161</v>
          </cell>
          <cell r="P569">
            <v>321</v>
          </cell>
          <cell r="T569">
            <v>906.59999999999945</v>
          </cell>
          <cell r="U569">
            <v>984.29999999999927</v>
          </cell>
          <cell r="V569">
            <v>906.59999999999945</v>
          </cell>
          <cell r="W569">
            <v>1599.3838462995213</v>
          </cell>
          <cell r="X569">
            <v>2225</v>
          </cell>
          <cell r="Y569">
            <v>213.85693968034684</v>
          </cell>
        </row>
        <row r="570">
          <cell r="B570">
            <v>906.59999999999945</v>
          </cell>
          <cell r="C570">
            <v>958.39999999999964</v>
          </cell>
          <cell r="D570">
            <v>906.59999999999945</v>
          </cell>
          <cell r="E570">
            <v>-1035.8000000000002</v>
          </cell>
          <cell r="F570">
            <v>45.524999999999636</v>
          </cell>
          <cell r="G570">
            <v>-2291.9499999999998</v>
          </cell>
          <cell r="K570">
            <v>0</v>
          </cell>
          <cell r="L570">
            <v>0</v>
          </cell>
          <cell r="M570">
            <v>0</v>
          </cell>
          <cell r="N570">
            <v>223</v>
          </cell>
          <cell r="O570">
            <v>186</v>
          </cell>
          <cell r="P570">
            <v>313</v>
          </cell>
          <cell r="T570">
            <v>906.59999999999945</v>
          </cell>
          <cell r="U570">
            <v>951.92499999999927</v>
          </cell>
          <cell r="V570">
            <v>906.60000000000036</v>
          </cell>
          <cell r="W570">
            <v>2301.1999999999994</v>
          </cell>
          <cell r="X570">
            <v>2321.7499999999991</v>
          </cell>
          <cell r="Y570">
            <v>778.07415922321979</v>
          </cell>
        </row>
        <row r="571">
          <cell r="B571">
            <v>906.59999999999945</v>
          </cell>
          <cell r="C571">
            <v>945.44999999999891</v>
          </cell>
          <cell r="D571">
            <v>906.59999999999945</v>
          </cell>
          <cell r="E571">
            <v>-893.35000000000036</v>
          </cell>
          <cell r="F571">
            <v>-304.125</v>
          </cell>
          <cell r="G571">
            <v>-2369.6500000000005</v>
          </cell>
          <cell r="K571">
            <v>0</v>
          </cell>
          <cell r="L571">
            <v>0</v>
          </cell>
          <cell r="M571">
            <v>0</v>
          </cell>
          <cell r="N571">
            <v>211</v>
          </cell>
          <cell r="O571">
            <v>181</v>
          </cell>
          <cell r="P571">
            <v>323</v>
          </cell>
          <cell r="T571">
            <v>906.59999999999945</v>
          </cell>
          <cell r="U571">
            <v>958.39999999999964</v>
          </cell>
          <cell r="V571">
            <v>906.60000000000036</v>
          </cell>
          <cell r="W571">
            <v>1813.8143517400986</v>
          </cell>
          <cell r="X571">
            <v>1665.6399159532984</v>
          </cell>
          <cell r="Y571">
            <v>2515.1999999999998</v>
          </cell>
        </row>
        <row r="572">
          <cell r="B572">
            <v>906.59999999999945</v>
          </cell>
          <cell r="C572">
            <v>945.44999999999891</v>
          </cell>
          <cell r="D572">
            <v>906.59999999999945</v>
          </cell>
          <cell r="E572">
            <v>-1424.3000000000002</v>
          </cell>
          <cell r="F572">
            <v>-381.82500000000073</v>
          </cell>
          <cell r="G572">
            <v>-2589.8000000000002</v>
          </cell>
          <cell r="K572">
            <v>0</v>
          </cell>
          <cell r="L572">
            <v>0</v>
          </cell>
          <cell r="M572">
            <v>0</v>
          </cell>
          <cell r="N572">
            <v>230</v>
          </cell>
          <cell r="O572">
            <v>180</v>
          </cell>
          <cell r="P572">
            <v>333</v>
          </cell>
          <cell r="T572">
            <v>906.59999999999945</v>
          </cell>
          <cell r="U572">
            <v>997.25</v>
          </cell>
          <cell r="V572">
            <v>906.59999999999945</v>
          </cell>
          <cell r="W572">
            <v>2291.1999999999994</v>
          </cell>
          <cell r="X572">
            <v>2172.0499999999993</v>
          </cell>
          <cell r="Y572">
            <v>2457.1999999999998</v>
          </cell>
        </row>
        <row r="573">
          <cell r="B573">
            <v>906.59999999999945</v>
          </cell>
          <cell r="C573">
            <v>1010.1999999999998</v>
          </cell>
          <cell r="D573">
            <v>906.60000000000036</v>
          </cell>
          <cell r="E573">
            <v>-1243</v>
          </cell>
          <cell r="F573">
            <v>-232.90000000000055</v>
          </cell>
          <cell r="G573">
            <v>-2240.1500000000005</v>
          </cell>
          <cell r="K573">
            <v>0</v>
          </cell>
          <cell r="L573">
            <v>0</v>
          </cell>
          <cell r="M573">
            <v>0</v>
          </cell>
          <cell r="N573">
            <v>214</v>
          </cell>
          <cell r="O573">
            <v>182</v>
          </cell>
          <cell r="P573">
            <v>301</v>
          </cell>
          <cell r="T573">
            <v>906.59999999999945</v>
          </cell>
          <cell r="U573">
            <v>958.39999999999964</v>
          </cell>
          <cell r="V573">
            <v>906.60000000000036</v>
          </cell>
          <cell r="W573">
            <v>853.85770072275136</v>
          </cell>
          <cell r="X573">
            <v>2298.4249999999993</v>
          </cell>
          <cell r="Y573">
            <v>2437.1999999999989</v>
          </cell>
        </row>
        <row r="574">
          <cell r="B574">
            <v>906.59999999999945</v>
          </cell>
          <cell r="C574">
            <v>1003.7249999999985</v>
          </cell>
          <cell r="D574">
            <v>906.60000000000036</v>
          </cell>
          <cell r="E574">
            <v>-996.95000000000073</v>
          </cell>
          <cell r="F574">
            <v>-537.22500000000036</v>
          </cell>
          <cell r="G574">
            <v>-1579.7000000000007</v>
          </cell>
          <cell r="K574">
            <v>0</v>
          </cell>
          <cell r="L574">
            <v>0</v>
          </cell>
          <cell r="M574">
            <v>0</v>
          </cell>
          <cell r="N574">
            <v>223</v>
          </cell>
          <cell r="O574">
            <v>201</v>
          </cell>
          <cell r="P574">
            <v>332</v>
          </cell>
          <cell r="T574">
            <v>906.59999999999945</v>
          </cell>
          <cell r="U574">
            <v>971.35000000000036</v>
          </cell>
          <cell r="V574">
            <v>906.60000000000036</v>
          </cell>
          <cell r="W574">
            <v>2279.1999999999994</v>
          </cell>
          <cell r="X574">
            <v>2226.0499999999997</v>
          </cell>
          <cell r="Y574">
            <v>-599.83291563570629</v>
          </cell>
        </row>
        <row r="575">
          <cell r="B575">
            <v>906.59999999999945</v>
          </cell>
          <cell r="C575">
            <v>1003.7249999999985</v>
          </cell>
          <cell r="D575">
            <v>906.59999999999945</v>
          </cell>
          <cell r="E575">
            <v>-1061.7000000000007</v>
          </cell>
          <cell r="F575">
            <v>-453.05000000000018</v>
          </cell>
          <cell r="G575">
            <v>-2188.3500000000004</v>
          </cell>
          <cell r="K575">
            <v>0</v>
          </cell>
          <cell r="L575">
            <v>0</v>
          </cell>
          <cell r="M575">
            <v>0</v>
          </cell>
          <cell r="N575">
            <v>210</v>
          </cell>
          <cell r="O575">
            <v>179</v>
          </cell>
          <cell r="P575">
            <v>349</v>
          </cell>
          <cell r="T575">
            <v>906.59999999999945</v>
          </cell>
          <cell r="U575">
            <v>964.87499999999909</v>
          </cell>
          <cell r="V575">
            <v>906.59999999999945</v>
          </cell>
          <cell r="W575">
            <v>2287.1999999999989</v>
          </cell>
          <cell r="X575">
            <v>2331.7499999999991</v>
          </cell>
          <cell r="Y575">
            <v>-2337.9409275154917</v>
          </cell>
        </row>
        <row r="576">
          <cell r="B576">
            <v>906.59999999999945</v>
          </cell>
          <cell r="C576">
            <v>1010.1999999999989</v>
          </cell>
          <cell r="D576">
            <v>906.59999999999945</v>
          </cell>
          <cell r="E576">
            <v>-1126.4500000000007</v>
          </cell>
          <cell r="F576">
            <v>-129.30000000000018</v>
          </cell>
          <cell r="G576">
            <v>-2499.1500000000005</v>
          </cell>
          <cell r="K576">
            <v>0</v>
          </cell>
          <cell r="L576">
            <v>0</v>
          </cell>
          <cell r="M576">
            <v>0</v>
          </cell>
          <cell r="N576">
            <v>217</v>
          </cell>
          <cell r="O576">
            <v>212</v>
          </cell>
          <cell r="P576">
            <v>316</v>
          </cell>
          <cell r="T576">
            <v>906.59999999999945</v>
          </cell>
          <cell r="U576">
            <v>945.44999999999982</v>
          </cell>
          <cell r="V576">
            <v>906.59999999999945</v>
          </cell>
          <cell r="W576">
            <v>2231.1999999999994</v>
          </cell>
          <cell r="X576">
            <v>2140.0937963580986</v>
          </cell>
          <cell r="Y576">
            <v>2417.1999999999989</v>
          </cell>
        </row>
        <row r="577">
          <cell r="B577">
            <v>906.59999999999945</v>
          </cell>
          <cell r="C577">
            <v>951.92499999999927</v>
          </cell>
          <cell r="D577">
            <v>906.59999999999945</v>
          </cell>
          <cell r="E577">
            <v>-1009.9000000000005</v>
          </cell>
          <cell r="F577">
            <v>-304.125</v>
          </cell>
          <cell r="G577">
            <v>-2369.6500000000005</v>
          </cell>
          <cell r="K577">
            <v>0</v>
          </cell>
          <cell r="L577">
            <v>0</v>
          </cell>
          <cell r="M577">
            <v>0</v>
          </cell>
          <cell r="N577">
            <v>231</v>
          </cell>
          <cell r="O577">
            <v>170</v>
          </cell>
          <cell r="P577">
            <v>328</v>
          </cell>
          <cell r="T577">
            <v>906.59999999999945</v>
          </cell>
          <cell r="U577">
            <v>945.44999999999982</v>
          </cell>
          <cell r="V577">
            <v>906.59999999999945</v>
          </cell>
          <cell r="W577">
            <v>2229.1999999999994</v>
          </cell>
          <cell r="X577">
            <v>2258.9999999999991</v>
          </cell>
          <cell r="Y577">
            <v>2443.1999999999998</v>
          </cell>
        </row>
        <row r="578">
          <cell r="B578">
            <v>906.59999999999945</v>
          </cell>
          <cell r="C578">
            <v>984.29999999999927</v>
          </cell>
          <cell r="D578">
            <v>906.59999999999945</v>
          </cell>
          <cell r="E578">
            <v>-854.5</v>
          </cell>
          <cell r="F578">
            <v>-323.55000000000109</v>
          </cell>
          <cell r="G578">
            <v>-2473.25</v>
          </cell>
          <cell r="K578">
            <v>0</v>
          </cell>
          <cell r="L578">
            <v>0</v>
          </cell>
          <cell r="M578">
            <v>0</v>
          </cell>
          <cell r="N578">
            <v>226</v>
          </cell>
          <cell r="O578">
            <v>182</v>
          </cell>
          <cell r="P578">
            <v>299</v>
          </cell>
          <cell r="T578">
            <v>906.59999999999945</v>
          </cell>
          <cell r="U578">
            <v>971.34999999999945</v>
          </cell>
          <cell r="V578">
            <v>906.59999999999945</v>
          </cell>
          <cell r="W578">
            <v>2231.1999999999994</v>
          </cell>
          <cell r="X578">
            <v>2223.9499999999994</v>
          </cell>
          <cell r="Y578">
            <v>2351.4179993902726</v>
          </cell>
        </row>
        <row r="579">
          <cell r="B579">
            <v>906.59999999999945</v>
          </cell>
          <cell r="C579">
            <v>1016.6750000000002</v>
          </cell>
          <cell r="D579">
            <v>906.59999999999945</v>
          </cell>
          <cell r="E579">
            <v>-841.55000000000018</v>
          </cell>
          <cell r="F579">
            <v>-776.80000000000109</v>
          </cell>
          <cell r="G579">
            <v>-2395.5500000000002</v>
          </cell>
          <cell r="K579">
            <v>0</v>
          </cell>
          <cell r="L579">
            <v>0</v>
          </cell>
          <cell r="M579">
            <v>0</v>
          </cell>
          <cell r="N579">
            <v>226</v>
          </cell>
          <cell r="O579">
            <v>196</v>
          </cell>
          <cell r="P579">
            <v>334</v>
          </cell>
          <cell r="T579">
            <v>906.59999999999945</v>
          </cell>
          <cell r="U579">
            <v>971.34999999999945</v>
          </cell>
          <cell r="V579">
            <v>906.59999999999945</v>
          </cell>
          <cell r="W579">
            <v>2263.1999999999998</v>
          </cell>
          <cell r="X579">
            <v>2255.8499999999995</v>
          </cell>
          <cell r="Y579">
            <v>-2499.1500000000005</v>
          </cell>
        </row>
        <row r="580">
          <cell r="B580">
            <v>906.59999999999945</v>
          </cell>
          <cell r="C580">
            <v>997.25</v>
          </cell>
          <cell r="D580">
            <v>906.59999999999945</v>
          </cell>
          <cell r="E580">
            <v>-1061.7000000000007</v>
          </cell>
          <cell r="F580">
            <v>-485.42500000000109</v>
          </cell>
          <cell r="G580">
            <v>-2525.0500000000002</v>
          </cell>
          <cell r="K580">
            <v>0</v>
          </cell>
          <cell r="L580">
            <v>0</v>
          </cell>
          <cell r="M580">
            <v>0</v>
          </cell>
          <cell r="N580">
            <v>220</v>
          </cell>
          <cell r="O580">
            <v>163</v>
          </cell>
          <cell r="P580">
            <v>306</v>
          </cell>
          <cell r="T580">
            <v>906.59999999999945</v>
          </cell>
          <cell r="U580">
            <v>964.87499999999909</v>
          </cell>
          <cell r="V580">
            <v>906.59999999999945</v>
          </cell>
          <cell r="W580">
            <v>2225.1999999999998</v>
          </cell>
          <cell r="X580">
            <v>2195.9499999999994</v>
          </cell>
          <cell r="Y580">
            <v>2451.1999999999998</v>
          </cell>
        </row>
        <row r="581">
          <cell r="B581">
            <v>906.59999999999945</v>
          </cell>
          <cell r="C581">
            <v>964.875</v>
          </cell>
          <cell r="D581">
            <v>906.60000000000036</v>
          </cell>
          <cell r="E581">
            <v>-750.90000000000055</v>
          </cell>
          <cell r="F581">
            <v>-614.92500000000018</v>
          </cell>
          <cell r="G581">
            <v>-2382.6000000000004</v>
          </cell>
          <cell r="K581">
            <v>0</v>
          </cell>
          <cell r="L581">
            <v>0</v>
          </cell>
          <cell r="M581">
            <v>0</v>
          </cell>
          <cell r="N581">
            <v>218</v>
          </cell>
          <cell r="O581">
            <v>182</v>
          </cell>
          <cell r="P581">
            <v>314</v>
          </cell>
          <cell r="T581">
            <v>906.59999999999945</v>
          </cell>
          <cell r="U581">
            <v>971.34999999999945</v>
          </cell>
          <cell r="V581">
            <v>906.59999999999945</v>
          </cell>
          <cell r="W581">
            <v>1409.7910910466198</v>
          </cell>
          <cell r="X581">
            <v>2216.9999999999991</v>
          </cell>
          <cell r="Y581">
            <v>2439.1999999999989</v>
          </cell>
        </row>
        <row r="582">
          <cell r="B582">
            <v>906.59999999999945</v>
          </cell>
          <cell r="C582">
            <v>964.87499999999909</v>
          </cell>
          <cell r="D582">
            <v>906.59999999999945</v>
          </cell>
          <cell r="E582">
            <v>-1009.9000000000005</v>
          </cell>
          <cell r="F582">
            <v>-420.67500000000018</v>
          </cell>
          <cell r="G582">
            <v>-2240.1500000000005</v>
          </cell>
          <cell r="K582">
            <v>0</v>
          </cell>
          <cell r="L582">
            <v>0</v>
          </cell>
          <cell r="M582">
            <v>0</v>
          </cell>
          <cell r="N582">
            <v>225</v>
          </cell>
          <cell r="O582">
            <v>190</v>
          </cell>
          <cell r="P582">
            <v>309</v>
          </cell>
          <cell r="T582">
            <v>906.59999999999945</v>
          </cell>
          <cell r="U582">
            <v>977.82499999999982</v>
          </cell>
          <cell r="V582">
            <v>906.60000000000036</v>
          </cell>
          <cell r="W582">
            <v>2257.1999999999989</v>
          </cell>
          <cell r="X582">
            <v>1128.1471419078555</v>
          </cell>
          <cell r="Y582">
            <v>2429.1999999999989</v>
          </cell>
        </row>
        <row r="583">
          <cell r="B583">
            <v>906.59999999999945</v>
          </cell>
          <cell r="C583">
            <v>951.92499999999927</v>
          </cell>
          <cell r="D583">
            <v>906.60000000000036</v>
          </cell>
          <cell r="E583">
            <v>-1217.1000000000004</v>
          </cell>
          <cell r="F583">
            <v>-317.07500000000073</v>
          </cell>
          <cell r="G583">
            <v>-2149.5</v>
          </cell>
          <cell r="K583">
            <v>0</v>
          </cell>
          <cell r="L583">
            <v>0</v>
          </cell>
          <cell r="M583">
            <v>25</v>
          </cell>
          <cell r="N583">
            <v>210</v>
          </cell>
          <cell r="O583">
            <v>196</v>
          </cell>
          <cell r="P583">
            <v>344</v>
          </cell>
          <cell r="T583">
            <v>906.59999999999945</v>
          </cell>
          <cell r="U583">
            <v>1010.1999999999998</v>
          </cell>
          <cell r="V583">
            <v>906.59999999999945</v>
          </cell>
          <cell r="W583">
            <v>2221.1999999999994</v>
          </cell>
          <cell r="X583">
            <v>2244.4249999999993</v>
          </cell>
          <cell r="Y583">
            <v>2409.1999999999989</v>
          </cell>
        </row>
        <row r="584">
          <cell r="B584">
            <v>906.59999999999945</v>
          </cell>
          <cell r="C584">
            <v>971.34999999999854</v>
          </cell>
          <cell r="D584">
            <v>906.59999999999945</v>
          </cell>
          <cell r="E584">
            <v>-945.15000000000055</v>
          </cell>
          <cell r="F584">
            <v>-336.5</v>
          </cell>
          <cell r="G584">
            <v>-2395.5500000000002</v>
          </cell>
          <cell r="K584">
            <v>0</v>
          </cell>
          <cell r="L584">
            <v>0</v>
          </cell>
          <cell r="M584">
            <v>0</v>
          </cell>
          <cell r="N584">
            <v>224</v>
          </cell>
          <cell r="O584">
            <v>184</v>
          </cell>
          <cell r="P584">
            <v>332</v>
          </cell>
          <cell r="T584">
            <v>906.59999999999945</v>
          </cell>
          <cell r="U584">
            <v>971.34999999999945</v>
          </cell>
          <cell r="V584">
            <v>906.59999999999945</v>
          </cell>
          <cell r="W584">
            <v>-582.55000000000018</v>
          </cell>
          <cell r="X584">
            <v>2240.4249999999988</v>
          </cell>
          <cell r="Y584">
            <v>2445.1999999999998</v>
          </cell>
        </row>
        <row r="585">
          <cell r="B585">
            <v>906.59999999999945</v>
          </cell>
          <cell r="C585">
            <v>977.82499999999982</v>
          </cell>
          <cell r="D585">
            <v>906.60000000000036</v>
          </cell>
          <cell r="E585">
            <v>-1113.5</v>
          </cell>
          <cell r="F585">
            <v>-589.02500000000055</v>
          </cell>
          <cell r="G585">
            <v>-2486.1999999999998</v>
          </cell>
          <cell r="K585">
            <v>0</v>
          </cell>
          <cell r="L585">
            <v>0</v>
          </cell>
          <cell r="M585">
            <v>0</v>
          </cell>
          <cell r="N585">
            <v>224</v>
          </cell>
          <cell r="O585">
            <v>206</v>
          </cell>
          <cell r="P585">
            <v>318</v>
          </cell>
          <cell r="T585">
            <v>906.59999999999945</v>
          </cell>
          <cell r="U585">
            <v>984.29999999999927</v>
          </cell>
          <cell r="V585">
            <v>906.59999999999945</v>
          </cell>
          <cell r="W585">
            <v>2233.1999999999998</v>
          </cell>
          <cell r="X585">
            <v>2204.5249999999992</v>
          </cell>
          <cell r="Y585">
            <v>2429.1999999999989</v>
          </cell>
        </row>
        <row r="586">
          <cell r="B586">
            <v>906.59999999999945</v>
          </cell>
          <cell r="C586">
            <v>1036.0999999999985</v>
          </cell>
          <cell r="D586">
            <v>906.59999999999945</v>
          </cell>
          <cell r="E586">
            <v>-1139.4000000000005</v>
          </cell>
          <cell r="F586">
            <v>-239.375</v>
          </cell>
          <cell r="G586">
            <v>-2745.2</v>
          </cell>
          <cell r="K586">
            <v>0</v>
          </cell>
          <cell r="L586">
            <v>0</v>
          </cell>
          <cell r="M586">
            <v>0</v>
          </cell>
          <cell r="N586">
            <v>214</v>
          </cell>
          <cell r="O586">
            <v>155</v>
          </cell>
          <cell r="P586">
            <v>323</v>
          </cell>
          <cell r="T586">
            <v>906.59999999999945</v>
          </cell>
          <cell r="U586">
            <v>1016.6749999999993</v>
          </cell>
          <cell r="V586">
            <v>906.59999999999945</v>
          </cell>
          <cell r="W586">
            <v>2221.1999999999994</v>
          </cell>
          <cell r="X586">
            <v>1684.8160493025889</v>
          </cell>
          <cell r="Y586">
            <v>2419.1999999999989</v>
          </cell>
        </row>
        <row r="587">
          <cell r="B587">
            <v>906.59999999999945</v>
          </cell>
          <cell r="C587">
            <v>984.29999999999927</v>
          </cell>
          <cell r="D587">
            <v>906.59999999999945</v>
          </cell>
          <cell r="E587">
            <v>-1100.5500000000002</v>
          </cell>
          <cell r="F587">
            <v>-485.42500000000109</v>
          </cell>
          <cell r="G587">
            <v>-2058.8500000000004</v>
          </cell>
          <cell r="K587">
            <v>0</v>
          </cell>
          <cell r="L587">
            <v>0</v>
          </cell>
          <cell r="M587">
            <v>0</v>
          </cell>
          <cell r="N587">
            <v>199</v>
          </cell>
          <cell r="O587">
            <v>181</v>
          </cell>
          <cell r="P587">
            <v>336</v>
          </cell>
          <cell r="T587">
            <v>906.59999999999945</v>
          </cell>
          <cell r="U587">
            <v>1029.625</v>
          </cell>
          <cell r="V587">
            <v>906.60000000000036</v>
          </cell>
          <cell r="W587">
            <v>2249.1999999999994</v>
          </cell>
          <cell r="X587">
            <v>2200.9999999999995</v>
          </cell>
          <cell r="Y587">
            <v>2488.1499999999996</v>
          </cell>
        </row>
        <row r="588">
          <cell r="B588">
            <v>906.59999999999945</v>
          </cell>
          <cell r="C588">
            <v>997.25</v>
          </cell>
          <cell r="D588">
            <v>906.60000000000036</v>
          </cell>
          <cell r="E588">
            <v>-1087.6000000000004</v>
          </cell>
          <cell r="F588">
            <v>-317.07500000000073</v>
          </cell>
          <cell r="G588">
            <v>-2227.2000000000007</v>
          </cell>
          <cell r="K588">
            <v>0</v>
          </cell>
          <cell r="L588">
            <v>0</v>
          </cell>
          <cell r="M588">
            <v>0</v>
          </cell>
          <cell r="N588">
            <v>233</v>
          </cell>
          <cell r="O588">
            <v>193</v>
          </cell>
          <cell r="P588">
            <v>302</v>
          </cell>
          <cell r="T588">
            <v>906.59999999999945</v>
          </cell>
          <cell r="U588">
            <v>990.77499999999964</v>
          </cell>
          <cell r="V588">
            <v>906.59999999999945</v>
          </cell>
          <cell r="W588">
            <v>2299.1999999999994</v>
          </cell>
          <cell r="X588">
            <v>2239.85</v>
          </cell>
          <cell r="Y588">
            <v>2431.1999999999998</v>
          </cell>
        </row>
        <row r="589">
          <cell r="B589">
            <v>906.59999999999945</v>
          </cell>
          <cell r="C589">
            <v>945.44999999999982</v>
          </cell>
          <cell r="D589">
            <v>919.55000000000018</v>
          </cell>
          <cell r="E589">
            <v>-1165.3000000000002</v>
          </cell>
          <cell r="F589">
            <v>-388.30000000000109</v>
          </cell>
          <cell r="G589">
            <v>-2563.9000000000005</v>
          </cell>
          <cell r="K589">
            <v>0</v>
          </cell>
          <cell r="L589">
            <v>0</v>
          </cell>
          <cell r="M589">
            <v>0</v>
          </cell>
          <cell r="N589">
            <v>209</v>
          </cell>
          <cell r="O589">
            <v>165</v>
          </cell>
          <cell r="P589">
            <v>302</v>
          </cell>
          <cell r="T589">
            <v>906.59999999999945</v>
          </cell>
          <cell r="U589">
            <v>945.44999999999982</v>
          </cell>
          <cell r="V589">
            <v>803</v>
          </cell>
          <cell r="W589">
            <v>2275.1999999999998</v>
          </cell>
          <cell r="X589">
            <v>2314.3249999999989</v>
          </cell>
          <cell r="Y589">
            <v>-2343.75</v>
          </cell>
        </row>
        <row r="590">
          <cell r="B590">
            <v>906.59999999999945</v>
          </cell>
          <cell r="C590">
            <v>964.875</v>
          </cell>
          <cell r="D590">
            <v>906.59999999999945</v>
          </cell>
          <cell r="E590">
            <v>-854.5</v>
          </cell>
          <cell r="F590">
            <v>-744.42500000000018</v>
          </cell>
          <cell r="G590">
            <v>-2084.75</v>
          </cell>
          <cell r="K590">
            <v>0</v>
          </cell>
          <cell r="L590">
            <v>0</v>
          </cell>
          <cell r="M590">
            <v>0</v>
          </cell>
          <cell r="N590">
            <v>229</v>
          </cell>
          <cell r="O590">
            <v>211</v>
          </cell>
          <cell r="P590">
            <v>327</v>
          </cell>
          <cell r="T590">
            <v>906.59999999999945</v>
          </cell>
          <cell r="U590">
            <v>932.5</v>
          </cell>
          <cell r="V590">
            <v>906.60000000000036</v>
          </cell>
          <cell r="W590">
            <v>189.99286148021929</v>
          </cell>
          <cell r="X590">
            <v>2265.4749999999985</v>
          </cell>
          <cell r="Y590">
            <v>2021.4571062370014</v>
          </cell>
        </row>
        <row r="591">
          <cell r="B591">
            <v>906.59999999999945</v>
          </cell>
          <cell r="C591">
            <v>964.875</v>
          </cell>
          <cell r="D591">
            <v>906.59999999999945</v>
          </cell>
          <cell r="E591">
            <v>-1126.4500000000007</v>
          </cell>
          <cell r="F591">
            <v>-679.67500000000018</v>
          </cell>
          <cell r="G591">
            <v>-2317.8500000000004</v>
          </cell>
          <cell r="K591">
            <v>0</v>
          </cell>
          <cell r="L591">
            <v>0</v>
          </cell>
          <cell r="M591">
            <v>0</v>
          </cell>
          <cell r="N591">
            <v>242</v>
          </cell>
          <cell r="O591">
            <v>171</v>
          </cell>
          <cell r="P591">
            <v>295</v>
          </cell>
          <cell r="T591">
            <v>906.59999999999945</v>
          </cell>
          <cell r="U591">
            <v>958.39999999999964</v>
          </cell>
          <cell r="V591">
            <v>906.60000000000036</v>
          </cell>
          <cell r="W591">
            <v>-1114.0581408503213</v>
          </cell>
          <cell r="X591">
            <v>-252.32500000000073</v>
          </cell>
          <cell r="Y591">
            <v>1708.4931447308545</v>
          </cell>
        </row>
        <row r="592">
          <cell r="B592">
            <v>906.59999999999945</v>
          </cell>
          <cell r="C592">
            <v>945.44999999999891</v>
          </cell>
          <cell r="D592">
            <v>906.59999999999945</v>
          </cell>
          <cell r="E592">
            <v>-1178.25</v>
          </cell>
          <cell r="F592">
            <v>-550.17500000000018</v>
          </cell>
          <cell r="G592">
            <v>-2149.5</v>
          </cell>
          <cell r="K592">
            <v>0</v>
          </cell>
          <cell r="L592">
            <v>0</v>
          </cell>
          <cell r="M592">
            <v>0</v>
          </cell>
          <cell r="N592">
            <v>211</v>
          </cell>
          <cell r="O592">
            <v>179</v>
          </cell>
          <cell r="P592">
            <v>316</v>
          </cell>
          <cell r="T592">
            <v>906.59999999999945</v>
          </cell>
          <cell r="U592">
            <v>997.24999999999909</v>
          </cell>
          <cell r="V592">
            <v>906.59999999999945</v>
          </cell>
          <cell r="W592">
            <v>1211.2533936137243</v>
          </cell>
          <cell r="X592">
            <v>2270.7999999999997</v>
          </cell>
          <cell r="Y592">
            <v>2451.1999999999998</v>
          </cell>
        </row>
        <row r="593">
          <cell r="B593">
            <v>906.59999999999945</v>
          </cell>
          <cell r="C593">
            <v>977.82499999999982</v>
          </cell>
          <cell r="D593">
            <v>906.59999999999945</v>
          </cell>
          <cell r="E593">
            <v>-1152.3500000000004</v>
          </cell>
          <cell r="F593">
            <v>-530.75</v>
          </cell>
          <cell r="G593">
            <v>-2382.6000000000004</v>
          </cell>
          <cell r="K593">
            <v>0</v>
          </cell>
          <cell r="L593">
            <v>0</v>
          </cell>
          <cell r="M593">
            <v>0</v>
          </cell>
          <cell r="N593">
            <v>222</v>
          </cell>
          <cell r="O593">
            <v>165</v>
          </cell>
          <cell r="P593">
            <v>312</v>
          </cell>
          <cell r="T593">
            <v>906.59999999999945</v>
          </cell>
          <cell r="U593">
            <v>990.77499999999964</v>
          </cell>
          <cell r="V593">
            <v>906.59999999999945</v>
          </cell>
          <cell r="W593">
            <v>-1346.6000000000004</v>
          </cell>
          <cell r="X593">
            <v>2262.9999999999995</v>
          </cell>
          <cell r="Y593">
            <v>2310.0605384973005</v>
          </cell>
        </row>
        <row r="594">
          <cell r="B594">
            <v>906.59999999999945</v>
          </cell>
          <cell r="C594">
            <v>1016.6750000000002</v>
          </cell>
          <cell r="D594">
            <v>906.59999999999945</v>
          </cell>
          <cell r="E594">
            <v>-919.25</v>
          </cell>
          <cell r="F594">
            <v>-673.20000000000073</v>
          </cell>
          <cell r="G594">
            <v>-2304.9000000000005</v>
          </cell>
          <cell r="K594">
            <v>0</v>
          </cell>
          <cell r="L594">
            <v>0</v>
          </cell>
          <cell r="M594">
            <v>0</v>
          </cell>
          <cell r="N594">
            <v>226</v>
          </cell>
          <cell r="O594">
            <v>201</v>
          </cell>
          <cell r="P594">
            <v>305</v>
          </cell>
          <cell r="T594">
            <v>906.59999999999945</v>
          </cell>
          <cell r="U594">
            <v>977.82499999999891</v>
          </cell>
          <cell r="V594">
            <v>919.55000000000018</v>
          </cell>
          <cell r="W594">
            <v>1713.1948931208822</v>
          </cell>
          <cell r="X594">
            <v>2258.8999999999992</v>
          </cell>
          <cell r="Y594">
            <v>-2240.1500000000005</v>
          </cell>
        </row>
        <row r="595">
          <cell r="B595">
            <v>906.59999999999945</v>
          </cell>
          <cell r="C595">
            <v>990.77499999999964</v>
          </cell>
          <cell r="D595">
            <v>906.59999999999945</v>
          </cell>
          <cell r="E595">
            <v>-1009.9000000000005</v>
          </cell>
          <cell r="F595">
            <v>-355.92500000000018</v>
          </cell>
          <cell r="G595">
            <v>-2602.75</v>
          </cell>
          <cell r="K595">
            <v>0</v>
          </cell>
          <cell r="L595">
            <v>0</v>
          </cell>
          <cell r="M595">
            <v>0</v>
          </cell>
          <cell r="N595">
            <v>210</v>
          </cell>
          <cell r="O595">
            <v>206</v>
          </cell>
          <cell r="P595">
            <v>316</v>
          </cell>
          <cell r="T595">
            <v>906.59999999999945</v>
          </cell>
          <cell r="U595">
            <v>1003.7249999999995</v>
          </cell>
          <cell r="V595">
            <v>906.59999999999945</v>
          </cell>
          <cell r="W595">
            <v>143.06802864842371</v>
          </cell>
          <cell r="X595">
            <v>2262.9999999999995</v>
          </cell>
          <cell r="Y595">
            <v>2431.1999999999998</v>
          </cell>
        </row>
        <row r="596">
          <cell r="B596">
            <v>906.59999999999945</v>
          </cell>
          <cell r="C596">
            <v>958.39999999999964</v>
          </cell>
          <cell r="D596">
            <v>906.59999999999945</v>
          </cell>
          <cell r="E596">
            <v>-1346.6000000000004</v>
          </cell>
          <cell r="F596">
            <v>-453.05000000000109</v>
          </cell>
          <cell r="G596">
            <v>-2589.8000000000002</v>
          </cell>
          <cell r="K596">
            <v>0</v>
          </cell>
          <cell r="L596">
            <v>0</v>
          </cell>
          <cell r="M596">
            <v>0</v>
          </cell>
          <cell r="N596">
            <v>227</v>
          </cell>
          <cell r="O596">
            <v>208</v>
          </cell>
          <cell r="P596">
            <v>322</v>
          </cell>
          <cell r="T596">
            <v>906.59999999999945</v>
          </cell>
          <cell r="U596">
            <v>938.97499999999945</v>
          </cell>
          <cell r="V596">
            <v>906.59999999999945</v>
          </cell>
          <cell r="W596">
            <v>901.85735198165685</v>
          </cell>
          <cell r="X596">
            <v>2225.474999999999</v>
          </cell>
          <cell r="Y596">
            <v>939.04403374385402</v>
          </cell>
        </row>
        <row r="597">
          <cell r="B597">
            <v>906.59999999999945</v>
          </cell>
          <cell r="C597">
            <v>971.34999999999945</v>
          </cell>
          <cell r="D597">
            <v>906.59999999999945</v>
          </cell>
          <cell r="E597">
            <v>-1035.8000000000002</v>
          </cell>
          <cell r="F597">
            <v>-459.52499999999964</v>
          </cell>
          <cell r="G597">
            <v>-2576.8500000000004</v>
          </cell>
          <cell r="K597">
            <v>0</v>
          </cell>
          <cell r="L597">
            <v>0</v>
          </cell>
          <cell r="M597">
            <v>0</v>
          </cell>
          <cell r="N597">
            <v>227</v>
          </cell>
          <cell r="O597">
            <v>170</v>
          </cell>
          <cell r="P597">
            <v>314</v>
          </cell>
          <cell r="T597">
            <v>906.59999999999945</v>
          </cell>
          <cell r="U597">
            <v>984.30000000000018</v>
          </cell>
          <cell r="V597">
            <v>906.60000000000036</v>
          </cell>
          <cell r="W597">
            <v>-1022.8500000000004</v>
          </cell>
          <cell r="X597">
            <v>2239.474999999999</v>
          </cell>
          <cell r="Y597">
            <v>2471.1999999999998</v>
          </cell>
        </row>
        <row r="598">
          <cell r="B598">
            <v>906.59999999999945</v>
          </cell>
          <cell r="C598">
            <v>951.92499999999927</v>
          </cell>
          <cell r="D598">
            <v>906.59999999999945</v>
          </cell>
          <cell r="E598">
            <v>-932.20000000000073</v>
          </cell>
          <cell r="F598">
            <v>-232.89999999999964</v>
          </cell>
          <cell r="G598">
            <v>-2084.75</v>
          </cell>
          <cell r="K598">
            <v>0</v>
          </cell>
          <cell r="L598">
            <v>0</v>
          </cell>
          <cell r="M598">
            <v>0</v>
          </cell>
          <cell r="N598">
            <v>200</v>
          </cell>
          <cell r="O598">
            <v>192</v>
          </cell>
          <cell r="P598">
            <v>321</v>
          </cell>
          <cell r="T598">
            <v>906.59999999999945</v>
          </cell>
          <cell r="U598">
            <v>1003.7249999999995</v>
          </cell>
          <cell r="V598">
            <v>906.59999999999945</v>
          </cell>
          <cell r="W598">
            <v>2277.1999999999989</v>
          </cell>
          <cell r="X598">
            <v>2261.7499999999991</v>
          </cell>
          <cell r="Y598">
            <v>809.28617576167153</v>
          </cell>
        </row>
        <row r="599">
          <cell r="B599">
            <v>906.59999999999945</v>
          </cell>
          <cell r="C599">
            <v>1003.7249999999995</v>
          </cell>
          <cell r="D599">
            <v>906.59999999999945</v>
          </cell>
          <cell r="E599">
            <v>-1165.3000000000002</v>
          </cell>
          <cell r="F599">
            <v>-194.05000000000018</v>
          </cell>
          <cell r="G599">
            <v>-2421.4499999999998</v>
          </cell>
          <cell r="K599">
            <v>0</v>
          </cell>
          <cell r="L599">
            <v>0</v>
          </cell>
          <cell r="M599">
            <v>0</v>
          </cell>
          <cell r="N599">
            <v>228</v>
          </cell>
          <cell r="O599">
            <v>187</v>
          </cell>
          <cell r="P599">
            <v>290</v>
          </cell>
          <cell r="T599">
            <v>906.59999999999945</v>
          </cell>
          <cell r="U599">
            <v>971.34999999999854</v>
          </cell>
          <cell r="V599">
            <v>906.60000000000036</v>
          </cell>
          <cell r="W599">
            <v>2273.1999999999998</v>
          </cell>
          <cell r="X599">
            <v>-355.92500000000018</v>
          </cell>
          <cell r="Y599">
            <v>2465.1999999999998</v>
          </cell>
        </row>
        <row r="600">
          <cell r="B600">
            <v>906.59999999999945</v>
          </cell>
          <cell r="C600">
            <v>951.92499999999927</v>
          </cell>
          <cell r="D600">
            <v>906.59999999999945</v>
          </cell>
          <cell r="E600">
            <v>-996.95000000000073</v>
          </cell>
          <cell r="F600">
            <v>-388.30000000000018</v>
          </cell>
          <cell r="G600">
            <v>-2123.6000000000004</v>
          </cell>
          <cell r="K600">
            <v>0</v>
          </cell>
          <cell r="L600">
            <v>0</v>
          </cell>
          <cell r="M600">
            <v>0</v>
          </cell>
          <cell r="N600">
            <v>234</v>
          </cell>
          <cell r="O600">
            <v>198</v>
          </cell>
          <cell r="P600">
            <v>349</v>
          </cell>
          <cell r="T600">
            <v>906.59999999999945</v>
          </cell>
          <cell r="U600">
            <v>1023.1499999999996</v>
          </cell>
          <cell r="V600">
            <v>906.60000000000036</v>
          </cell>
          <cell r="W600">
            <v>1601.0411538281251</v>
          </cell>
          <cell r="X600">
            <v>1191.0012557881446</v>
          </cell>
          <cell r="Y600">
            <v>2451.1999999999998</v>
          </cell>
        </row>
        <row r="601">
          <cell r="B601">
            <v>906.59999999999945</v>
          </cell>
          <cell r="C601">
            <v>971.34999999999945</v>
          </cell>
          <cell r="D601">
            <v>906.59999999999945</v>
          </cell>
          <cell r="E601">
            <v>-1152.3500000000004</v>
          </cell>
          <cell r="F601">
            <v>-491.90000000000055</v>
          </cell>
          <cell r="G601">
            <v>-2473.25</v>
          </cell>
          <cell r="K601">
            <v>0</v>
          </cell>
          <cell r="L601">
            <v>0</v>
          </cell>
          <cell r="M601">
            <v>0</v>
          </cell>
          <cell r="N601">
            <v>209</v>
          </cell>
          <cell r="O601">
            <v>191</v>
          </cell>
          <cell r="P601">
            <v>318</v>
          </cell>
          <cell r="T601">
            <v>906.59999999999945</v>
          </cell>
          <cell r="U601">
            <v>984.29999999999927</v>
          </cell>
          <cell r="V601">
            <v>906.60000000000036</v>
          </cell>
          <cell r="W601">
            <v>2281.1999999999994</v>
          </cell>
          <cell r="X601">
            <v>2281.7499999999991</v>
          </cell>
          <cell r="Y601">
            <v>2467.1999999999998</v>
          </cell>
        </row>
        <row r="602">
          <cell r="B602">
            <v>906.59999999999945</v>
          </cell>
          <cell r="C602">
            <v>984.29999999999927</v>
          </cell>
          <cell r="D602">
            <v>906.59999999999945</v>
          </cell>
          <cell r="E602">
            <v>-1255.9500000000007</v>
          </cell>
          <cell r="F602">
            <v>-440.10000000000036</v>
          </cell>
          <cell r="G602">
            <v>-2421.4499999999998</v>
          </cell>
          <cell r="K602">
            <v>0</v>
          </cell>
          <cell r="L602">
            <v>0</v>
          </cell>
          <cell r="M602">
            <v>0</v>
          </cell>
          <cell r="N602">
            <v>242</v>
          </cell>
          <cell r="O602">
            <v>167</v>
          </cell>
          <cell r="P602">
            <v>330</v>
          </cell>
          <cell r="T602">
            <v>906.59999999999945</v>
          </cell>
          <cell r="U602">
            <v>958.39999999999964</v>
          </cell>
          <cell r="V602">
            <v>906.60000000000036</v>
          </cell>
          <cell r="W602">
            <v>2287.1999999999989</v>
          </cell>
          <cell r="X602">
            <v>2280.7999999999997</v>
          </cell>
          <cell r="Y602">
            <v>-2460.3000000000002</v>
          </cell>
        </row>
        <row r="603">
          <cell r="B603">
            <v>906.59999999999945</v>
          </cell>
          <cell r="C603">
            <v>990.77499999999964</v>
          </cell>
          <cell r="D603">
            <v>906.60000000000036</v>
          </cell>
          <cell r="E603">
            <v>-971.05000000000018</v>
          </cell>
          <cell r="F603">
            <v>-414.20000000000073</v>
          </cell>
          <cell r="G603">
            <v>-2473.25</v>
          </cell>
          <cell r="K603">
            <v>0</v>
          </cell>
          <cell r="L603">
            <v>0</v>
          </cell>
          <cell r="M603">
            <v>0</v>
          </cell>
          <cell r="N603">
            <v>228</v>
          </cell>
          <cell r="O603">
            <v>201</v>
          </cell>
          <cell r="P603">
            <v>298</v>
          </cell>
          <cell r="T603">
            <v>906.59999999999945</v>
          </cell>
          <cell r="U603">
            <v>990.77499999999964</v>
          </cell>
          <cell r="V603">
            <v>906.59999999999945</v>
          </cell>
          <cell r="W603">
            <v>2243.1999999999998</v>
          </cell>
          <cell r="X603">
            <v>2231.9499999999994</v>
          </cell>
          <cell r="Y603">
            <v>2481.1999999999998</v>
          </cell>
        </row>
        <row r="604">
          <cell r="B604">
            <v>906.59999999999945</v>
          </cell>
          <cell r="C604">
            <v>951.92499999999927</v>
          </cell>
          <cell r="D604">
            <v>906.60000000000036</v>
          </cell>
          <cell r="E604">
            <v>-1204.1500000000005</v>
          </cell>
          <cell r="F604">
            <v>-219.95000000000073</v>
          </cell>
          <cell r="G604">
            <v>-2266.0500000000002</v>
          </cell>
          <cell r="K604">
            <v>0</v>
          </cell>
          <cell r="L604">
            <v>0</v>
          </cell>
          <cell r="M604">
            <v>0</v>
          </cell>
          <cell r="N604">
            <v>232</v>
          </cell>
          <cell r="O604">
            <v>190</v>
          </cell>
          <cell r="P604">
            <v>316</v>
          </cell>
          <cell r="T604">
            <v>906.59999999999945</v>
          </cell>
          <cell r="U604">
            <v>984.29999999999927</v>
          </cell>
          <cell r="V604">
            <v>906.59999999999945</v>
          </cell>
          <cell r="W604">
            <v>-792.06334354459909</v>
          </cell>
          <cell r="X604">
            <v>2238.5249999999996</v>
          </cell>
          <cell r="Y604">
            <v>2419.1999999999989</v>
          </cell>
        </row>
        <row r="605">
          <cell r="B605">
            <v>906.59999999999945</v>
          </cell>
          <cell r="C605">
            <v>990.77499999999964</v>
          </cell>
          <cell r="D605">
            <v>906.59999999999945</v>
          </cell>
          <cell r="E605">
            <v>-1230.0500000000002</v>
          </cell>
          <cell r="F605">
            <v>-608.45000000000073</v>
          </cell>
          <cell r="G605">
            <v>-2460.3000000000002</v>
          </cell>
          <cell r="K605">
            <v>0</v>
          </cell>
          <cell r="L605">
            <v>0</v>
          </cell>
          <cell r="M605">
            <v>0</v>
          </cell>
          <cell r="N605">
            <v>216</v>
          </cell>
          <cell r="O605">
            <v>191</v>
          </cell>
          <cell r="P605">
            <v>311</v>
          </cell>
          <cell r="T605">
            <v>906.59999999999945</v>
          </cell>
          <cell r="U605">
            <v>984.29999999999927</v>
          </cell>
          <cell r="V605">
            <v>906.59999999999945</v>
          </cell>
          <cell r="W605">
            <v>1307.7656742643162</v>
          </cell>
          <cell r="X605">
            <v>2261.9499999999989</v>
          </cell>
          <cell r="Y605">
            <v>1716.4774309601971</v>
          </cell>
        </row>
        <row r="606">
          <cell r="B606">
            <v>906.59999999999945</v>
          </cell>
          <cell r="C606">
            <v>977.82499999999891</v>
          </cell>
          <cell r="D606">
            <v>906.59999999999945</v>
          </cell>
          <cell r="E606">
            <v>-1100.5500000000002</v>
          </cell>
          <cell r="F606">
            <v>-582.55000000000109</v>
          </cell>
          <cell r="G606">
            <v>-2822.9000000000005</v>
          </cell>
          <cell r="K606">
            <v>0</v>
          </cell>
          <cell r="L606">
            <v>0</v>
          </cell>
          <cell r="M606">
            <v>0</v>
          </cell>
          <cell r="N606">
            <v>212</v>
          </cell>
          <cell r="O606">
            <v>171</v>
          </cell>
          <cell r="P606">
            <v>332</v>
          </cell>
          <cell r="T606">
            <v>906.59999999999945</v>
          </cell>
          <cell r="U606">
            <v>1003.7249999999985</v>
          </cell>
          <cell r="V606">
            <v>906.60000000000036</v>
          </cell>
          <cell r="W606">
            <v>-1048.75</v>
          </cell>
          <cell r="X606">
            <v>2225</v>
          </cell>
          <cell r="Y606">
            <v>-2330.8000000000002</v>
          </cell>
        </row>
        <row r="607">
          <cell r="B607">
            <v>906.59999999999945</v>
          </cell>
          <cell r="C607">
            <v>1003.7249999999995</v>
          </cell>
          <cell r="D607">
            <v>906.60000000000036</v>
          </cell>
          <cell r="E607">
            <v>-1048.75</v>
          </cell>
          <cell r="F607">
            <v>-213.47500000000036</v>
          </cell>
          <cell r="G607">
            <v>-2317.8500000000004</v>
          </cell>
          <cell r="K607">
            <v>0</v>
          </cell>
          <cell r="L607">
            <v>0</v>
          </cell>
          <cell r="M607">
            <v>0</v>
          </cell>
          <cell r="N607">
            <v>196</v>
          </cell>
          <cell r="O607">
            <v>175</v>
          </cell>
          <cell r="P607">
            <v>325</v>
          </cell>
          <cell r="T607">
            <v>906.59999999999945</v>
          </cell>
          <cell r="U607">
            <v>997.24999999999909</v>
          </cell>
          <cell r="V607">
            <v>919.54999999999927</v>
          </cell>
          <cell r="W607">
            <v>-943.05184253312677</v>
          </cell>
          <cell r="X607">
            <v>2182.0499999999993</v>
          </cell>
          <cell r="Y607">
            <v>-2317.8500000000004</v>
          </cell>
        </row>
        <row r="608">
          <cell r="B608">
            <v>906.59999999999945</v>
          </cell>
          <cell r="C608">
            <v>990.77499999999964</v>
          </cell>
          <cell r="D608">
            <v>906.59999999999945</v>
          </cell>
          <cell r="E608">
            <v>-841.55000000000018</v>
          </cell>
          <cell r="F608">
            <v>-485.42500000000018</v>
          </cell>
          <cell r="G608">
            <v>-2538</v>
          </cell>
          <cell r="K608">
            <v>0</v>
          </cell>
          <cell r="L608">
            <v>0</v>
          </cell>
          <cell r="M608">
            <v>0</v>
          </cell>
          <cell r="N608">
            <v>233</v>
          </cell>
          <cell r="O608">
            <v>181</v>
          </cell>
          <cell r="P608">
            <v>315</v>
          </cell>
          <cell r="T608">
            <v>906.59999999999945</v>
          </cell>
          <cell r="U608">
            <v>964.87499999999909</v>
          </cell>
          <cell r="V608">
            <v>906.59999999999945</v>
          </cell>
          <cell r="W608">
            <v>2253.1999999999998</v>
          </cell>
          <cell r="X608">
            <v>-420.67500000000018</v>
          </cell>
          <cell r="Y608">
            <v>2459.1999999999989</v>
          </cell>
        </row>
        <row r="609">
          <cell r="B609">
            <v>906.59999999999945</v>
          </cell>
          <cell r="C609">
            <v>971.35000000000036</v>
          </cell>
          <cell r="D609">
            <v>906.59999999999945</v>
          </cell>
          <cell r="E609">
            <v>-1204.1500000000005</v>
          </cell>
          <cell r="F609">
            <v>-550.17500000000109</v>
          </cell>
          <cell r="G609">
            <v>-2447.3500000000004</v>
          </cell>
          <cell r="K609">
            <v>0</v>
          </cell>
          <cell r="L609">
            <v>0</v>
          </cell>
          <cell r="M609">
            <v>0</v>
          </cell>
          <cell r="N609">
            <v>226</v>
          </cell>
          <cell r="O609">
            <v>175</v>
          </cell>
          <cell r="P609">
            <v>304</v>
          </cell>
          <cell r="T609">
            <v>906.59999999999945</v>
          </cell>
          <cell r="U609">
            <v>977.82499999999891</v>
          </cell>
          <cell r="V609">
            <v>906.60000000000036</v>
          </cell>
          <cell r="W609">
            <v>230.21885314283782</v>
          </cell>
          <cell r="X609">
            <v>2247.375</v>
          </cell>
          <cell r="Y609">
            <v>2355.8802549630427</v>
          </cell>
        </row>
        <row r="610">
          <cell r="B610">
            <v>906.59999999999945</v>
          </cell>
          <cell r="C610">
            <v>971.34999999999945</v>
          </cell>
          <cell r="D610">
            <v>906.60000000000036</v>
          </cell>
          <cell r="E610">
            <v>-1217.1000000000004</v>
          </cell>
          <cell r="F610">
            <v>-524.27499999999964</v>
          </cell>
          <cell r="G610">
            <v>-2589.8000000000002</v>
          </cell>
          <cell r="K610">
            <v>0</v>
          </cell>
          <cell r="L610">
            <v>0</v>
          </cell>
          <cell r="M610">
            <v>0</v>
          </cell>
          <cell r="N610">
            <v>228</v>
          </cell>
          <cell r="O610">
            <v>182</v>
          </cell>
          <cell r="P610">
            <v>299</v>
          </cell>
          <cell r="T610">
            <v>906.59999999999945</v>
          </cell>
          <cell r="U610">
            <v>951.92499999999927</v>
          </cell>
          <cell r="V610">
            <v>906.59999999999945</v>
          </cell>
          <cell r="W610">
            <v>2277.1999999999989</v>
          </cell>
          <cell r="X610">
            <v>2290.3249999999998</v>
          </cell>
          <cell r="Y610">
            <v>-1525.5689373077416</v>
          </cell>
        </row>
        <row r="611">
          <cell r="B611">
            <v>906.59999999999945</v>
          </cell>
          <cell r="C611">
            <v>971.34999999999945</v>
          </cell>
          <cell r="D611">
            <v>906.59999999999945</v>
          </cell>
          <cell r="E611">
            <v>-906.30000000000018</v>
          </cell>
          <cell r="F611">
            <v>-226.42500000000109</v>
          </cell>
          <cell r="G611">
            <v>-2317.8500000000004</v>
          </cell>
          <cell r="K611">
            <v>0</v>
          </cell>
          <cell r="L611">
            <v>0</v>
          </cell>
          <cell r="M611">
            <v>0</v>
          </cell>
          <cell r="N611">
            <v>221</v>
          </cell>
          <cell r="O611">
            <v>195</v>
          </cell>
          <cell r="P611">
            <v>305</v>
          </cell>
          <cell r="T611">
            <v>906.59999999999945</v>
          </cell>
          <cell r="U611">
            <v>977.82499999999982</v>
          </cell>
          <cell r="V611">
            <v>906.59999999999945</v>
          </cell>
          <cell r="W611">
            <v>1768.4910842230825</v>
          </cell>
          <cell r="X611">
            <v>2216.9999999999991</v>
          </cell>
          <cell r="Y611">
            <v>2485.1999999999998</v>
          </cell>
        </row>
        <row r="612">
          <cell r="B612">
            <v>906.59999999999945</v>
          </cell>
          <cell r="C612">
            <v>977.82499999999891</v>
          </cell>
          <cell r="D612">
            <v>919.55000000000018</v>
          </cell>
          <cell r="E612">
            <v>-1191.2000000000007</v>
          </cell>
          <cell r="F612">
            <v>-511.32500000000073</v>
          </cell>
          <cell r="G612">
            <v>-2667.5</v>
          </cell>
          <cell r="K612">
            <v>0</v>
          </cell>
          <cell r="L612">
            <v>0</v>
          </cell>
          <cell r="M612">
            <v>0</v>
          </cell>
          <cell r="N612">
            <v>215</v>
          </cell>
          <cell r="O612">
            <v>179</v>
          </cell>
          <cell r="P612">
            <v>326</v>
          </cell>
          <cell r="T612">
            <v>906.59999999999945</v>
          </cell>
          <cell r="U612">
            <v>951.92499999999927</v>
          </cell>
          <cell r="V612">
            <v>906.59999999999945</v>
          </cell>
          <cell r="W612">
            <v>2259.1999999999994</v>
          </cell>
          <cell r="X612">
            <v>-302.4373419799021</v>
          </cell>
          <cell r="Y612">
            <v>-1152.332438360339</v>
          </cell>
        </row>
        <row r="613">
          <cell r="B613">
            <v>906.59999999999945</v>
          </cell>
          <cell r="C613">
            <v>964.875</v>
          </cell>
          <cell r="D613">
            <v>906.59999999999945</v>
          </cell>
          <cell r="E613">
            <v>-1152.3500000000004</v>
          </cell>
          <cell r="F613">
            <v>-174.625</v>
          </cell>
          <cell r="G613">
            <v>-2279</v>
          </cell>
          <cell r="K613">
            <v>0</v>
          </cell>
          <cell r="L613">
            <v>0</v>
          </cell>
          <cell r="M613">
            <v>0</v>
          </cell>
          <cell r="N613">
            <v>204</v>
          </cell>
          <cell r="O613">
            <v>178</v>
          </cell>
          <cell r="P613">
            <v>326</v>
          </cell>
          <cell r="T613">
            <v>906.59999999999945</v>
          </cell>
          <cell r="U613">
            <v>977.82499999999982</v>
          </cell>
          <cell r="V613">
            <v>906.59999999999945</v>
          </cell>
          <cell r="W613">
            <v>2053.1521898340015</v>
          </cell>
          <cell r="X613">
            <v>2247.375</v>
          </cell>
          <cell r="Y613">
            <v>1180.0843049876967</v>
          </cell>
        </row>
        <row r="614">
          <cell r="B614">
            <v>906.59999999999945</v>
          </cell>
          <cell r="C614">
            <v>990.77499999999964</v>
          </cell>
          <cell r="D614">
            <v>906.59999999999945</v>
          </cell>
          <cell r="E614">
            <v>-1113.5</v>
          </cell>
          <cell r="F614">
            <v>-517.80000000000018</v>
          </cell>
          <cell r="G614">
            <v>-2356.6999999999998</v>
          </cell>
          <cell r="K614">
            <v>0</v>
          </cell>
          <cell r="L614">
            <v>0</v>
          </cell>
          <cell r="M614">
            <v>0</v>
          </cell>
          <cell r="N614">
            <v>234</v>
          </cell>
          <cell r="O614">
            <v>193</v>
          </cell>
          <cell r="P614">
            <v>336</v>
          </cell>
          <cell r="T614">
            <v>906.59999999999945</v>
          </cell>
          <cell r="U614">
            <v>951.92499999999927</v>
          </cell>
          <cell r="V614">
            <v>938.59999999999968</v>
          </cell>
          <cell r="W614">
            <v>2285.1999999999998</v>
          </cell>
          <cell r="X614">
            <v>2170.9999999999995</v>
          </cell>
          <cell r="Y614">
            <v>-681.80780389691063</v>
          </cell>
        </row>
        <row r="615">
          <cell r="B615">
            <v>906.59999999999945</v>
          </cell>
          <cell r="C615">
            <v>951.92499999999927</v>
          </cell>
          <cell r="D615">
            <v>906.60000000000036</v>
          </cell>
          <cell r="E615">
            <v>-1217.1000000000004</v>
          </cell>
          <cell r="F615">
            <v>-511.32500000000073</v>
          </cell>
          <cell r="G615">
            <v>-2382.6000000000004</v>
          </cell>
          <cell r="K615">
            <v>0</v>
          </cell>
          <cell r="L615">
            <v>0</v>
          </cell>
          <cell r="M615">
            <v>0</v>
          </cell>
          <cell r="N615">
            <v>233</v>
          </cell>
          <cell r="O615">
            <v>196</v>
          </cell>
          <cell r="P615">
            <v>322</v>
          </cell>
          <cell r="T615">
            <v>906.59999999999945</v>
          </cell>
          <cell r="U615">
            <v>1003.7249999999995</v>
          </cell>
          <cell r="V615">
            <v>906.60000000000036</v>
          </cell>
          <cell r="W615">
            <v>2255.1999999999998</v>
          </cell>
          <cell r="X615">
            <v>2163.4749999999995</v>
          </cell>
          <cell r="Y615">
            <v>2447.1999999999998</v>
          </cell>
        </row>
        <row r="616">
          <cell r="B616">
            <v>906.59999999999945</v>
          </cell>
          <cell r="C616">
            <v>990.77499999999964</v>
          </cell>
          <cell r="D616">
            <v>906.59999999999945</v>
          </cell>
          <cell r="E616">
            <v>-841.55000000000018</v>
          </cell>
          <cell r="F616">
            <v>-569.60000000000036</v>
          </cell>
          <cell r="G616">
            <v>-2693.4000000000005</v>
          </cell>
          <cell r="K616">
            <v>0</v>
          </cell>
          <cell r="L616">
            <v>0</v>
          </cell>
          <cell r="M616">
            <v>0</v>
          </cell>
          <cell r="N616">
            <v>196</v>
          </cell>
          <cell r="O616">
            <v>167</v>
          </cell>
          <cell r="P616">
            <v>323</v>
          </cell>
          <cell r="T616">
            <v>906.59999999999945</v>
          </cell>
          <cell r="U616">
            <v>990.77499999999873</v>
          </cell>
          <cell r="V616">
            <v>906.59999999999945</v>
          </cell>
          <cell r="W616">
            <v>2265.1999999999998</v>
          </cell>
          <cell r="X616">
            <v>2223.9499999999994</v>
          </cell>
          <cell r="Y616">
            <v>2455.1999999999998</v>
          </cell>
        </row>
        <row r="617">
          <cell r="B617">
            <v>906.59999999999945</v>
          </cell>
          <cell r="C617">
            <v>990.77499999999964</v>
          </cell>
          <cell r="D617">
            <v>906.59999999999945</v>
          </cell>
          <cell r="E617">
            <v>-1009.9000000000005</v>
          </cell>
          <cell r="F617">
            <v>-511.32500000000073</v>
          </cell>
          <cell r="G617">
            <v>-2602.75</v>
          </cell>
          <cell r="K617">
            <v>0</v>
          </cell>
          <cell r="L617">
            <v>0</v>
          </cell>
          <cell r="M617">
            <v>0</v>
          </cell>
          <cell r="N617">
            <v>242</v>
          </cell>
          <cell r="O617">
            <v>198</v>
          </cell>
          <cell r="P617">
            <v>321</v>
          </cell>
          <cell r="T617">
            <v>906.59999999999945</v>
          </cell>
          <cell r="U617">
            <v>1003.7249999999985</v>
          </cell>
          <cell r="V617">
            <v>906.59999999999945</v>
          </cell>
          <cell r="W617">
            <v>2269.1999999999994</v>
          </cell>
          <cell r="X617">
            <v>2230.4249999999988</v>
          </cell>
          <cell r="Y617">
            <v>-872.67622232506642</v>
          </cell>
        </row>
        <row r="618">
          <cell r="B618">
            <v>906.59999999999945</v>
          </cell>
          <cell r="C618">
            <v>977.82499999999891</v>
          </cell>
          <cell r="D618">
            <v>906.60000000000036</v>
          </cell>
          <cell r="E618">
            <v>-1126.4500000000007</v>
          </cell>
          <cell r="F618">
            <v>-673.20000000000073</v>
          </cell>
          <cell r="G618">
            <v>-2188.3500000000004</v>
          </cell>
          <cell r="K618">
            <v>0</v>
          </cell>
          <cell r="L618">
            <v>0</v>
          </cell>
          <cell r="M618">
            <v>0</v>
          </cell>
          <cell r="N618">
            <v>257</v>
          </cell>
          <cell r="O618">
            <v>187</v>
          </cell>
          <cell r="P618">
            <v>310</v>
          </cell>
          <cell r="T618">
            <v>906.59999999999945</v>
          </cell>
          <cell r="U618">
            <v>958.39999999999964</v>
          </cell>
          <cell r="V618">
            <v>906.60000000000036</v>
          </cell>
          <cell r="W618">
            <v>2235.1999999999998</v>
          </cell>
          <cell r="X618">
            <v>-517.80000000000109</v>
          </cell>
          <cell r="Y618">
            <v>2435.1999999999998</v>
          </cell>
        </row>
        <row r="619">
          <cell r="B619">
            <v>906.59999999999945</v>
          </cell>
          <cell r="C619">
            <v>964.875</v>
          </cell>
          <cell r="D619">
            <v>906.60000000000036</v>
          </cell>
          <cell r="E619">
            <v>-1514.9500000000007</v>
          </cell>
          <cell r="F619">
            <v>-511.32500000000073</v>
          </cell>
          <cell r="G619">
            <v>-2369.6500000000005</v>
          </cell>
          <cell r="K619">
            <v>0</v>
          </cell>
          <cell r="L619">
            <v>0</v>
          </cell>
          <cell r="M619">
            <v>0</v>
          </cell>
          <cell r="N619">
            <v>228</v>
          </cell>
          <cell r="O619">
            <v>191</v>
          </cell>
          <cell r="P619">
            <v>343</v>
          </cell>
          <cell r="T619">
            <v>906.59999999999945</v>
          </cell>
          <cell r="U619">
            <v>964.875</v>
          </cell>
          <cell r="V619">
            <v>906.60000000000036</v>
          </cell>
          <cell r="W619">
            <v>2255.1999999999998</v>
          </cell>
          <cell r="X619">
            <v>2286.2250000000004</v>
          </cell>
          <cell r="Y619">
            <v>-2253.1000000000004</v>
          </cell>
        </row>
        <row r="620">
          <cell r="B620">
            <v>906.59999999999945</v>
          </cell>
          <cell r="C620">
            <v>951.92499999999927</v>
          </cell>
          <cell r="D620">
            <v>906.59999999999945</v>
          </cell>
          <cell r="E620">
            <v>-1178.25</v>
          </cell>
          <cell r="F620">
            <v>-381.82500000000073</v>
          </cell>
          <cell r="G620">
            <v>-2291.9499999999998</v>
          </cell>
          <cell r="K620">
            <v>0</v>
          </cell>
          <cell r="L620">
            <v>0</v>
          </cell>
          <cell r="M620">
            <v>0</v>
          </cell>
          <cell r="N620">
            <v>238</v>
          </cell>
          <cell r="O620">
            <v>202</v>
          </cell>
          <cell r="P620">
            <v>331</v>
          </cell>
          <cell r="T620">
            <v>906.59999999999945</v>
          </cell>
          <cell r="U620">
            <v>1003.7250000000004</v>
          </cell>
          <cell r="V620">
            <v>906.59999999999945</v>
          </cell>
          <cell r="W620">
            <v>2247.1999999999989</v>
          </cell>
          <cell r="X620">
            <v>2184.0500000000002</v>
          </cell>
          <cell r="Y620">
            <v>-1166.0789656693225</v>
          </cell>
        </row>
        <row r="621">
          <cell r="B621">
            <v>906.59999999999945</v>
          </cell>
          <cell r="C621">
            <v>977.82499999999982</v>
          </cell>
          <cell r="D621">
            <v>906.59999999999945</v>
          </cell>
          <cell r="E621">
            <v>-996.95000000000073</v>
          </cell>
          <cell r="F621">
            <v>-446.57500000000073</v>
          </cell>
          <cell r="G621">
            <v>-2434.4000000000005</v>
          </cell>
          <cell r="K621">
            <v>0</v>
          </cell>
          <cell r="L621">
            <v>0</v>
          </cell>
          <cell r="M621">
            <v>0</v>
          </cell>
          <cell r="N621">
            <v>217</v>
          </cell>
          <cell r="O621">
            <v>181</v>
          </cell>
          <cell r="P621">
            <v>306</v>
          </cell>
          <cell r="T621">
            <v>906.59999999999945</v>
          </cell>
          <cell r="U621">
            <v>964.875</v>
          </cell>
          <cell r="V621">
            <v>906.59999999999945</v>
          </cell>
          <cell r="W621">
            <v>2279.1999999999994</v>
          </cell>
          <cell r="X621">
            <v>1186.0366086351287</v>
          </cell>
          <cell r="Y621">
            <v>1308.7443105423495</v>
          </cell>
        </row>
        <row r="622">
          <cell r="B622">
            <v>906.59999999999945</v>
          </cell>
          <cell r="C622">
            <v>984.29999999999927</v>
          </cell>
          <cell r="D622">
            <v>906.59999999999945</v>
          </cell>
          <cell r="E622">
            <v>-1048.75</v>
          </cell>
          <cell r="F622">
            <v>-355.92500000000018</v>
          </cell>
          <cell r="G622">
            <v>-2020</v>
          </cell>
          <cell r="K622">
            <v>0</v>
          </cell>
          <cell r="L622">
            <v>0</v>
          </cell>
          <cell r="M622">
            <v>0</v>
          </cell>
          <cell r="N622">
            <v>233</v>
          </cell>
          <cell r="O622">
            <v>183</v>
          </cell>
          <cell r="P622">
            <v>317</v>
          </cell>
          <cell r="T622">
            <v>906.59999999999945</v>
          </cell>
          <cell r="U622">
            <v>964.875</v>
          </cell>
          <cell r="V622">
            <v>906.60000000000036</v>
          </cell>
          <cell r="W622">
            <v>2235.1999999999998</v>
          </cell>
          <cell r="X622">
            <v>-529.52860267848314</v>
          </cell>
          <cell r="Y622">
            <v>2423.1999999999998</v>
          </cell>
        </row>
        <row r="623">
          <cell r="B623">
            <v>906.59999999999945</v>
          </cell>
          <cell r="C623">
            <v>964.87499999999909</v>
          </cell>
          <cell r="D623">
            <v>906.59999999999945</v>
          </cell>
          <cell r="E623">
            <v>-1100.5500000000002</v>
          </cell>
          <cell r="F623">
            <v>-433.625</v>
          </cell>
          <cell r="G623">
            <v>-2395.5500000000002</v>
          </cell>
          <cell r="K623">
            <v>0</v>
          </cell>
          <cell r="L623">
            <v>0</v>
          </cell>
          <cell r="M623">
            <v>0</v>
          </cell>
          <cell r="N623">
            <v>244</v>
          </cell>
          <cell r="O623">
            <v>183</v>
          </cell>
          <cell r="P623">
            <v>321</v>
          </cell>
          <cell r="T623">
            <v>906.59999999999945</v>
          </cell>
          <cell r="U623">
            <v>997.24999999999909</v>
          </cell>
          <cell r="V623">
            <v>906.59999999999945</v>
          </cell>
          <cell r="W623">
            <v>2255.1999999999998</v>
          </cell>
          <cell r="X623">
            <v>2292.8999999999996</v>
          </cell>
          <cell r="Y623">
            <v>2419.1999999999989</v>
          </cell>
        </row>
        <row r="624">
          <cell r="B624">
            <v>906.59999999999945</v>
          </cell>
          <cell r="C624">
            <v>990.77499999999964</v>
          </cell>
          <cell r="D624">
            <v>906.59999999999945</v>
          </cell>
          <cell r="E624">
            <v>-1191.2000000000007</v>
          </cell>
          <cell r="F624">
            <v>-589.02500000000055</v>
          </cell>
          <cell r="G624">
            <v>-2279</v>
          </cell>
          <cell r="K624">
            <v>0</v>
          </cell>
          <cell r="L624">
            <v>0</v>
          </cell>
          <cell r="M624">
            <v>0</v>
          </cell>
          <cell r="N624">
            <v>219</v>
          </cell>
          <cell r="O624">
            <v>181</v>
          </cell>
          <cell r="P624">
            <v>334</v>
          </cell>
          <cell r="T624">
            <v>906.59999999999945</v>
          </cell>
          <cell r="U624">
            <v>945.44999999999982</v>
          </cell>
          <cell r="V624">
            <v>906.60000000000036</v>
          </cell>
          <cell r="W624">
            <v>2283.1999999999998</v>
          </cell>
          <cell r="X624">
            <v>1481.2801750800411</v>
          </cell>
          <cell r="Y624">
            <v>2457.1999999999998</v>
          </cell>
        </row>
        <row r="625">
          <cell r="B625">
            <v>906.59999999999945</v>
          </cell>
          <cell r="C625">
            <v>964.875</v>
          </cell>
          <cell r="D625">
            <v>906.59999999999945</v>
          </cell>
          <cell r="E625">
            <v>-971.05000000000018</v>
          </cell>
          <cell r="F625">
            <v>-362.40000000000055</v>
          </cell>
          <cell r="G625">
            <v>-2382.6000000000004</v>
          </cell>
          <cell r="K625">
            <v>0</v>
          </cell>
          <cell r="L625">
            <v>0</v>
          </cell>
          <cell r="M625">
            <v>0</v>
          </cell>
          <cell r="N625">
            <v>214</v>
          </cell>
          <cell r="O625">
            <v>175</v>
          </cell>
          <cell r="P625">
            <v>335</v>
          </cell>
          <cell r="T625">
            <v>906.59999999999945</v>
          </cell>
          <cell r="U625">
            <v>964.875</v>
          </cell>
          <cell r="V625">
            <v>906.60000000000036</v>
          </cell>
          <cell r="W625">
            <v>2299.1999999999994</v>
          </cell>
          <cell r="X625">
            <v>-478.95000000000073</v>
          </cell>
          <cell r="Y625">
            <v>213.92680432300085</v>
          </cell>
        </row>
        <row r="626">
          <cell r="B626">
            <v>906.59999999999945</v>
          </cell>
          <cell r="C626">
            <v>977.82499999999982</v>
          </cell>
          <cell r="D626">
            <v>906.60000000000036</v>
          </cell>
          <cell r="E626">
            <v>-880.40000000000055</v>
          </cell>
          <cell r="F626">
            <v>-582.55000000000109</v>
          </cell>
          <cell r="G626">
            <v>-2110.6500000000005</v>
          </cell>
          <cell r="K626">
            <v>0</v>
          </cell>
          <cell r="L626">
            <v>0</v>
          </cell>
          <cell r="M626">
            <v>0</v>
          </cell>
          <cell r="N626">
            <v>205</v>
          </cell>
          <cell r="O626">
            <v>179</v>
          </cell>
          <cell r="P626">
            <v>346</v>
          </cell>
          <cell r="T626">
            <v>906.59999999999945</v>
          </cell>
          <cell r="U626">
            <v>964.875</v>
          </cell>
          <cell r="V626">
            <v>906.60000000000036</v>
          </cell>
          <cell r="W626">
            <v>2273.1999999999998</v>
          </cell>
          <cell r="X626">
            <v>2237.9499999999998</v>
          </cell>
          <cell r="Y626">
            <v>1237.9433503515925</v>
          </cell>
        </row>
        <row r="627">
          <cell r="B627">
            <v>906.59999999999945</v>
          </cell>
          <cell r="C627">
            <v>977.82499999999982</v>
          </cell>
          <cell r="D627">
            <v>906.60000000000036</v>
          </cell>
          <cell r="E627">
            <v>-1204.1500000000005</v>
          </cell>
          <cell r="F627">
            <v>-245.85000000000036</v>
          </cell>
          <cell r="G627">
            <v>-2058.8500000000004</v>
          </cell>
          <cell r="K627">
            <v>0</v>
          </cell>
          <cell r="L627">
            <v>0</v>
          </cell>
          <cell r="M627">
            <v>0</v>
          </cell>
          <cell r="N627">
            <v>225</v>
          </cell>
          <cell r="O627">
            <v>172</v>
          </cell>
          <cell r="P627">
            <v>320</v>
          </cell>
          <cell r="T627">
            <v>906.59999999999945</v>
          </cell>
          <cell r="U627">
            <v>945.44999999999982</v>
          </cell>
          <cell r="V627">
            <v>906.59999999999945</v>
          </cell>
          <cell r="W627">
            <v>2247.1999999999989</v>
          </cell>
          <cell r="X627">
            <v>2223.4749999999995</v>
          </cell>
          <cell r="Y627">
            <v>-856.29278716909494</v>
          </cell>
        </row>
        <row r="628">
          <cell r="B628">
            <v>906.59999999999945</v>
          </cell>
          <cell r="C628">
            <v>971.34999999999945</v>
          </cell>
          <cell r="D628">
            <v>906.60000000000036</v>
          </cell>
          <cell r="E628">
            <v>-1631.5</v>
          </cell>
          <cell r="F628">
            <v>-349.45000000000073</v>
          </cell>
          <cell r="G628">
            <v>-2175.4000000000005</v>
          </cell>
          <cell r="K628">
            <v>0</v>
          </cell>
          <cell r="L628">
            <v>0</v>
          </cell>
          <cell r="M628">
            <v>0</v>
          </cell>
          <cell r="N628">
            <v>244</v>
          </cell>
          <cell r="O628">
            <v>155</v>
          </cell>
          <cell r="P628">
            <v>307</v>
          </cell>
          <cell r="T628">
            <v>906.59999999999945</v>
          </cell>
          <cell r="U628">
            <v>990.77499999999964</v>
          </cell>
          <cell r="V628">
            <v>906.60000000000036</v>
          </cell>
          <cell r="W628">
            <v>2229.1999999999994</v>
          </cell>
          <cell r="X628">
            <v>2216.5249999999992</v>
          </cell>
          <cell r="Y628">
            <v>-765.80311740550701</v>
          </cell>
        </row>
        <row r="629">
          <cell r="B629">
            <v>906.59999999999945</v>
          </cell>
          <cell r="C629">
            <v>984.29999999999927</v>
          </cell>
          <cell r="D629">
            <v>906.59999999999945</v>
          </cell>
          <cell r="E629">
            <v>-984</v>
          </cell>
          <cell r="F629">
            <v>-660.25</v>
          </cell>
          <cell r="G629">
            <v>-2291.9499999999998</v>
          </cell>
          <cell r="K629">
            <v>0</v>
          </cell>
          <cell r="L629">
            <v>0</v>
          </cell>
          <cell r="M629">
            <v>0</v>
          </cell>
          <cell r="N629">
            <v>220</v>
          </cell>
          <cell r="O629">
            <v>158</v>
          </cell>
          <cell r="P629">
            <v>337</v>
          </cell>
          <cell r="T629">
            <v>906.59999999999945</v>
          </cell>
          <cell r="U629">
            <v>964.87499999999909</v>
          </cell>
          <cell r="V629">
            <v>906.59999999999945</v>
          </cell>
          <cell r="W629">
            <v>2315.1999999999998</v>
          </cell>
          <cell r="X629">
            <v>2243.4749999999995</v>
          </cell>
          <cell r="Y629">
            <v>2441.1999999999998</v>
          </cell>
        </row>
        <row r="630">
          <cell r="B630">
            <v>906.59999999999945</v>
          </cell>
          <cell r="C630">
            <v>984.30000000000018</v>
          </cell>
          <cell r="D630">
            <v>906.59999999999945</v>
          </cell>
          <cell r="E630">
            <v>-1165.3000000000002</v>
          </cell>
          <cell r="F630">
            <v>-349.45000000000073</v>
          </cell>
          <cell r="G630">
            <v>-2421.4499999999998</v>
          </cell>
          <cell r="K630">
            <v>0</v>
          </cell>
          <cell r="L630">
            <v>0</v>
          </cell>
          <cell r="M630">
            <v>0</v>
          </cell>
          <cell r="N630">
            <v>213</v>
          </cell>
          <cell r="O630">
            <v>169</v>
          </cell>
          <cell r="P630">
            <v>351</v>
          </cell>
          <cell r="T630">
            <v>906.59999999999945</v>
          </cell>
          <cell r="U630">
            <v>977.82499999999982</v>
          </cell>
          <cell r="V630">
            <v>906.60000000000036</v>
          </cell>
          <cell r="W630">
            <v>2259.1999999999994</v>
          </cell>
          <cell r="X630">
            <v>2277.849999999999</v>
          </cell>
          <cell r="Y630">
            <v>2431.1999999999998</v>
          </cell>
        </row>
        <row r="631">
          <cell r="B631">
            <v>906.59999999999945</v>
          </cell>
          <cell r="C631">
            <v>971.34999999999854</v>
          </cell>
          <cell r="D631">
            <v>906.60000000000036</v>
          </cell>
          <cell r="E631">
            <v>-1243</v>
          </cell>
          <cell r="F631">
            <v>-634.35000000000036</v>
          </cell>
          <cell r="G631">
            <v>-2136.5500000000002</v>
          </cell>
          <cell r="K631">
            <v>0</v>
          </cell>
          <cell r="L631">
            <v>0</v>
          </cell>
          <cell r="M631">
            <v>0</v>
          </cell>
          <cell r="N631">
            <v>219</v>
          </cell>
          <cell r="O631">
            <v>163</v>
          </cell>
          <cell r="P631">
            <v>310</v>
          </cell>
          <cell r="T631">
            <v>906.59999999999945</v>
          </cell>
          <cell r="U631">
            <v>984.29999999999927</v>
          </cell>
          <cell r="V631">
            <v>906.59999999999945</v>
          </cell>
          <cell r="W631">
            <v>2321.1999999999994</v>
          </cell>
          <cell r="X631">
            <v>2212.5250000000001</v>
          </cell>
          <cell r="Y631">
            <v>2475.1999999999998</v>
          </cell>
        </row>
        <row r="632">
          <cell r="B632">
            <v>906.59999999999945</v>
          </cell>
          <cell r="C632">
            <v>984.29999999999927</v>
          </cell>
          <cell r="D632">
            <v>906.59999999999945</v>
          </cell>
          <cell r="E632">
            <v>-1152.3500000000004</v>
          </cell>
          <cell r="F632">
            <v>-317.07500000000073</v>
          </cell>
          <cell r="G632">
            <v>-2149.5</v>
          </cell>
          <cell r="K632">
            <v>0</v>
          </cell>
          <cell r="L632">
            <v>0</v>
          </cell>
          <cell r="M632">
            <v>0</v>
          </cell>
          <cell r="N632">
            <v>223</v>
          </cell>
          <cell r="O632">
            <v>171</v>
          </cell>
          <cell r="P632">
            <v>333</v>
          </cell>
          <cell r="T632">
            <v>906.59999999999945</v>
          </cell>
          <cell r="U632">
            <v>971.34999999999854</v>
          </cell>
          <cell r="V632">
            <v>906.59999999999945</v>
          </cell>
          <cell r="W632">
            <v>736.51061973649644</v>
          </cell>
          <cell r="X632">
            <v>2291.7499999999991</v>
          </cell>
          <cell r="Y632">
            <v>607.75702148099526</v>
          </cell>
        </row>
        <row r="633">
          <cell r="B633">
            <v>906.59999999999945</v>
          </cell>
          <cell r="C633">
            <v>932.5</v>
          </cell>
          <cell r="D633">
            <v>906.59999999999945</v>
          </cell>
          <cell r="E633">
            <v>-1165.3000000000002</v>
          </cell>
          <cell r="F633">
            <v>-407.72500000000036</v>
          </cell>
          <cell r="G633">
            <v>-2356.6999999999998</v>
          </cell>
          <cell r="K633">
            <v>0</v>
          </cell>
          <cell r="L633">
            <v>0</v>
          </cell>
          <cell r="M633">
            <v>0</v>
          </cell>
          <cell r="N633">
            <v>228</v>
          </cell>
          <cell r="O633">
            <v>172</v>
          </cell>
          <cell r="P633">
            <v>315</v>
          </cell>
          <cell r="T633">
            <v>906.59999999999945</v>
          </cell>
          <cell r="U633">
            <v>1003.7250000000004</v>
          </cell>
          <cell r="V633">
            <v>906.59999999999945</v>
          </cell>
          <cell r="W633">
            <v>2265.1999999999998</v>
          </cell>
          <cell r="X633">
            <v>2216.4250000000002</v>
          </cell>
          <cell r="Y633">
            <v>1945.5845910298058</v>
          </cell>
        </row>
        <row r="634">
          <cell r="B634">
            <v>906.59999999999945</v>
          </cell>
          <cell r="C634">
            <v>984.29999999999927</v>
          </cell>
          <cell r="D634">
            <v>906.59999999999945</v>
          </cell>
          <cell r="E634">
            <v>-1048.75</v>
          </cell>
          <cell r="F634">
            <v>-135.77500000000055</v>
          </cell>
          <cell r="G634">
            <v>-2356.6999999999998</v>
          </cell>
          <cell r="K634">
            <v>0</v>
          </cell>
          <cell r="L634">
            <v>0</v>
          </cell>
          <cell r="M634">
            <v>0</v>
          </cell>
          <cell r="N634">
            <v>223</v>
          </cell>
          <cell r="O634">
            <v>197</v>
          </cell>
          <cell r="P634">
            <v>323</v>
          </cell>
          <cell r="T634">
            <v>906.59999999999945</v>
          </cell>
          <cell r="U634">
            <v>919.54999999999927</v>
          </cell>
          <cell r="V634">
            <v>906.60000000000036</v>
          </cell>
          <cell r="W634">
            <v>2281.1999999999994</v>
          </cell>
          <cell r="X634">
            <v>2225.474999999999</v>
          </cell>
          <cell r="Y634">
            <v>-163.72656543832181</v>
          </cell>
        </row>
        <row r="635">
          <cell r="B635">
            <v>906.59999999999945</v>
          </cell>
          <cell r="C635">
            <v>977.82499999999891</v>
          </cell>
          <cell r="D635">
            <v>906.59999999999945</v>
          </cell>
          <cell r="E635">
            <v>-1294.8000000000002</v>
          </cell>
          <cell r="F635">
            <v>-543.70000000000073</v>
          </cell>
          <cell r="G635">
            <v>-2434.4000000000005</v>
          </cell>
          <cell r="K635">
            <v>0</v>
          </cell>
          <cell r="L635">
            <v>0</v>
          </cell>
          <cell r="M635">
            <v>0</v>
          </cell>
          <cell r="N635">
            <v>217</v>
          </cell>
          <cell r="O635">
            <v>178</v>
          </cell>
          <cell r="P635">
            <v>321</v>
          </cell>
          <cell r="T635">
            <v>906.59999999999945</v>
          </cell>
          <cell r="U635">
            <v>958.39999999999964</v>
          </cell>
          <cell r="V635">
            <v>906.60000000000036</v>
          </cell>
          <cell r="W635">
            <v>2267.1999999999989</v>
          </cell>
          <cell r="X635">
            <v>2247.4749999999999</v>
          </cell>
          <cell r="Y635">
            <v>2475.1999999999998</v>
          </cell>
        </row>
        <row r="636">
          <cell r="B636">
            <v>906.59999999999945</v>
          </cell>
          <cell r="C636">
            <v>997.24999999999909</v>
          </cell>
          <cell r="D636">
            <v>906.59999999999945</v>
          </cell>
          <cell r="E636">
            <v>-1087.6000000000004</v>
          </cell>
          <cell r="F636">
            <v>-317.07500000000073</v>
          </cell>
          <cell r="G636">
            <v>-2486.1999999999998</v>
          </cell>
          <cell r="K636">
            <v>0</v>
          </cell>
          <cell r="L636">
            <v>0</v>
          </cell>
          <cell r="M636">
            <v>0</v>
          </cell>
          <cell r="N636">
            <v>258</v>
          </cell>
          <cell r="O636">
            <v>175</v>
          </cell>
          <cell r="P636">
            <v>315</v>
          </cell>
          <cell r="T636">
            <v>906.59999999999945</v>
          </cell>
          <cell r="U636">
            <v>990.77499999999964</v>
          </cell>
          <cell r="V636">
            <v>906.60000000000036</v>
          </cell>
          <cell r="W636">
            <v>1918.5975274543389</v>
          </cell>
          <cell r="X636">
            <v>2251.4750000000004</v>
          </cell>
          <cell r="Y636">
            <v>2493.1999999999998</v>
          </cell>
        </row>
        <row r="637">
          <cell r="B637">
            <v>906.59999999999945</v>
          </cell>
          <cell r="C637">
            <v>977.82499999999982</v>
          </cell>
          <cell r="D637">
            <v>906.59999999999945</v>
          </cell>
          <cell r="E637">
            <v>-1126.4500000000007</v>
          </cell>
          <cell r="F637">
            <v>-433.625</v>
          </cell>
          <cell r="G637">
            <v>-2615.6999999999998</v>
          </cell>
          <cell r="K637">
            <v>0</v>
          </cell>
          <cell r="L637">
            <v>0</v>
          </cell>
          <cell r="M637">
            <v>0</v>
          </cell>
          <cell r="N637">
            <v>220</v>
          </cell>
          <cell r="O637">
            <v>175</v>
          </cell>
          <cell r="P637">
            <v>322</v>
          </cell>
          <cell r="T637">
            <v>906.59999999999945</v>
          </cell>
          <cell r="U637">
            <v>958.39999999999964</v>
          </cell>
          <cell r="V637">
            <v>906.60000000000036</v>
          </cell>
          <cell r="W637">
            <v>1299.9284814052512</v>
          </cell>
          <cell r="X637">
            <v>2244.4249999999993</v>
          </cell>
          <cell r="Y637">
            <v>2156.4420148167119</v>
          </cell>
        </row>
        <row r="638">
          <cell r="B638">
            <v>906.59999999999945</v>
          </cell>
          <cell r="C638">
            <v>1016.6750000000002</v>
          </cell>
          <cell r="D638">
            <v>906.60000000000036</v>
          </cell>
          <cell r="E638">
            <v>-1061.7000000000007</v>
          </cell>
          <cell r="F638">
            <v>-731.47500000000036</v>
          </cell>
          <cell r="G638">
            <v>-2447.3500000000004</v>
          </cell>
          <cell r="K638">
            <v>0</v>
          </cell>
          <cell r="L638">
            <v>0</v>
          </cell>
          <cell r="M638">
            <v>0</v>
          </cell>
          <cell r="N638">
            <v>219</v>
          </cell>
          <cell r="O638">
            <v>191</v>
          </cell>
          <cell r="P638">
            <v>346</v>
          </cell>
          <cell r="T638">
            <v>906.59999999999945</v>
          </cell>
          <cell r="U638">
            <v>964.87499999999909</v>
          </cell>
          <cell r="V638">
            <v>906.60000000000036</v>
          </cell>
          <cell r="W638">
            <v>-749.51082319392447</v>
          </cell>
          <cell r="X638">
            <v>2172.9999999999995</v>
          </cell>
          <cell r="Y638">
            <v>-370.38813286251775</v>
          </cell>
        </row>
        <row r="639">
          <cell r="B639">
            <v>906.59999999999945</v>
          </cell>
          <cell r="C639">
            <v>958.39999999999873</v>
          </cell>
          <cell r="D639">
            <v>906.60000000000036</v>
          </cell>
          <cell r="E639">
            <v>-1048.75</v>
          </cell>
          <cell r="F639">
            <v>-582.55000000000109</v>
          </cell>
          <cell r="G639">
            <v>-2343.75</v>
          </cell>
          <cell r="K639">
            <v>0</v>
          </cell>
          <cell r="L639">
            <v>0</v>
          </cell>
          <cell r="M639">
            <v>0</v>
          </cell>
          <cell r="N639">
            <v>207</v>
          </cell>
          <cell r="O639">
            <v>178</v>
          </cell>
          <cell r="P639">
            <v>290</v>
          </cell>
          <cell r="T639">
            <v>906.59999999999945</v>
          </cell>
          <cell r="U639">
            <v>951.92499999999927</v>
          </cell>
          <cell r="V639">
            <v>906.59999999999945</v>
          </cell>
          <cell r="W639">
            <v>2243.1999999999998</v>
          </cell>
          <cell r="X639">
            <v>-16.134898088457078</v>
          </cell>
          <cell r="Y639">
            <v>304.00159955490881</v>
          </cell>
        </row>
        <row r="640">
          <cell r="B640">
            <v>906.59999999999945</v>
          </cell>
          <cell r="C640">
            <v>1016.6749999999993</v>
          </cell>
          <cell r="D640">
            <v>906.59999999999945</v>
          </cell>
          <cell r="E640">
            <v>-1243</v>
          </cell>
          <cell r="F640">
            <v>-537.22500000000036</v>
          </cell>
          <cell r="G640">
            <v>-2512.1000000000004</v>
          </cell>
          <cell r="K640">
            <v>0</v>
          </cell>
          <cell r="L640">
            <v>0</v>
          </cell>
          <cell r="M640">
            <v>0</v>
          </cell>
          <cell r="N640">
            <v>214</v>
          </cell>
          <cell r="O640">
            <v>176</v>
          </cell>
          <cell r="P640">
            <v>329</v>
          </cell>
          <cell r="T640">
            <v>906.59999999999945</v>
          </cell>
          <cell r="U640">
            <v>977.82499999999982</v>
          </cell>
          <cell r="V640">
            <v>906.60000000000036</v>
          </cell>
          <cell r="W640">
            <v>2309.1999999999994</v>
          </cell>
          <cell r="X640">
            <v>2247.9499999999998</v>
          </cell>
          <cell r="Y640">
            <v>1650.6261794481443</v>
          </cell>
        </row>
        <row r="641">
          <cell r="B641">
            <v>906.59999999999945</v>
          </cell>
          <cell r="C641">
            <v>958.39999999999964</v>
          </cell>
          <cell r="D641">
            <v>906.59999999999945</v>
          </cell>
          <cell r="E641">
            <v>-1165.3000000000002</v>
          </cell>
          <cell r="F641">
            <v>-375.35000000000036</v>
          </cell>
          <cell r="G641">
            <v>-2162.4500000000007</v>
          </cell>
          <cell r="K641">
            <v>0</v>
          </cell>
          <cell r="L641">
            <v>0</v>
          </cell>
          <cell r="M641">
            <v>0</v>
          </cell>
          <cell r="N641">
            <v>215</v>
          </cell>
          <cell r="O641">
            <v>177</v>
          </cell>
          <cell r="P641">
            <v>334</v>
          </cell>
          <cell r="T641">
            <v>906.59999999999945</v>
          </cell>
          <cell r="U641">
            <v>938.97499999999945</v>
          </cell>
          <cell r="V641">
            <v>906.59999999999945</v>
          </cell>
          <cell r="W641">
            <v>2257.1999999999989</v>
          </cell>
          <cell r="X641">
            <v>2263.9499999999994</v>
          </cell>
          <cell r="Y641">
            <v>-1997.6531014380264</v>
          </cell>
        </row>
        <row r="642">
          <cell r="B642">
            <v>906.59999999999945</v>
          </cell>
          <cell r="C642">
            <v>958.39999999999964</v>
          </cell>
          <cell r="D642">
            <v>906.59999999999945</v>
          </cell>
          <cell r="E642">
            <v>-906.30000000000018</v>
          </cell>
          <cell r="F642">
            <v>-692.625</v>
          </cell>
          <cell r="G642">
            <v>-1968.2000000000007</v>
          </cell>
          <cell r="K642">
            <v>0</v>
          </cell>
          <cell r="L642">
            <v>0</v>
          </cell>
          <cell r="M642">
            <v>0</v>
          </cell>
          <cell r="N642">
            <v>207</v>
          </cell>
          <cell r="O642">
            <v>181</v>
          </cell>
          <cell r="P642">
            <v>330</v>
          </cell>
          <cell r="T642">
            <v>906.59999999999945</v>
          </cell>
          <cell r="U642">
            <v>977.82499999999982</v>
          </cell>
          <cell r="V642">
            <v>906.59999999999945</v>
          </cell>
          <cell r="W642">
            <v>2297.1999999999989</v>
          </cell>
          <cell r="X642">
            <v>2301.3749999999991</v>
          </cell>
          <cell r="Y642">
            <v>2505.1999999999998</v>
          </cell>
        </row>
        <row r="643">
          <cell r="B643">
            <v>906.59999999999945</v>
          </cell>
          <cell r="C643">
            <v>1010.1999999999989</v>
          </cell>
          <cell r="D643">
            <v>906.60000000000036</v>
          </cell>
          <cell r="E643">
            <v>-1191.2000000000007</v>
          </cell>
          <cell r="F643">
            <v>-278.22500000000036</v>
          </cell>
          <cell r="G643">
            <v>-2550.9499999999998</v>
          </cell>
          <cell r="K643">
            <v>0</v>
          </cell>
          <cell r="L643">
            <v>0</v>
          </cell>
          <cell r="M643">
            <v>0</v>
          </cell>
          <cell r="N643">
            <v>225</v>
          </cell>
          <cell r="O643">
            <v>179</v>
          </cell>
          <cell r="P643">
            <v>309</v>
          </cell>
          <cell r="T643">
            <v>906.59999999999945</v>
          </cell>
          <cell r="U643">
            <v>984.29999999999927</v>
          </cell>
          <cell r="V643">
            <v>906.60000000000036</v>
          </cell>
          <cell r="W643">
            <v>2249.1999999999994</v>
          </cell>
          <cell r="X643">
            <v>703.23939337761726</v>
          </cell>
          <cell r="Y643">
            <v>-2227.2000000000007</v>
          </cell>
        </row>
        <row r="644">
          <cell r="B644">
            <v>906.59999999999945</v>
          </cell>
          <cell r="C644">
            <v>997.25</v>
          </cell>
          <cell r="D644">
            <v>906.59999999999945</v>
          </cell>
          <cell r="E644">
            <v>-1126.4500000000007</v>
          </cell>
          <cell r="F644">
            <v>-459.52500000000055</v>
          </cell>
          <cell r="G644">
            <v>-2382.6000000000004</v>
          </cell>
          <cell r="K644">
            <v>0</v>
          </cell>
          <cell r="L644">
            <v>0</v>
          </cell>
          <cell r="M644">
            <v>0</v>
          </cell>
          <cell r="N644">
            <v>223</v>
          </cell>
          <cell r="O644">
            <v>193</v>
          </cell>
          <cell r="P644">
            <v>342</v>
          </cell>
          <cell r="T644">
            <v>906.59999999999945</v>
          </cell>
          <cell r="U644">
            <v>971.34999999999854</v>
          </cell>
          <cell r="V644">
            <v>906.59999999999945</v>
          </cell>
          <cell r="W644">
            <v>-639.8748360041136</v>
          </cell>
          <cell r="X644">
            <v>2291.3749999999991</v>
          </cell>
          <cell r="Y644">
            <v>2473.1999999999998</v>
          </cell>
        </row>
        <row r="645">
          <cell r="B645">
            <v>906.59999999999945</v>
          </cell>
          <cell r="C645">
            <v>984.29999999999927</v>
          </cell>
          <cell r="D645">
            <v>906.59999999999945</v>
          </cell>
          <cell r="E645">
            <v>-1009.9000000000005</v>
          </cell>
          <cell r="F645">
            <v>-342.97500000000036</v>
          </cell>
          <cell r="G645">
            <v>-2032.9500000000007</v>
          </cell>
          <cell r="K645">
            <v>0</v>
          </cell>
          <cell r="L645">
            <v>0</v>
          </cell>
          <cell r="M645">
            <v>0</v>
          </cell>
          <cell r="N645">
            <v>235</v>
          </cell>
          <cell r="O645">
            <v>173</v>
          </cell>
          <cell r="P645">
            <v>339</v>
          </cell>
          <cell r="T645">
            <v>906.59999999999945</v>
          </cell>
          <cell r="U645">
            <v>977.82499999999982</v>
          </cell>
          <cell r="V645">
            <v>906.59999999999945</v>
          </cell>
          <cell r="W645">
            <v>2299.1999999999994</v>
          </cell>
          <cell r="X645">
            <v>-278.22500000000036</v>
          </cell>
          <cell r="Y645">
            <v>2423.1999999999998</v>
          </cell>
        </row>
        <row r="646">
          <cell r="B646">
            <v>906.59999999999945</v>
          </cell>
          <cell r="C646">
            <v>958.39999999999964</v>
          </cell>
          <cell r="D646">
            <v>906.59999999999945</v>
          </cell>
          <cell r="E646">
            <v>-1061.7000000000007</v>
          </cell>
          <cell r="F646">
            <v>-349.45000000000073</v>
          </cell>
          <cell r="G646">
            <v>-2214.25</v>
          </cell>
          <cell r="K646">
            <v>0</v>
          </cell>
          <cell r="L646">
            <v>0</v>
          </cell>
          <cell r="M646">
            <v>0</v>
          </cell>
          <cell r="N646">
            <v>241</v>
          </cell>
          <cell r="O646">
            <v>174</v>
          </cell>
          <cell r="P646">
            <v>328</v>
          </cell>
          <cell r="T646">
            <v>906.59999999999945</v>
          </cell>
          <cell r="U646">
            <v>958.39999999999964</v>
          </cell>
          <cell r="V646">
            <v>906.60000000000036</v>
          </cell>
          <cell r="W646">
            <v>2235.1999999999998</v>
          </cell>
          <cell r="X646">
            <v>2266.8999999999992</v>
          </cell>
          <cell r="Y646">
            <v>-880.84051861890021</v>
          </cell>
        </row>
        <row r="647">
          <cell r="B647">
            <v>906.59999999999945</v>
          </cell>
          <cell r="C647">
            <v>1010.1999999999989</v>
          </cell>
          <cell r="D647">
            <v>906.59999999999945</v>
          </cell>
          <cell r="E647">
            <v>-1152.3500000000004</v>
          </cell>
          <cell r="F647">
            <v>-466</v>
          </cell>
          <cell r="G647">
            <v>-2615.6999999999998</v>
          </cell>
          <cell r="K647">
            <v>0</v>
          </cell>
          <cell r="L647">
            <v>0</v>
          </cell>
          <cell r="M647">
            <v>0</v>
          </cell>
          <cell r="N647">
            <v>207</v>
          </cell>
          <cell r="O647">
            <v>184</v>
          </cell>
          <cell r="P647">
            <v>336</v>
          </cell>
          <cell r="T647">
            <v>906.59999999999945</v>
          </cell>
          <cell r="U647">
            <v>990.77499999999964</v>
          </cell>
          <cell r="V647">
            <v>906.60000000000036</v>
          </cell>
          <cell r="W647">
            <v>2085.4510918601231</v>
          </cell>
          <cell r="X647">
            <v>2249.3749999999991</v>
          </cell>
          <cell r="Y647">
            <v>2161.2380221834901</v>
          </cell>
        </row>
        <row r="648">
          <cell r="B648">
            <v>906.59999999999945</v>
          </cell>
          <cell r="C648">
            <v>984.29999999999927</v>
          </cell>
          <cell r="D648">
            <v>906.60000000000036</v>
          </cell>
          <cell r="E648">
            <v>-1087.6000000000004</v>
          </cell>
          <cell r="F648">
            <v>-666.72500000000036</v>
          </cell>
          <cell r="G648">
            <v>-2550.9499999999998</v>
          </cell>
          <cell r="K648">
            <v>0</v>
          </cell>
          <cell r="L648">
            <v>0</v>
          </cell>
          <cell r="M648">
            <v>0</v>
          </cell>
          <cell r="N648">
            <v>221</v>
          </cell>
          <cell r="O648">
            <v>181</v>
          </cell>
          <cell r="P648">
            <v>317</v>
          </cell>
          <cell r="T648">
            <v>906.59999999999945</v>
          </cell>
          <cell r="U648">
            <v>971.34999999999945</v>
          </cell>
          <cell r="V648">
            <v>906.59999999999945</v>
          </cell>
          <cell r="W648">
            <v>2283.1999999999998</v>
          </cell>
          <cell r="X648">
            <v>2216.9999999999991</v>
          </cell>
          <cell r="Y648">
            <v>2469.1999999999989</v>
          </cell>
        </row>
        <row r="649">
          <cell r="B649">
            <v>906.59999999999945</v>
          </cell>
          <cell r="C649">
            <v>958.39999999999964</v>
          </cell>
          <cell r="D649">
            <v>906.59999999999945</v>
          </cell>
          <cell r="E649">
            <v>-996.95000000000073</v>
          </cell>
          <cell r="F649">
            <v>-135.77499999999964</v>
          </cell>
          <cell r="G649">
            <v>-2602.75</v>
          </cell>
          <cell r="K649">
            <v>0</v>
          </cell>
          <cell r="L649">
            <v>0</v>
          </cell>
          <cell r="M649">
            <v>0</v>
          </cell>
          <cell r="N649">
            <v>216</v>
          </cell>
          <cell r="O649">
            <v>164</v>
          </cell>
          <cell r="P649">
            <v>288</v>
          </cell>
          <cell r="T649">
            <v>906.59999999999945</v>
          </cell>
          <cell r="U649">
            <v>964.87499999999909</v>
          </cell>
          <cell r="V649">
            <v>906.60000000000036</v>
          </cell>
          <cell r="W649">
            <v>2273.1999999999998</v>
          </cell>
          <cell r="X649">
            <v>-491.90000000000055</v>
          </cell>
          <cell r="Y649">
            <v>2429.1999999999989</v>
          </cell>
        </row>
        <row r="650">
          <cell r="B650">
            <v>906.59999999999945</v>
          </cell>
          <cell r="C650">
            <v>990.77499999999964</v>
          </cell>
          <cell r="D650">
            <v>906.59999999999945</v>
          </cell>
          <cell r="E650">
            <v>-919.25</v>
          </cell>
          <cell r="F650">
            <v>-401.25</v>
          </cell>
          <cell r="G650">
            <v>-2771.1000000000004</v>
          </cell>
          <cell r="K650">
            <v>0</v>
          </cell>
          <cell r="L650">
            <v>0</v>
          </cell>
          <cell r="M650">
            <v>0</v>
          </cell>
          <cell r="N650">
            <v>243</v>
          </cell>
          <cell r="O650">
            <v>182</v>
          </cell>
          <cell r="P650">
            <v>338</v>
          </cell>
          <cell r="T650">
            <v>906.59999999999945</v>
          </cell>
          <cell r="U650">
            <v>964.875</v>
          </cell>
          <cell r="V650">
            <v>906.60000000000036</v>
          </cell>
          <cell r="W650">
            <v>2259.1999999999994</v>
          </cell>
          <cell r="X650">
            <v>2208.0499999999988</v>
          </cell>
          <cell r="Y650">
            <v>1619.5817172299062</v>
          </cell>
        </row>
        <row r="651">
          <cell r="B651">
            <v>906.59999999999945</v>
          </cell>
          <cell r="C651">
            <v>997.25</v>
          </cell>
          <cell r="D651">
            <v>906.59999999999945</v>
          </cell>
          <cell r="E651">
            <v>-1424.3000000000002</v>
          </cell>
          <cell r="F651">
            <v>-478.95000000000073</v>
          </cell>
          <cell r="G651">
            <v>-2680.45</v>
          </cell>
          <cell r="K651">
            <v>0</v>
          </cell>
          <cell r="L651">
            <v>0</v>
          </cell>
          <cell r="M651">
            <v>0</v>
          </cell>
          <cell r="N651">
            <v>221</v>
          </cell>
          <cell r="O651">
            <v>195</v>
          </cell>
          <cell r="P651">
            <v>338</v>
          </cell>
          <cell r="T651">
            <v>906.59999999999945</v>
          </cell>
          <cell r="U651">
            <v>997.25</v>
          </cell>
          <cell r="V651">
            <v>906.59999999999945</v>
          </cell>
          <cell r="W651">
            <v>1648.6902488471492</v>
          </cell>
          <cell r="X651">
            <v>2211.4750000000004</v>
          </cell>
          <cell r="Y651">
            <v>2421.1999999999998</v>
          </cell>
        </row>
        <row r="652">
          <cell r="B652">
            <v>906.59999999999945</v>
          </cell>
          <cell r="C652">
            <v>971.34999999999945</v>
          </cell>
          <cell r="D652">
            <v>906.59999999999945</v>
          </cell>
          <cell r="E652">
            <v>-1061.7000000000007</v>
          </cell>
          <cell r="F652">
            <v>-725</v>
          </cell>
          <cell r="G652">
            <v>-2240.1500000000005</v>
          </cell>
          <cell r="K652">
            <v>0</v>
          </cell>
          <cell r="L652">
            <v>0</v>
          </cell>
          <cell r="M652">
            <v>0</v>
          </cell>
          <cell r="N652">
            <v>213</v>
          </cell>
          <cell r="O652">
            <v>199</v>
          </cell>
          <cell r="P652">
            <v>342</v>
          </cell>
          <cell r="T652">
            <v>906.59999999999945</v>
          </cell>
          <cell r="U652">
            <v>951.92499999999927</v>
          </cell>
          <cell r="V652">
            <v>906.59999999999945</v>
          </cell>
          <cell r="W652">
            <v>2263.1999999999998</v>
          </cell>
          <cell r="X652">
            <v>2248.4249999999997</v>
          </cell>
          <cell r="Y652">
            <v>-1194.5162427236926</v>
          </cell>
        </row>
        <row r="653">
          <cell r="B653">
            <v>906.59999999999945</v>
          </cell>
          <cell r="C653">
            <v>964.875</v>
          </cell>
          <cell r="D653">
            <v>906.59999999999945</v>
          </cell>
          <cell r="E653">
            <v>-1139.4000000000005</v>
          </cell>
          <cell r="F653">
            <v>-647.30000000000018</v>
          </cell>
          <cell r="G653">
            <v>-2395.5500000000002</v>
          </cell>
          <cell r="K653">
            <v>0</v>
          </cell>
          <cell r="L653">
            <v>0</v>
          </cell>
          <cell r="M653">
            <v>0</v>
          </cell>
          <cell r="N653">
            <v>228</v>
          </cell>
          <cell r="O653">
            <v>201</v>
          </cell>
          <cell r="P653">
            <v>302</v>
          </cell>
          <cell r="T653">
            <v>906.59999999999945</v>
          </cell>
          <cell r="U653">
            <v>997.25</v>
          </cell>
          <cell r="V653">
            <v>906.59999999999945</v>
          </cell>
          <cell r="W653">
            <v>2247.1999999999989</v>
          </cell>
          <cell r="X653">
            <v>2249.9499999999998</v>
          </cell>
          <cell r="Y653">
            <v>1468.1925807577659</v>
          </cell>
        </row>
        <row r="654">
          <cell r="B654">
            <v>906.59999999999945</v>
          </cell>
          <cell r="C654">
            <v>964.875</v>
          </cell>
          <cell r="D654">
            <v>906.59999999999945</v>
          </cell>
          <cell r="E654">
            <v>-1139.4000000000005</v>
          </cell>
          <cell r="F654">
            <v>-317.07500000000073</v>
          </cell>
          <cell r="G654">
            <v>-2266.0500000000002</v>
          </cell>
          <cell r="K654">
            <v>0</v>
          </cell>
          <cell r="L654">
            <v>0</v>
          </cell>
          <cell r="M654">
            <v>0</v>
          </cell>
          <cell r="N654">
            <v>239</v>
          </cell>
          <cell r="O654">
            <v>169</v>
          </cell>
          <cell r="P654">
            <v>330</v>
          </cell>
          <cell r="T654">
            <v>906.59999999999945</v>
          </cell>
          <cell r="U654">
            <v>977.82499999999891</v>
          </cell>
          <cell r="V654">
            <v>906.60000000000036</v>
          </cell>
          <cell r="W654">
            <v>2257.1999999999989</v>
          </cell>
          <cell r="X654">
            <v>2228.5249999999996</v>
          </cell>
          <cell r="Y654">
            <v>-2499.1500000000005</v>
          </cell>
        </row>
        <row r="655">
          <cell r="B655">
            <v>906.59999999999945</v>
          </cell>
          <cell r="C655">
            <v>977.82499999999891</v>
          </cell>
          <cell r="D655">
            <v>906.59999999999945</v>
          </cell>
          <cell r="E655">
            <v>-1022.8500000000004</v>
          </cell>
          <cell r="F655">
            <v>-776.80000000000109</v>
          </cell>
          <cell r="G655">
            <v>-2434.4000000000005</v>
          </cell>
          <cell r="K655">
            <v>0</v>
          </cell>
          <cell r="L655">
            <v>0</v>
          </cell>
          <cell r="M655">
            <v>0</v>
          </cell>
          <cell r="N655">
            <v>224</v>
          </cell>
          <cell r="O655">
            <v>167</v>
          </cell>
          <cell r="P655">
            <v>318</v>
          </cell>
          <cell r="T655">
            <v>906.59999999999945</v>
          </cell>
          <cell r="U655">
            <v>1016.6749999999993</v>
          </cell>
          <cell r="V655">
            <v>906.59999999999945</v>
          </cell>
          <cell r="W655">
            <v>345.33322685219537</v>
          </cell>
          <cell r="X655">
            <v>744.54659576466577</v>
          </cell>
          <cell r="Y655">
            <v>2449.1999999999989</v>
          </cell>
        </row>
        <row r="656">
          <cell r="B656">
            <v>906.59999999999945</v>
          </cell>
          <cell r="C656">
            <v>958.39999999999873</v>
          </cell>
          <cell r="D656">
            <v>906.59999999999945</v>
          </cell>
          <cell r="E656">
            <v>-1074.6500000000005</v>
          </cell>
          <cell r="F656">
            <v>-524.27500000000055</v>
          </cell>
          <cell r="G656">
            <v>-2589.8000000000002</v>
          </cell>
          <cell r="K656">
            <v>0</v>
          </cell>
          <cell r="L656">
            <v>0</v>
          </cell>
          <cell r="M656">
            <v>0</v>
          </cell>
          <cell r="N656">
            <v>226</v>
          </cell>
          <cell r="O656">
            <v>176</v>
          </cell>
          <cell r="P656">
            <v>305</v>
          </cell>
          <cell r="T656">
            <v>906.59999999999945</v>
          </cell>
          <cell r="U656">
            <v>977.82499999999982</v>
          </cell>
          <cell r="V656">
            <v>906.60000000000036</v>
          </cell>
          <cell r="W656">
            <v>2263.1999999999998</v>
          </cell>
          <cell r="X656">
            <v>2251.9499999999994</v>
          </cell>
          <cell r="Y656">
            <v>2160.3196764937811</v>
          </cell>
        </row>
        <row r="657">
          <cell r="B657">
            <v>906.59999999999945</v>
          </cell>
          <cell r="C657">
            <v>951.92499999999927</v>
          </cell>
          <cell r="D657">
            <v>906.60000000000036</v>
          </cell>
          <cell r="E657">
            <v>-1243</v>
          </cell>
          <cell r="F657">
            <v>-504.85000000000036</v>
          </cell>
          <cell r="G657">
            <v>-2525.0500000000002</v>
          </cell>
          <cell r="K657">
            <v>0</v>
          </cell>
          <cell r="L657">
            <v>0</v>
          </cell>
          <cell r="M657">
            <v>0</v>
          </cell>
          <cell r="N657">
            <v>212</v>
          </cell>
          <cell r="O657">
            <v>199</v>
          </cell>
          <cell r="P657">
            <v>316</v>
          </cell>
          <cell r="T657">
            <v>906.59999999999945</v>
          </cell>
          <cell r="U657">
            <v>958.39999999999964</v>
          </cell>
          <cell r="V657">
            <v>919.55000000000018</v>
          </cell>
          <cell r="W657">
            <v>2213.1999999999998</v>
          </cell>
          <cell r="X657">
            <v>2240.5249999999996</v>
          </cell>
          <cell r="Y657">
            <v>-1820.9058858722806</v>
          </cell>
        </row>
        <row r="658">
          <cell r="B658">
            <v>906.59999999999945</v>
          </cell>
          <cell r="C658">
            <v>945.44999999999982</v>
          </cell>
          <cell r="D658">
            <v>906.59999999999945</v>
          </cell>
          <cell r="E658">
            <v>-945.15000000000055</v>
          </cell>
          <cell r="F658">
            <v>-446.57500000000073</v>
          </cell>
          <cell r="G658">
            <v>-2201.3000000000002</v>
          </cell>
          <cell r="K658">
            <v>0</v>
          </cell>
          <cell r="L658">
            <v>0</v>
          </cell>
          <cell r="M658">
            <v>0</v>
          </cell>
          <cell r="N658">
            <v>228</v>
          </cell>
          <cell r="O658">
            <v>179</v>
          </cell>
          <cell r="P658">
            <v>318</v>
          </cell>
          <cell r="T658">
            <v>906.59999999999945</v>
          </cell>
          <cell r="U658">
            <v>945.44999999999891</v>
          </cell>
          <cell r="V658">
            <v>906.60000000000036</v>
          </cell>
          <cell r="W658">
            <v>2277.1999999999989</v>
          </cell>
          <cell r="X658">
            <v>2243.3749999999995</v>
          </cell>
          <cell r="Y658">
            <v>2431.1999999999998</v>
          </cell>
        </row>
        <row r="659">
          <cell r="B659">
            <v>906.59999999999945</v>
          </cell>
          <cell r="C659">
            <v>984.29999999999927</v>
          </cell>
          <cell r="D659">
            <v>906.60000000000036</v>
          </cell>
          <cell r="E659">
            <v>-1113.5</v>
          </cell>
          <cell r="F659">
            <v>-491.89999999999964</v>
          </cell>
          <cell r="G659">
            <v>-2680.45</v>
          </cell>
          <cell r="K659">
            <v>0</v>
          </cell>
          <cell r="L659">
            <v>0</v>
          </cell>
          <cell r="M659">
            <v>0</v>
          </cell>
          <cell r="N659">
            <v>243</v>
          </cell>
          <cell r="O659">
            <v>195</v>
          </cell>
          <cell r="P659">
            <v>307</v>
          </cell>
          <cell r="T659">
            <v>906.59999999999945</v>
          </cell>
          <cell r="U659">
            <v>971.34999999999945</v>
          </cell>
          <cell r="V659">
            <v>906.59999999999945</v>
          </cell>
          <cell r="W659">
            <v>2295.1999999999998</v>
          </cell>
          <cell r="X659">
            <v>2285.8499999999995</v>
          </cell>
          <cell r="Y659">
            <v>60.869584613945335</v>
          </cell>
        </row>
        <row r="660">
          <cell r="B660">
            <v>906.59999999999945</v>
          </cell>
          <cell r="C660">
            <v>977.82499999999891</v>
          </cell>
          <cell r="D660">
            <v>906.59999999999945</v>
          </cell>
          <cell r="E660">
            <v>-699.10000000000036</v>
          </cell>
          <cell r="F660">
            <v>-446.57500000000073</v>
          </cell>
          <cell r="G660">
            <v>-2162.4500000000007</v>
          </cell>
          <cell r="K660">
            <v>0</v>
          </cell>
          <cell r="L660">
            <v>0</v>
          </cell>
          <cell r="M660">
            <v>0</v>
          </cell>
          <cell r="N660">
            <v>209</v>
          </cell>
          <cell r="O660">
            <v>181</v>
          </cell>
          <cell r="P660">
            <v>320</v>
          </cell>
          <cell r="T660">
            <v>906.59999999999945</v>
          </cell>
          <cell r="U660">
            <v>990.77499999999873</v>
          </cell>
          <cell r="V660">
            <v>906.59999999999945</v>
          </cell>
          <cell r="W660">
            <v>2271.1999999999994</v>
          </cell>
          <cell r="X660">
            <v>2224.4249999999993</v>
          </cell>
          <cell r="Y660">
            <v>2473.1999999999998</v>
          </cell>
        </row>
        <row r="661">
          <cell r="B661">
            <v>906.59999999999945</v>
          </cell>
          <cell r="C661">
            <v>1003.7249999999995</v>
          </cell>
          <cell r="D661">
            <v>906.60000000000036</v>
          </cell>
          <cell r="E661">
            <v>-971.05000000000018</v>
          </cell>
          <cell r="F661">
            <v>-368.875</v>
          </cell>
          <cell r="G661">
            <v>-2421.4499999999998</v>
          </cell>
          <cell r="K661">
            <v>0</v>
          </cell>
          <cell r="L661">
            <v>0</v>
          </cell>
          <cell r="M661">
            <v>0</v>
          </cell>
          <cell r="N661">
            <v>228</v>
          </cell>
          <cell r="O661">
            <v>166</v>
          </cell>
          <cell r="P661">
            <v>331</v>
          </cell>
          <cell r="T661">
            <v>906.59999999999945</v>
          </cell>
          <cell r="U661">
            <v>977.82499999999891</v>
          </cell>
          <cell r="V661">
            <v>906.59999999999945</v>
          </cell>
          <cell r="W661">
            <v>-361.62956537515777</v>
          </cell>
          <cell r="X661">
            <v>1205.8609307920867</v>
          </cell>
          <cell r="Y661">
            <v>2467.1999999999998</v>
          </cell>
        </row>
        <row r="662">
          <cell r="B662">
            <v>906.59999999999945</v>
          </cell>
          <cell r="C662">
            <v>1016.6749999999993</v>
          </cell>
          <cell r="D662">
            <v>906.60000000000036</v>
          </cell>
          <cell r="E662">
            <v>-971.05000000000018</v>
          </cell>
          <cell r="F662">
            <v>-627.875</v>
          </cell>
          <cell r="G662">
            <v>-2240.1500000000005</v>
          </cell>
          <cell r="K662">
            <v>0</v>
          </cell>
          <cell r="L662">
            <v>0</v>
          </cell>
          <cell r="M662">
            <v>0</v>
          </cell>
          <cell r="N662">
            <v>235</v>
          </cell>
          <cell r="O662">
            <v>187</v>
          </cell>
          <cell r="P662">
            <v>333</v>
          </cell>
          <cell r="T662">
            <v>906.59999999999945</v>
          </cell>
          <cell r="U662">
            <v>984.29999999999927</v>
          </cell>
          <cell r="V662">
            <v>906.60000000000036</v>
          </cell>
          <cell r="W662">
            <v>2195.6207764583655</v>
          </cell>
          <cell r="X662">
            <v>-550.17500000000018</v>
          </cell>
          <cell r="Y662">
            <v>2461.1999999999998</v>
          </cell>
        </row>
        <row r="663">
          <cell r="B663">
            <v>906.59999999999945</v>
          </cell>
          <cell r="C663">
            <v>990.77499999999964</v>
          </cell>
          <cell r="D663">
            <v>906.59999999999945</v>
          </cell>
          <cell r="E663">
            <v>-1061.7000000000007</v>
          </cell>
          <cell r="F663">
            <v>-194.05000000000109</v>
          </cell>
          <cell r="G663">
            <v>-2291.9499999999998</v>
          </cell>
          <cell r="K663">
            <v>0</v>
          </cell>
          <cell r="L663">
            <v>0</v>
          </cell>
          <cell r="M663">
            <v>0</v>
          </cell>
          <cell r="N663">
            <v>220</v>
          </cell>
          <cell r="O663">
            <v>184</v>
          </cell>
          <cell r="P663">
            <v>319</v>
          </cell>
          <cell r="T663">
            <v>906.59999999999945</v>
          </cell>
          <cell r="U663">
            <v>971.34999999999854</v>
          </cell>
          <cell r="V663">
            <v>906.59999999999945</v>
          </cell>
          <cell r="W663">
            <v>2259.1999999999994</v>
          </cell>
          <cell r="X663">
            <v>1992.2105338064712</v>
          </cell>
          <cell r="Y663">
            <v>-1213.7946337797657</v>
          </cell>
        </row>
        <row r="664">
          <cell r="B664">
            <v>906.59999999999945</v>
          </cell>
          <cell r="C664">
            <v>932.49999999999909</v>
          </cell>
          <cell r="D664">
            <v>906.60000000000036</v>
          </cell>
          <cell r="E664">
            <v>-893.35000000000036</v>
          </cell>
          <cell r="F664">
            <v>-504.85000000000036</v>
          </cell>
          <cell r="G664">
            <v>-2123.6000000000004</v>
          </cell>
          <cell r="K664">
            <v>0</v>
          </cell>
          <cell r="L664">
            <v>0</v>
          </cell>
          <cell r="M664">
            <v>0</v>
          </cell>
          <cell r="N664">
            <v>209</v>
          </cell>
          <cell r="O664">
            <v>179</v>
          </cell>
          <cell r="P664">
            <v>317</v>
          </cell>
          <cell r="T664">
            <v>906.59999999999945</v>
          </cell>
          <cell r="U664">
            <v>958.39999999999873</v>
          </cell>
          <cell r="V664">
            <v>906.59999999999945</v>
          </cell>
          <cell r="W664">
            <v>2291.1999999999994</v>
          </cell>
          <cell r="X664">
            <v>2223.9499999999994</v>
          </cell>
          <cell r="Y664">
            <v>2368.1485252766879</v>
          </cell>
        </row>
        <row r="665">
          <cell r="B665">
            <v>906.59999999999945</v>
          </cell>
          <cell r="C665">
            <v>990.77499999999964</v>
          </cell>
          <cell r="D665">
            <v>906.60000000000036</v>
          </cell>
          <cell r="E665">
            <v>-945.15000000000055</v>
          </cell>
          <cell r="F665">
            <v>-368.875</v>
          </cell>
          <cell r="G665">
            <v>-2538</v>
          </cell>
          <cell r="K665">
            <v>0</v>
          </cell>
          <cell r="L665">
            <v>0</v>
          </cell>
          <cell r="M665">
            <v>0</v>
          </cell>
          <cell r="N665">
            <v>215</v>
          </cell>
          <cell r="O665">
            <v>191</v>
          </cell>
          <cell r="P665">
            <v>324</v>
          </cell>
          <cell r="T665">
            <v>906.59999999999945</v>
          </cell>
          <cell r="U665">
            <v>977.82499999999982</v>
          </cell>
          <cell r="V665">
            <v>906.59999999999945</v>
          </cell>
          <cell r="W665">
            <v>2291.1999999999994</v>
          </cell>
          <cell r="X665">
            <v>2265.9499999999994</v>
          </cell>
          <cell r="Y665">
            <v>2481.1999999999998</v>
          </cell>
        </row>
        <row r="666">
          <cell r="B666">
            <v>906.59999999999945</v>
          </cell>
          <cell r="C666">
            <v>951.92499999999927</v>
          </cell>
          <cell r="D666">
            <v>906.60000000000036</v>
          </cell>
          <cell r="E666">
            <v>-1268.9000000000005</v>
          </cell>
          <cell r="F666">
            <v>-498.375</v>
          </cell>
          <cell r="G666">
            <v>-2369.6500000000005</v>
          </cell>
          <cell r="K666">
            <v>0</v>
          </cell>
          <cell r="L666">
            <v>0</v>
          </cell>
          <cell r="M666">
            <v>0</v>
          </cell>
          <cell r="N666">
            <v>209</v>
          </cell>
          <cell r="O666">
            <v>165</v>
          </cell>
          <cell r="P666">
            <v>322</v>
          </cell>
          <cell r="T666">
            <v>906.59999999999945</v>
          </cell>
          <cell r="U666">
            <v>938.97499999999945</v>
          </cell>
          <cell r="V666">
            <v>906.59999999999945</v>
          </cell>
          <cell r="W666">
            <v>2241.1999999999994</v>
          </cell>
          <cell r="X666">
            <v>2296.3249999999994</v>
          </cell>
          <cell r="Y666">
            <v>2463.1999999999998</v>
          </cell>
        </row>
        <row r="667">
          <cell r="B667">
            <v>906.59999999999945</v>
          </cell>
          <cell r="C667">
            <v>977.82499999999982</v>
          </cell>
          <cell r="D667">
            <v>906.60000000000036</v>
          </cell>
          <cell r="E667">
            <v>-1126.4500000000007</v>
          </cell>
          <cell r="F667">
            <v>-550.17500000000109</v>
          </cell>
          <cell r="G667">
            <v>-2369.6500000000005</v>
          </cell>
          <cell r="K667">
            <v>0</v>
          </cell>
          <cell r="L667">
            <v>0</v>
          </cell>
          <cell r="M667">
            <v>0</v>
          </cell>
          <cell r="N667">
            <v>206</v>
          </cell>
          <cell r="O667">
            <v>201</v>
          </cell>
          <cell r="P667">
            <v>339</v>
          </cell>
          <cell r="T667">
            <v>906.59999999999945</v>
          </cell>
          <cell r="U667">
            <v>971.35000000000036</v>
          </cell>
          <cell r="V667">
            <v>906.59999999999945</v>
          </cell>
          <cell r="W667">
            <v>2273.1999999999998</v>
          </cell>
          <cell r="X667">
            <v>1555.4591172316918</v>
          </cell>
          <cell r="Y667">
            <v>-1010.1275523693535</v>
          </cell>
        </row>
        <row r="668">
          <cell r="B668">
            <v>906.59999999999945</v>
          </cell>
          <cell r="C668">
            <v>932.49999999999909</v>
          </cell>
          <cell r="D668">
            <v>906.60000000000036</v>
          </cell>
          <cell r="E668">
            <v>-1022.8500000000004</v>
          </cell>
          <cell r="F668">
            <v>-323.55000000000018</v>
          </cell>
          <cell r="G668">
            <v>-2563.9000000000005</v>
          </cell>
          <cell r="K668">
            <v>0</v>
          </cell>
          <cell r="L668">
            <v>0</v>
          </cell>
          <cell r="M668">
            <v>0</v>
          </cell>
          <cell r="N668">
            <v>201</v>
          </cell>
          <cell r="O668">
            <v>174</v>
          </cell>
          <cell r="P668">
            <v>328</v>
          </cell>
          <cell r="T668">
            <v>906.59999999999945</v>
          </cell>
          <cell r="U668">
            <v>1003.7249999999995</v>
          </cell>
          <cell r="V668">
            <v>906.60000000000036</v>
          </cell>
          <cell r="W668">
            <v>2277.1999999999989</v>
          </cell>
          <cell r="X668">
            <v>2313.8500000000004</v>
          </cell>
          <cell r="Y668">
            <v>1693.1381036611383</v>
          </cell>
        </row>
        <row r="669">
          <cell r="B669">
            <v>906.59999999999945</v>
          </cell>
          <cell r="C669">
            <v>984.29999999999927</v>
          </cell>
          <cell r="D669">
            <v>906.60000000000036</v>
          </cell>
          <cell r="E669">
            <v>-1048.75</v>
          </cell>
          <cell r="F669">
            <v>-666.72500000000036</v>
          </cell>
          <cell r="G669">
            <v>-2240.1500000000005</v>
          </cell>
          <cell r="K669">
            <v>0</v>
          </cell>
          <cell r="L669">
            <v>0</v>
          </cell>
          <cell r="M669">
            <v>0</v>
          </cell>
          <cell r="N669">
            <v>223</v>
          </cell>
          <cell r="O669">
            <v>192</v>
          </cell>
          <cell r="P669">
            <v>317</v>
          </cell>
          <cell r="T669">
            <v>906.59999999999945</v>
          </cell>
          <cell r="U669">
            <v>1003.7249999999985</v>
          </cell>
          <cell r="V669">
            <v>919.54999999999927</v>
          </cell>
          <cell r="W669">
            <v>2275.1999999999998</v>
          </cell>
          <cell r="X669">
            <v>2244.9</v>
          </cell>
          <cell r="Y669">
            <v>2465.1999999999998</v>
          </cell>
        </row>
        <row r="670">
          <cell r="B670">
            <v>906.59999999999945</v>
          </cell>
          <cell r="C670">
            <v>1016.6749999999993</v>
          </cell>
          <cell r="D670">
            <v>906.59999999999945</v>
          </cell>
          <cell r="E670">
            <v>-1281.8500000000004</v>
          </cell>
          <cell r="F670">
            <v>-582.55000000000018</v>
          </cell>
          <cell r="G670">
            <v>-2525.0500000000002</v>
          </cell>
          <cell r="K670">
            <v>0</v>
          </cell>
          <cell r="L670">
            <v>0</v>
          </cell>
          <cell r="M670">
            <v>0</v>
          </cell>
          <cell r="N670">
            <v>231</v>
          </cell>
          <cell r="O670">
            <v>178</v>
          </cell>
          <cell r="P670">
            <v>272</v>
          </cell>
          <cell r="T670">
            <v>906.59999999999945</v>
          </cell>
          <cell r="U670">
            <v>958.39999999999873</v>
          </cell>
          <cell r="V670">
            <v>906.60000000000036</v>
          </cell>
          <cell r="W670">
            <v>2291.1999999999994</v>
          </cell>
          <cell r="X670">
            <v>383.13148247773643</v>
          </cell>
          <cell r="Y670">
            <v>-1718.4634207841918</v>
          </cell>
        </row>
        <row r="671">
          <cell r="B671">
            <v>906.59999999999945</v>
          </cell>
          <cell r="C671">
            <v>971.34999999999945</v>
          </cell>
          <cell r="D671">
            <v>919.55000000000018</v>
          </cell>
          <cell r="E671">
            <v>-1230.0500000000002</v>
          </cell>
          <cell r="F671">
            <v>-433.625</v>
          </cell>
          <cell r="G671">
            <v>-2110.6500000000005</v>
          </cell>
          <cell r="K671">
            <v>0</v>
          </cell>
          <cell r="L671">
            <v>0</v>
          </cell>
          <cell r="M671">
            <v>0</v>
          </cell>
          <cell r="N671">
            <v>233</v>
          </cell>
          <cell r="O671">
            <v>216</v>
          </cell>
          <cell r="P671">
            <v>338</v>
          </cell>
          <cell r="T671">
            <v>906.59999999999945</v>
          </cell>
          <cell r="U671">
            <v>932.5</v>
          </cell>
          <cell r="V671">
            <v>906.59999999999945</v>
          </cell>
          <cell r="W671">
            <v>2247.1999999999989</v>
          </cell>
          <cell r="X671">
            <v>2211.0999999999995</v>
          </cell>
          <cell r="Y671">
            <v>2457.1999999999998</v>
          </cell>
        </row>
        <row r="672">
          <cell r="B672">
            <v>906.59999999999945</v>
          </cell>
          <cell r="C672">
            <v>971.34999999999945</v>
          </cell>
          <cell r="D672">
            <v>906.59999999999945</v>
          </cell>
          <cell r="E672">
            <v>-1191.2000000000007</v>
          </cell>
          <cell r="F672">
            <v>-660.25</v>
          </cell>
          <cell r="G672">
            <v>-2499.1500000000005</v>
          </cell>
          <cell r="K672">
            <v>0</v>
          </cell>
          <cell r="L672">
            <v>0</v>
          </cell>
          <cell r="M672">
            <v>0</v>
          </cell>
          <cell r="N672">
            <v>234</v>
          </cell>
          <cell r="O672">
            <v>153</v>
          </cell>
          <cell r="P672">
            <v>339</v>
          </cell>
          <cell r="T672">
            <v>906.59999999999945</v>
          </cell>
          <cell r="U672">
            <v>951.92499999999927</v>
          </cell>
          <cell r="V672">
            <v>906.59999999999945</v>
          </cell>
          <cell r="W672">
            <v>2235.1999999999998</v>
          </cell>
          <cell r="X672">
            <v>2290.7999999999997</v>
          </cell>
          <cell r="Y672">
            <v>2059.7496129413425</v>
          </cell>
        </row>
        <row r="673">
          <cell r="B673">
            <v>906.59999999999945</v>
          </cell>
          <cell r="C673">
            <v>958.39999999999964</v>
          </cell>
          <cell r="D673">
            <v>906.59999999999945</v>
          </cell>
          <cell r="E673">
            <v>-1100.5500000000002</v>
          </cell>
          <cell r="F673">
            <v>-284.70000000000073</v>
          </cell>
          <cell r="G673">
            <v>-2745.2</v>
          </cell>
          <cell r="K673">
            <v>0</v>
          </cell>
          <cell r="L673">
            <v>0</v>
          </cell>
          <cell r="M673">
            <v>0</v>
          </cell>
          <cell r="N673">
            <v>206</v>
          </cell>
          <cell r="O673">
            <v>178</v>
          </cell>
          <cell r="P673">
            <v>321</v>
          </cell>
          <cell r="T673">
            <v>906.59999999999945</v>
          </cell>
          <cell r="U673">
            <v>990.77499999999964</v>
          </cell>
          <cell r="V673">
            <v>906.59999999999945</v>
          </cell>
          <cell r="W673">
            <v>2271.1999999999994</v>
          </cell>
          <cell r="X673">
            <v>-86.350480779742952</v>
          </cell>
          <cell r="Y673">
            <v>684.03282438968608</v>
          </cell>
        </row>
        <row r="674">
          <cell r="B674">
            <v>906.59999999999945</v>
          </cell>
          <cell r="C674">
            <v>945.44999999999891</v>
          </cell>
          <cell r="D674">
            <v>906.59999999999945</v>
          </cell>
          <cell r="E674">
            <v>-1165.3000000000002</v>
          </cell>
          <cell r="F674">
            <v>-498.375</v>
          </cell>
          <cell r="G674">
            <v>-2408.5</v>
          </cell>
          <cell r="K674">
            <v>0</v>
          </cell>
          <cell r="L674">
            <v>0</v>
          </cell>
          <cell r="M674">
            <v>0</v>
          </cell>
          <cell r="N674">
            <v>216</v>
          </cell>
          <cell r="O674">
            <v>175</v>
          </cell>
          <cell r="P674">
            <v>309</v>
          </cell>
          <cell r="T674">
            <v>906.59999999999945</v>
          </cell>
          <cell r="U674">
            <v>990.77499999999964</v>
          </cell>
          <cell r="V674">
            <v>906.59999999999945</v>
          </cell>
          <cell r="W674">
            <v>-338.59514192690108</v>
          </cell>
          <cell r="X674">
            <v>2235</v>
          </cell>
          <cell r="Y674">
            <v>2074.3193707120645</v>
          </cell>
        </row>
        <row r="675">
          <cell r="B675">
            <v>906.59999999999945</v>
          </cell>
          <cell r="C675">
            <v>984.29999999999927</v>
          </cell>
          <cell r="D675">
            <v>906.60000000000036</v>
          </cell>
          <cell r="E675">
            <v>-854.5</v>
          </cell>
          <cell r="F675">
            <v>-666.72500000000036</v>
          </cell>
          <cell r="G675">
            <v>-2473.25</v>
          </cell>
          <cell r="K675">
            <v>0</v>
          </cell>
          <cell r="L675">
            <v>0</v>
          </cell>
          <cell r="M675">
            <v>0</v>
          </cell>
          <cell r="N675">
            <v>214</v>
          </cell>
          <cell r="O675">
            <v>170</v>
          </cell>
          <cell r="P675">
            <v>316</v>
          </cell>
          <cell r="T675">
            <v>906.59999999999945</v>
          </cell>
          <cell r="U675">
            <v>977.82499999999891</v>
          </cell>
          <cell r="V675">
            <v>906.59999999999945</v>
          </cell>
          <cell r="W675">
            <v>2301.1999999999994</v>
          </cell>
          <cell r="X675">
            <v>2251.4750000000004</v>
          </cell>
          <cell r="Y675">
            <v>2439.1999999999989</v>
          </cell>
        </row>
        <row r="676">
          <cell r="B676">
            <v>906.59999999999945</v>
          </cell>
          <cell r="C676">
            <v>1003.7249999999985</v>
          </cell>
          <cell r="D676">
            <v>906.59999999999945</v>
          </cell>
          <cell r="E676">
            <v>-1204.1500000000005</v>
          </cell>
          <cell r="F676">
            <v>-427.15000000000055</v>
          </cell>
          <cell r="G676">
            <v>-2214.25</v>
          </cell>
          <cell r="K676">
            <v>0</v>
          </cell>
          <cell r="L676">
            <v>0</v>
          </cell>
          <cell r="M676">
            <v>0</v>
          </cell>
          <cell r="N676">
            <v>213</v>
          </cell>
          <cell r="O676">
            <v>187</v>
          </cell>
          <cell r="P676">
            <v>313</v>
          </cell>
          <cell r="T676">
            <v>906.59999999999945</v>
          </cell>
          <cell r="U676">
            <v>951.92499999999927</v>
          </cell>
          <cell r="V676">
            <v>906.59999999999945</v>
          </cell>
          <cell r="W676">
            <v>2299.1999999999994</v>
          </cell>
          <cell r="X676">
            <v>2326.7999999999993</v>
          </cell>
          <cell r="Y676">
            <v>2463.1999999999998</v>
          </cell>
        </row>
        <row r="677">
          <cell r="B677">
            <v>906.59999999999945</v>
          </cell>
          <cell r="C677">
            <v>932.5</v>
          </cell>
          <cell r="D677">
            <v>906.59999999999945</v>
          </cell>
          <cell r="E677">
            <v>-1165.3000000000002</v>
          </cell>
          <cell r="F677">
            <v>-459.52499999999964</v>
          </cell>
          <cell r="G677">
            <v>-1929.3500000000004</v>
          </cell>
          <cell r="K677">
            <v>0</v>
          </cell>
          <cell r="L677">
            <v>0</v>
          </cell>
          <cell r="M677">
            <v>0</v>
          </cell>
          <cell r="N677">
            <v>215</v>
          </cell>
          <cell r="O677">
            <v>181</v>
          </cell>
          <cell r="P677">
            <v>329</v>
          </cell>
          <cell r="T677">
            <v>906.59999999999945</v>
          </cell>
          <cell r="U677">
            <v>945.44999999999891</v>
          </cell>
          <cell r="V677">
            <v>906.59999999999945</v>
          </cell>
          <cell r="W677">
            <v>2269.1999999999994</v>
          </cell>
          <cell r="X677">
            <v>2209.474999999999</v>
          </cell>
          <cell r="Y677">
            <v>2443.1999999999998</v>
          </cell>
        </row>
        <row r="678">
          <cell r="B678">
            <v>906.59999999999945</v>
          </cell>
          <cell r="C678">
            <v>971.34999999999945</v>
          </cell>
          <cell r="D678">
            <v>906.59999999999945</v>
          </cell>
          <cell r="E678">
            <v>-1009.9000000000005</v>
          </cell>
          <cell r="F678">
            <v>-304.125</v>
          </cell>
          <cell r="G678">
            <v>-2589.8000000000002</v>
          </cell>
          <cell r="K678">
            <v>0</v>
          </cell>
          <cell r="L678">
            <v>0</v>
          </cell>
          <cell r="M678">
            <v>0</v>
          </cell>
          <cell r="N678">
            <v>214</v>
          </cell>
          <cell r="O678">
            <v>171</v>
          </cell>
          <cell r="P678">
            <v>324</v>
          </cell>
          <cell r="T678">
            <v>906.59999999999945</v>
          </cell>
          <cell r="U678">
            <v>971.34999999999854</v>
          </cell>
          <cell r="V678">
            <v>906.60000000000036</v>
          </cell>
          <cell r="W678">
            <v>2283.1999999999998</v>
          </cell>
          <cell r="X678">
            <v>2311.3749999999991</v>
          </cell>
          <cell r="Y678">
            <v>2459.1999999999989</v>
          </cell>
        </row>
        <row r="679">
          <cell r="B679">
            <v>906.59999999999945</v>
          </cell>
          <cell r="C679">
            <v>984.29999999999927</v>
          </cell>
          <cell r="D679">
            <v>906.60000000000036</v>
          </cell>
          <cell r="E679">
            <v>-1243</v>
          </cell>
          <cell r="F679">
            <v>-420.67500000000018</v>
          </cell>
          <cell r="G679">
            <v>-2175.4000000000005</v>
          </cell>
          <cell r="K679">
            <v>0</v>
          </cell>
          <cell r="L679">
            <v>0</v>
          </cell>
          <cell r="M679">
            <v>0</v>
          </cell>
          <cell r="N679">
            <v>226</v>
          </cell>
          <cell r="O679">
            <v>195</v>
          </cell>
          <cell r="P679">
            <v>309</v>
          </cell>
          <cell r="T679">
            <v>906.59999999999945</v>
          </cell>
          <cell r="U679">
            <v>1003.7249999999995</v>
          </cell>
          <cell r="V679">
            <v>906.59999999999945</v>
          </cell>
          <cell r="W679">
            <v>-1113.5</v>
          </cell>
          <cell r="X679">
            <v>1152.9697638515192</v>
          </cell>
          <cell r="Y679">
            <v>2419.1999999999989</v>
          </cell>
        </row>
        <row r="680">
          <cell r="B680">
            <v>906.59999999999945</v>
          </cell>
          <cell r="C680">
            <v>997.25</v>
          </cell>
          <cell r="D680">
            <v>906.59999999999945</v>
          </cell>
          <cell r="E680">
            <v>-1178.25</v>
          </cell>
          <cell r="F680">
            <v>-822.125</v>
          </cell>
          <cell r="G680">
            <v>-2356.6999999999998</v>
          </cell>
          <cell r="K680">
            <v>0</v>
          </cell>
          <cell r="L680">
            <v>0</v>
          </cell>
          <cell r="M680">
            <v>0</v>
          </cell>
          <cell r="N680">
            <v>203</v>
          </cell>
          <cell r="O680">
            <v>175</v>
          </cell>
          <cell r="P680">
            <v>324</v>
          </cell>
          <cell r="T680">
            <v>906.59999999999945</v>
          </cell>
          <cell r="U680">
            <v>977.82499999999982</v>
          </cell>
          <cell r="V680">
            <v>906.59999999999945</v>
          </cell>
          <cell r="W680">
            <v>-1139.4000000000005</v>
          </cell>
          <cell r="X680">
            <v>2225.9499999999994</v>
          </cell>
          <cell r="Y680">
            <v>2415.1999999999998</v>
          </cell>
        </row>
        <row r="681">
          <cell r="B681">
            <v>906.59999999999945</v>
          </cell>
          <cell r="C681">
            <v>964.875</v>
          </cell>
          <cell r="D681">
            <v>906.59999999999945</v>
          </cell>
          <cell r="E681">
            <v>-750.90000000000055</v>
          </cell>
          <cell r="F681">
            <v>-362.40000000000055</v>
          </cell>
          <cell r="G681">
            <v>-2434.4000000000005</v>
          </cell>
          <cell r="K681">
            <v>0</v>
          </cell>
          <cell r="L681">
            <v>0</v>
          </cell>
          <cell r="M681">
            <v>0</v>
          </cell>
          <cell r="N681">
            <v>224</v>
          </cell>
          <cell r="O681">
            <v>171</v>
          </cell>
          <cell r="P681">
            <v>333</v>
          </cell>
          <cell r="T681">
            <v>906.59999999999945</v>
          </cell>
          <cell r="U681">
            <v>971.34999999999945</v>
          </cell>
          <cell r="V681">
            <v>906.60000000000036</v>
          </cell>
          <cell r="W681">
            <v>1593.4487957125998</v>
          </cell>
          <cell r="X681">
            <v>2281.3749999999991</v>
          </cell>
          <cell r="Y681">
            <v>2060.0300669675353</v>
          </cell>
        </row>
        <row r="682">
          <cell r="B682">
            <v>906.59999999999945</v>
          </cell>
          <cell r="C682">
            <v>977.82499999999891</v>
          </cell>
          <cell r="D682">
            <v>906.59999999999945</v>
          </cell>
          <cell r="E682">
            <v>-841.55000000000018</v>
          </cell>
          <cell r="F682">
            <v>-809.17500000000109</v>
          </cell>
          <cell r="G682">
            <v>-2330.8000000000002</v>
          </cell>
          <cell r="K682">
            <v>0</v>
          </cell>
          <cell r="L682">
            <v>0</v>
          </cell>
          <cell r="M682">
            <v>4</v>
          </cell>
          <cell r="N682">
            <v>246</v>
          </cell>
          <cell r="O682">
            <v>162</v>
          </cell>
          <cell r="P682">
            <v>309</v>
          </cell>
          <cell r="T682">
            <v>906.59999999999945</v>
          </cell>
          <cell r="U682">
            <v>964.87499999999909</v>
          </cell>
          <cell r="V682">
            <v>906.59999999999945</v>
          </cell>
          <cell r="W682">
            <v>2225.1999999999998</v>
          </cell>
          <cell r="X682">
            <v>2164.0500000000002</v>
          </cell>
          <cell r="Y682">
            <v>-2382.6000000000004</v>
          </cell>
        </row>
        <row r="683">
          <cell r="B683">
            <v>906.59999999999945</v>
          </cell>
          <cell r="C683">
            <v>958.39999999999873</v>
          </cell>
          <cell r="D683">
            <v>906.59999999999945</v>
          </cell>
          <cell r="E683">
            <v>-1100.5500000000002</v>
          </cell>
          <cell r="F683">
            <v>-614.92500000000018</v>
          </cell>
          <cell r="G683">
            <v>-2201.3000000000002</v>
          </cell>
          <cell r="K683">
            <v>0</v>
          </cell>
          <cell r="L683">
            <v>0</v>
          </cell>
          <cell r="M683">
            <v>0</v>
          </cell>
          <cell r="N683">
            <v>217</v>
          </cell>
          <cell r="O683">
            <v>188</v>
          </cell>
          <cell r="P683">
            <v>336</v>
          </cell>
          <cell r="T683">
            <v>906.59999999999945</v>
          </cell>
          <cell r="U683">
            <v>964.87499999999909</v>
          </cell>
          <cell r="V683">
            <v>906.60000000000036</v>
          </cell>
          <cell r="W683">
            <v>2285.1999999999998</v>
          </cell>
          <cell r="X683">
            <v>2239.3749999999991</v>
          </cell>
          <cell r="Y683">
            <v>1794.7842031868986</v>
          </cell>
        </row>
        <row r="684">
          <cell r="B684">
            <v>906.59999999999945</v>
          </cell>
          <cell r="C684">
            <v>977.82499999999891</v>
          </cell>
          <cell r="D684">
            <v>647.59999999999945</v>
          </cell>
          <cell r="E684">
            <v>-1009.9000000000005</v>
          </cell>
          <cell r="F684">
            <v>-640.82500000000073</v>
          </cell>
          <cell r="G684">
            <v>-2447.3500000000004</v>
          </cell>
          <cell r="K684">
            <v>0</v>
          </cell>
          <cell r="L684">
            <v>0</v>
          </cell>
          <cell r="M684">
            <v>0</v>
          </cell>
          <cell r="N684">
            <v>232</v>
          </cell>
          <cell r="O684">
            <v>190</v>
          </cell>
          <cell r="P684">
            <v>324</v>
          </cell>
          <cell r="T684">
            <v>906.59999999999945</v>
          </cell>
          <cell r="U684">
            <v>997.24999999999909</v>
          </cell>
          <cell r="V684">
            <v>906.59999999999945</v>
          </cell>
          <cell r="W684">
            <v>-748.98849945692518</v>
          </cell>
          <cell r="X684">
            <v>2159.1000000000004</v>
          </cell>
          <cell r="Y684">
            <v>2451.1999999999998</v>
          </cell>
        </row>
        <row r="685">
          <cell r="B685">
            <v>906.59999999999945</v>
          </cell>
          <cell r="C685">
            <v>977.82499999999982</v>
          </cell>
          <cell r="D685">
            <v>906.60000000000036</v>
          </cell>
          <cell r="E685">
            <v>-1100.5500000000002</v>
          </cell>
          <cell r="F685">
            <v>-705.57500000000073</v>
          </cell>
          <cell r="G685">
            <v>-2097.7000000000007</v>
          </cell>
          <cell r="K685">
            <v>0</v>
          </cell>
          <cell r="L685">
            <v>0</v>
          </cell>
          <cell r="M685">
            <v>0</v>
          </cell>
          <cell r="N685">
            <v>214</v>
          </cell>
          <cell r="O685">
            <v>181</v>
          </cell>
          <cell r="P685">
            <v>320</v>
          </cell>
          <cell r="T685">
            <v>906.59999999999945</v>
          </cell>
          <cell r="U685">
            <v>958.39999999999964</v>
          </cell>
          <cell r="V685">
            <v>910.5999999999998</v>
          </cell>
          <cell r="W685">
            <v>2243.1999999999998</v>
          </cell>
          <cell r="X685">
            <v>1689.4577088469805</v>
          </cell>
          <cell r="Y685">
            <v>2461.1999999999998</v>
          </cell>
        </row>
        <row r="686">
          <cell r="B686">
            <v>906.59999999999945</v>
          </cell>
          <cell r="C686">
            <v>990.77499999999964</v>
          </cell>
          <cell r="D686">
            <v>906.60000000000036</v>
          </cell>
          <cell r="E686">
            <v>-1113.5</v>
          </cell>
          <cell r="F686">
            <v>-420.67500000000018</v>
          </cell>
          <cell r="G686">
            <v>-2304.9000000000005</v>
          </cell>
          <cell r="K686">
            <v>0</v>
          </cell>
          <cell r="L686">
            <v>0</v>
          </cell>
          <cell r="M686">
            <v>0</v>
          </cell>
          <cell r="N686">
            <v>231</v>
          </cell>
          <cell r="O686">
            <v>176</v>
          </cell>
          <cell r="P686">
            <v>315</v>
          </cell>
          <cell r="T686">
            <v>906.59999999999945</v>
          </cell>
          <cell r="U686">
            <v>951.92500000000018</v>
          </cell>
          <cell r="V686">
            <v>906.60000000000036</v>
          </cell>
          <cell r="W686">
            <v>2239.1999999999994</v>
          </cell>
          <cell r="X686">
            <v>2181.5749999999994</v>
          </cell>
          <cell r="Y686">
            <v>-110.84986109708211</v>
          </cell>
        </row>
        <row r="687">
          <cell r="B687">
            <v>906.59999999999945</v>
          </cell>
          <cell r="C687">
            <v>1003.7250000000004</v>
          </cell>
          <cell r="D687">
            <v>906.59999999999945</v>
          </cell>
          <cell r="E687">
            <v>-1268.9000000000005</v>
          </cell>
          <cell r="F687">
            <v>-83.975000000000364</v>
          </cell>
          <cell r="G687">
            <v>-2201.3000000000002</v>
          </cell>
          <cell r="K687">
            <v>0</v>
          </cell>
          <cell r="L687">
            <v>0</v>
          </cell>
          <cell r="M687">
            <v>0</v>
          </cell>
          <cell r="N687">
            <v>221</v>
          </cell>
          <cell r="O687">
            <v>188</v>
          </cell>
          <cell r="P687">
            <v>301</v>
          </cell>
          <cell r="T687">
            <v>906.59999999999945</v>
          </cell>
          <cell r="U687">
            <v>958.39999999999873</v>
          </cell>
          <cell r="V687">
            <v>906.60000000000036</v>
          </cell>
          <cell r="W687">
            <v>920.11324837052052</v>
          </cell>
          <cell r="X687">
            <v>1265.0364884791875</v>
          </cell>
          <cell r="Y687">
            <v>2467.1999999999998</v>
          </cell>
        </row>
        <row r="688">
          <cell r="B688">
            <v>906.59999999999945</v>
          </cell>
          <cell r="C688">
            <v>971.35000000000036</v>
          </cell>
          <cell r="D688">
            <v>906.59999999999945</v>
          </cell>
          <cell r="E688">
            <v>-776.80000000000018</v>
          </cell>
          <cell r="F688">
            <v>-310.60000000000036</v>
          </cell>
          <cell r="G688">
            <v>-2654.55</v>
          </cell>
          <cell r="K688">
            <v>0</v>
          </cell>
          <cell r="L688">
            <v>0</v>
          </cell>
          <cell r="M688">
            <v>0</v>
          </cell>
          <cell r="N688">
            <v>253</v>
          </cell>
          <cell r="O688">
            <v>205</v>
          </cell>
          <cell r="P688">
            <v>328</v>
          </cell>
          <cell r="T688">
            <v>906.59999999999945</v>
          </cell>
          <cell r="U688">
            <v>984.29999999999927</v>
          </cell>
          <cell r="V688">
            <v>919.55000000000018</v>
          </cell>
          <cell r="W688">
            <v>381.49969662170406</v>
          </cell>
          <cell r="X688">
            <v>2243.9499999999994</v>
          </cell>
          <cell r="Y688">
            <v>-1027.2115085313765</v>
          </cell>
        </row>
        <row r="689">
          <cell r="B689">
            <v>906.59999999999945</v>
          </cell>
          <cell r="C689">
            <v>971.35000000000036</v>
          </cell>
          <cell r="D689">
            <v>906.60000000000036</v>
          </cell>
          <cell r="E689">
            <v>-776.80000000000018</v>
          </cell>
          <cell r="F689">
            <v>-627.875</v>
          </cell>
          <cell r="G689">
            <v>-2550.9499999999998</v>
          </cell>
          <cell r="K689">
            <v>0</v>
          </cell>
          <cell r="L689">
            <v>0</v>
          </cell>
          <cell r="M689">
            <v>8</v>
          </cell>
          <cell r="N689">
            <v>236</v>
          </cell>
          <cell r="O689">
            <v>204</v>
          </cell>
          <cell r="P689">
            <v>307</v>
          </cell>
          <cell r="T689">
            <v>906.59999999999945</v>
          </cell>
          <cell r="U689">
            <v>977.82499999999891</v>
          </cell>
          <cell r="V689">
            <v>906.59999999999945</v>
          </cell>
          <cell r="W689">
            <v>2277.1999999999989</v>
          </cell>
          <cell r="X689">
            <v>2224.9</v>
          </cell>
          <cell r="Y689">
            <v>2479.1999999999989</v>
          </cell>
        </row>
        <row r="690">
          <cell r="B690">
            <v>906.59999999999945</v>
          </cell>
          <cell r="C690">
            <v>938.97499999999945</v>
          </cell>
          <cell r="D690">
            <v>906.59999999999945</v>
          </cell>
          <cell r="E690">
            <v>-919.25</v>
          </cell>
          <cell r="F690">
            <v>-245.85000000000036</v>
          </cell>
          <cell r="G690">
            <v>-2214.25</v>
          </cell>
          <cell r="K690">
            <v>0</v>
          </cell>
          <cell r="L690">
            <v>0</v>
          </cell>
          <cell r="M690">
            <v>0</v>
          </cell>
          <cell r="N690">
            <v>226</v>
          </cell>
          <cell r="O690">
            <v>166</v>
          </cell>
          <cell r="P690">
            <v>339</v>
          </cell>
          <cell r="T690">
            <v>906.59999999999945</v>
          </cell>
          <cell r="U690">
            <v>971.34999999999945</v>
          </cell>
          <cell r="V690">
            <v>906.59999999999945</v>
          </cell>
          <cell r="W690">
            <v>2255.1999999999998</v>
          </cell>
          <cell r="X690">
            <v>2221.4750000000004</v>
          </cell>
          <cell r="Y690">
            <v>2475.1999999999998</v>
          </cell>
        </row>
        <row r="691">
          <cell r="B691">
            <v>906.59999999999945</v>
          </cell>
          <cell r="C691">
            <v>951.92500000000018</v>
          </cell>
          <cell r="D691">
            <v>906.59999999999945</v>
          </cell>
          <cell r="E691">
            <v>-1009.9000000000005</v>
          </cell>
          <cell r="F691">
            <v>-446.57500000000073</v>
          </cell>
          <cell r="G691">
            <v>-2343.75</v>
          </cell>
          <cell r="K691">
            <v>0</v>
          </cell>
          <cell r="L691">
            <v>0</v>
          </cell>
          <cell r="M691">
            <v>0</v>
          </cell>
          <cell r="N691">
            <v>225</v>
          </cell>
          <cell r="O691">
            <v>187</v>
          </cell>
          <cell r="P691">
            <v>282</v>
          </cell>
          <cell r="T691">
            <v>906.59999999999945</v>
          </cell>
          <cell r="U691">
            <v>964.87499999999909</v>
          </cell>
          <cell r="V691">
            <v>906.59999999999945</v>
          </cell>
          <cell r="W691">
            <v>2229.1999999999994</v>
          </cell>
          <cell r="X691">
            <v>985.14504728596921</v>
          </cell>
          <cell r="Y691">
            <v>2453.1999999999998</v>
          </cell>
        </row>
        <row r="692">
          <cell r="B692">
            <v>906.59999999999945</v>
          </cell>
          <cell r="C692">
            <v>997.24999999999909</v>
          </cell>
          <cell r="D692">
            <v>906.59999999999945</v>
          </cell>
          <cell r="E692">
            <v>-1165.3000000000002</v>
          </cell>
          <cell r="F692">
            <v>-653.77499999999964</v>
          </cell>
          <cell r="G692">
            <v>-2434.4000000000005</v>
          </cell>
          <cell r="K692">
            <v>0</v>
          </cell>
          <cell r="L692">
            <v>0</v>
          </cell>
          <cell r="M692">
            <v>0</v>
          </cell>
          <cell r="N692">
            <v>227</v>
          </cell>
          <cell r="O692">
            <v>155</v>
          </cell>
          <cell r="P692">
            <v>307</v>
          </cell>
          <cell r="T692">
            <v>906.59999999999945</v>
          </cell>
          <cell r="U692">
            <v>971.34999999999945</v>
          </cell>
          <cell r="V692">
            <v>906.59999999999945</v>
          </cell>
          <cell r="W692">
            <v>1520.5790508887685</v>
          </cell>
          <cell r="X692">
            <v>2274.4249999999993</v>
          </cell>
          <cell r="Y692">
            <v>-1733.9073699500923</v>
          </cell>
        </row>
        <row r="693">
          <cell r="B693">
            <v>906.59999999999945</v>
          </cell>
          <cell r="C693">
            <v>971.34999999999945</v>
          </cell>
          <cell r="D693">
            <v>906.59999999999945</v>
          </cell>
          <cell r="E693">
            <v>-1139.4000000000005</v>
          </cell>
          <cell r="F693">
            <v>-446.57500000000073</v>
          </cell>
          <cell r="G693">
            <v>-2900.6000000000004</v>
          </cell>
          <cell r="K693">
            <v>0</v>
          </cell>
          <cell r="L693">
            <v>0</v>
          </cell>
          <cell r="M693">
            <v>0</v>
          </cell>
          <cell r="N693">
            <v>256</v>
          </cell>
          <cell r="O693">
            <v>170</v>
          </cell>
          <cell r="P693">
            <v>326</v>
          </cell>
          <cell r="T693">
            <v>906.59999999999945</v>
          </cell>
          <cell r="U693">
            <v>951.92499999999927</v>
          </cell>
          <cell r="V693">
            <v>906.59999999999945</v>
          </cell>
          <cell r="W693">
            <v>2279.1999999999994</v>
          </cell>
          <cell r="X693">
            <v>127.98995549893243</v>
          </cell>
          <cell r="Y693">
            <v>-662.19081667271621</v>
          </cell>
        </row>
        <row r="694">
          <cell r="B694">
            <v>906.59999999999945</v>
          </cell>
          <cell r="C694">
            <v>984.29999999999927</v>
          </cell>
          <cell r="D694">
            <v>906.59999999999945</v>
          </cell>
          <cell r="E694">
            <v>-1165.3000000000002</v>
          </cell>
          <cell r="F694">
            <v>-530.75</v>
          </cell>
          <cell r="G694">
            <v>-2512.1000000000004</v>
          </cell>
          <cell r="K694">
            <v>0</v>
          </cell>
          <cell r="L694">
            <v>0</v>
          </cell>
          <cell r="M694">
            <v>0</v>
          </cell>
          <cell r="N694">
            <v>226</v>
          </cell>
          <cell r="O694">
            <v>174</v>
          </cell>
          <cell r="P694">
            <v>318</v>
          </cell>
          <cell r="T694">
            <v>906.59999999999945</v>
          </cell>
          <cell r="U694">
            <v>926.02499999999964</v>
          </cell>
          <cell r="V694">
            <v>906.60000000000036</v>
          </cell>
          <cell r="W694">
            <v>2233.1999999999998</v>
          </cell>
          <cell r="X694">
            <v>2180.15</v>
          </cell>
          <cell r="Y694">
            <v>2122.0023517970603</v>
          </cell>
        </row>
        <row r="695">
          <cell r="B695">
            <v>906.59999999999945</v>
          </cell>
          <cell r="C695">
            <v>964.875</v>
          </cell>
          <cell r="D695">
            <v>906.59999999999945</v>
          </cell>
          <cell r="E695">
            <v>-1061.7000000000007</v>
          </cell>
          <cell r="F695">
            <v>-207</v>
          </cell>
          <cell r="G695">
            <v>-2279</v>
          </cell>
          <cell r="K695">
            <v>0</v>
          </cell>
          <cell r="L695">
            <v>0</v>
          </cell>
          <cell r="M695">
            <v>0</v>
          </cell>
          <cell r="N695">
            <v>213</v>
          </cell>
          <cell r="O695">
            <v>204</v>
          </cell>
          <cell r="P695">
            <v>321</v>
          </cell>
          <cell r="T695">
            <v>906.59999999999945</v>
          </cell>
          <cell r="U695">
            <v>997.25</v>
          </cell>
          <cell r="V695">
            <v>906.59999999999945</v>
          </cell>
          <cell r="W695">
            <v>497.22982975739683</v>
          </cell>
          <cell r="X695">
            <v>1387.2990938542025</v>
          </cell>
          <cell r="Y695">
            <v>2445.1999999999998</v>
          </cell>
        </row>
        <row r="696">
          <cell r="B696">
            <v>906.59999999999945</v>
          </cell>
          <cell r="C696">
            <v>990.77499999999964</v>
          </cell>
          <cell r="D696">
            <v>906.60000000000036</v>
          </cell>
          <cell r="E696">
            <v>-1204.1500000000005</v>
          </cell>
          <cell r="F696">
            <v>-375.35000000000036</v>
          </cell>
          <cell r="G696">
            <v>-2460.3000000000002</v>
          </cell>
          <cell r="K696">
            <v>0</v>
          </cell>
          <cell r="L696">
            <v>0</v>
          </cell>
          <cell r="M696">
            <v>0</v>
          </cell>
          <cell r="N696">
            <v>244</v>
          </cell>
          <cell r="O696">
            <v>168</v>
          </cell>
          <cell r="P696">
            <v>289</v>
          </cell>
          <cell r="T696">
            <v>906.59999999999945</v>
          </cell>
          <cell r="U696">
            <v>1003.7249999999985</v>
          </cell>
          <cell r="V696">
            <v>906.59999999999945</v>
          </cell>
          <cell r="W696">
            <v>2251.1999999999994</v>
          </cell>
          <cell r="X696">
            <v>2217.4749999999999</v>
          </cell>
          <cell r="Y696">
            <v>2471.1999999999998</v>
          </cell>
        </row>
        <row r="697">
          <cell r="B697">
            <v>906.59999999999945</v>
          </cell>
          <cell r="C697">
            <v>945.44999999999982</v>
          </cell>
          <cell r="D697">
            <v>906.59999999999945</v>
          </cell>
          <cell r="E697">
            <v>-880.40000000000055</v>
          </cell>
          <cell r="F697">
            <v>-485.42500000000018</v>
          </cell>
          <cell r="G697">
            <v>-2240.1500000000005</v>
          </cell>
          <cell r="K697">
            <v>0</v>
          </cell>
          <cell r="L697">
            <v>0</v>
          </cell>
          <cell r="M697">
            <v>0</v>
          </cell>
          <cell r="N697">
            <v>226</v>
          </cell>
          <cell r="O697">
            <v>181</v>
          </cell>
          <cell r="P697">
            <v>322</v>
          </cell>
          <cell r="T697">
            <v>906.59999999999945</v>
          </cell>
          <cell r="U697">
            <v>984.29999999999927</v>
          </cell>
          <cell r="V697">
            <v>906.60000000000036</v>
          </cell>
          <cell r="W697">
            <v>2253.1999999999998</v>
          </cell>
          <cell r="X697">
            <v>372.56451306231531</v>
          </cell>
          <cell r="Y697">
            <v>2079.4726730706307</v>
          </cell>
        </row>
        <row r="698">
          <cell r="B698">
            <v>906.59999999999945</v>
          </cell>
          <cell r="C698">
            <v>964.875</v>
          </cell>
          <cell r="D698">
            <v>906.59999999999945</v>
          </cell>
          <cell r="E698">
            <v>-1139.4000000000005</v>
          </cell>
          <cell r="F698">
            <v>-595.5</v>
          </cell>
          <cell r="G698">
            <v>-2525.0500000000002</v>
          </cell>
          <cell r="K698">
            <v>0</v>
          </cell>
          <cell r="L698">
            <v>0</v>
          </cell>
          <cell r="M698">
            <v>0</v>
          </cell>
          <cell r="N698">
            <v>223</v>
          </cell>
          <cell r="O698">
            <v>158</v>
          </cell>
          <cell r="P698">
            <v>327</v>
          </cell>
          <cell r="T698">
            <v>906.59999999999945</v>
          </cell>
          <cell r="U698">
            <v>997.25</v>
          </cell>
          <cell r="V698">
            <v>919.55000000000018</v>
          </cell>
          <cell r="W698">
            <v>2275.1999999999998</v>
          </cell>
          <cell r="X698">
            <v>2210.9999999999995</v>
          </cell>
          <cell r="Y698">
            <v>2473.1999999999998</v>
          </cell>
        </row>
        <row r="699">
          <cell r="B699">
            <v>906.59999999999945</v>
          </cell>
          <cell r="C699">
            <v>971.35000000000036</v>
          </cell>
          <cell r="D699">
            <v>906.59999999999945</v>
          </cell>
          <cell r="E699">
            <v>-996.95000000000073</v>
          </cell>
          <cell r="F699">
            <v>-466</v>
          </cell>
          <cell r="G699">
            <v>-2149.5</v>
          </cell>
          <cell r="K699">
            <v>0</v>
          </cell>
          <cell r="L699">
            <v>0</v>
          </cell>
          <cell r="M699">
            <v>0</v>
          </cell>
          <cell r="N699">
            <v>238</v>
          </cell>
          <cell r="O699">
            <v>176</v>
          </cell>
          <cell r="P699">
            <v>341</v>
          </cell>
          <cell r="T699">
            <v>906.59999999999945</v>
          </cell>
          <cell r="U699">
            <v>997.24999999999909</v>
          </cell>
          <cell r="V699">
            <v>906.60000000000036</v>
          </cell>
          <cell r="W699">
            <v>2237.1999999999989</v>
          </cell>
          <cell r="X699">
            <v>2232.8999999999996</v>
          </cell>
          <cell r="Y699">
            <v>1318.4587888420087</v>
          </cell>
        </row>
        <row r="700">
          <cell r="B700">
            <v>906.59999999999945</v>
          </cell>
          <cell r="C700">
            <v>951.92499999999927</v>
          </cell>
          <cell r="D700">
            <v>906.60000000000036</v>
          </cell>
          <cell r="E700">
            <v>-893.35000000000036</v>
          </cell>
          <cell r="F700">
            <v>-427.15000000000055</v>
          </cell>
          <cell r="G700">
            <v>-2447.3500000000004</v>
          </cell>
          <cell r="K700">
            <v>0</v>
          </cell>
          <cell r="L700">
            <v>0</v>
          </cell>
          <cell r="M700">
            <v>0</v>
          </cell>
          <cell r="N700">
            <v>222</v>
          </cell>
          <cell r="O700">
            <v>168</v>
          </cell>
          <cell r="P700">
            <v>313</v>
          </cell>
          <cell r="T700">
            <v>906.59999999999945</v>
          </cell>
          <cell r="U700">
            <v>971.34999999999854</v>
          </cell>
          <cell r="V700">
            <v>906.60000000000036</v>
          </cell>
          <cell r="W700">
            <v>2285.1999999999998</v>
          </cell>
          <cell r="X700">
            <v>2330.7999999999993</v>
          </cell>
          <cell r="Y700">
            <v>2469.1999999999989</v>
          </cell>
        </row>
        <row r="701">
          <cell r="B701">
            <v>906.59999999999945</v>
          </cell>
          <cell r="C701">
            <v>984.30000000000018</v>
          </cell>
          <cell r="D701">
            <v>906.60000000000036</v>
          </cell>
          <cell r="E701">
            <v>-945.15000000000055</v>
          </cell>
          <cell r="F701">
            <v>-252.32500000000073</v>
          </cell>
          <cell r="G701">
            <v>-2304.9000000000005</v>
          </cell>
          <cell r="K701">
            <v>0</v>
          </cell>
          <cell r="L701">
            <v>0</v>
          </cell>
          <cell r="M701">
            <v>0</v>
          </cell>
          <cell r="N701">
            <v>236</v>
          </cell>
          <cell r="O701">
            <v>164</v>
          </cell>
          <cell r="P701">
            <v>329</v>
          </cell>
          <cell r="T701">
            <v>906.59999999999945</v>
          </cell>
          <cell r="U701">
            <v>997.24999999999909</v>
          </cell>
          <cell r="V701">
            <v>906.59999999999945</v>
          </cell>
          <cell r="W701">
            <v>1759.9078309220549</v>
          </cell>
          <cell r="X701">
            <v>2231.9499999999994</v>
          </cell>
          <cell r="Y701">
            <v>383.77912737941506</v>
          </cell>
        </row>
        <row r="702">
          <cell r="B702">
            <v>906.59999999999945</v>
          </cell>
          <cell r="C702">
            <v>938.97499999999945</v>
          </cell>
          <cell r="D702">
            <v>906.59999999999945</v>
          </cell>
          <cell r="E702">
            <v>-1281.8500000000004</v>
          </cell>
          <cell r="F702">
            <v>-226.42500000000018</v>
          </cell>
          <cell r="G702">
            <v>-2706.3500000000004</v>
          </cell>
          <cell r="K702">
            <v>0</v>
          </cell>
          <cell r="L702">
            <v>0</v>
          </cell>
          <cell r="M702">
            <v>0</v>
          </cell>
          <cell r="N702">
            <v>217</v>
          </cell>
          <cell r="O702">
            <v>166</v>
          </cell>
          <cell r="P702">
            <v>340</v>
          </cell>
          <cell r="T702">
            <v>906.59999999999945</v>
          </cell>
          <cell r="U702">
            <v>977.82499999999891</v>
          </cell>
          <cell r="V702">
            <v>906.60000000000036</v>
          </cell>
          <cell r="W702">
            <v>2275.1999999999998</v>
          </cell>
          <cell r="X702">
            <v>2282.7999999999988</v>
          </cell>
          <cell r="Y702">
            <v>2385.1999999999998</v>
          </cell>
        </row>
        <row r="703">
          <cell r="B703">
            <v>906.59999999999945</v>
          </cell>
          <cell r="C703">
            <v>971.34999999999854</v>
          </cell>
          <cell r="D703">
            <v>906.60000000000036</v>
          </cell>
          <cell r="E703">
            <v>-1022.8500000000004</v>
          </cell>
          <cell r="F703">
            <v>-401.25</v>
          </cell>
          <cell r="G703">
            <v>-2486.1999999999998</v>
          </cell>
          <cell r="K703">
            <v>0</v>
          </cell>
          <cell r="L703">
            <v>0</v>
          </cell>
          <cell r="M703">
            <v>0</v>
          </cell>
          <cell r="N703">
            <v>254</v>
          </cell>
          <cell r="O703">
            <v>184</v>
          </cell>
          <cell r="P703">
            <v>318</v>
          </cell>
          <cell r="T703">
            <v>906.59999999999945</v>
          </cell>
          <cell r="U703">
            <v>932.5</v>
          </cell>
          <cell r="V703">
            <v>906.59999999999945</v>
          </cell>
          <cell r="W703">
            <v>-19.78984295228679</v>
          </cell>
          <cell r="X703">
            <v>2243.4749999999995</v>
          </cell>
          <cell r="Y703">
            <v>-2266.0500000000002</v>
          </cell>
        </row>
        <row r="704">
          <cell r="B704">
            <v>906.59999999999945</v>
          </cell>
          <cell r="C704">
            <v>964.875</v>
          </cell>
          <cell r="D704">
            <v>906.59999999999945</v>
          </cell>
          <cell r="E704">
            <v>-1009.9000000000005</v>
          </cell>
          <cell r="F704">
            <v>-317.07500000000073</v>
          </cell>
          <cell r="G704">
            <v>-2032.9500000000007</v>
          </cell>
          <cell r="K704">
            <v>0</v>
          </cell>
          <cell r="L704">
            <v>0</v>
          </cell>
          <cell r="M704">
            <v>0</v>
          </cell>
          <cell r="N704">
            <v>239</v>
          </cell>
          <cell r="O704">
            <v>181</v>
          </cell>
          <cell r="P704">
            <v>309</v>
          </cell>
          <cell r="T704">
            <v>906.59999999999945</v>
          </cell>
          <cell r="U704">
            <v>977.82499999999982</v>
          </cell>
          <cell r="V704">
            <v>906.59999999999945</v>
          </cell>
          <cell r="W704">
            <v>2249.1999999999994</v>
          </cell>
          <cell r="X704">
            <v>2281.849999999999</v>
          </cell>
          <cell r="Y704">
            <v>299.92002884653994</v>
          </cell>
        </row>
        <row r="705">
          <cell r="B705">
            <v>906.59999999999945</v>
          </cell>
          <cell r="C705">
            <v>926.02499999999964</v>
          </cell>
          <cell r="D705">
            <v>906.59999999999945</v>
          </cell>
          <cell r="E705">
            <v>-1048.75</v>
          </cell>
          <cell r="F705">
            <v>-809.17500000000018</v>
          </cell>
          <cell r="G705">
            <v>-2330.8000000000002</v>
          </cell>
          <cell r="K705">
            <v>0</v>
          </cell>
          <cell r="L705">
            <v>0</v>
          </cell>
          <cell r="M705">
            <v>0</v>
          </cell>
          <cell r="N705">
            <v>225</v>
          </cell>
          <cell r="O705">
            <v>192</v>
          </cell>
          <cell r="P705">
            <v>293</v>
          </cell>
          <cell r="T705">
            <v>906.59999999999945</v>
          </cell>
          <cell r="U705">
            <v>958.39999999999873</v>
          </cell>
          <cell r="V705">
            <v>906.59999999999945</v>
          </cell>
          <cell r="W705">
            <v>2245.1999999999998</v>
          </cell>
          <cell r="X705">
            <v>2218.8999999999992</v>
          </cell>
          <cell r="Y705">
            <v>1624.3214144736094</v>
          </cell>
        </row>
        <row r="706">
          <cell r="B706">
            <v>906.59999999999945</v>
          </cell>
          <cell r="C706">
            <v>945.44999999999982</v>
          </cell>
          <cell r="D706">
            <v>906.60000000000036</v>
          </cell>
          <cell r="E706">
            <v>-1255.9500000000007</v>
          </cell>
          <cell r="F706">
            <v>-420.67500000000109</v>
          </cell>
          <cell r="G706">
            <v>-2499.1500000000005</v>
          </cell>
          <cell r="K706">
            <v>0</v>
          </cell>
          <cell r="L706">
            <v>0</v>
          </cell>
          <cell r="M706">
            <v>0</v>
          </cell>
          <cell r="N706">
            <v>232</v>
          </cell>
          <cell r="O706">
            <v>168</v>
          </cell>
          <cell r="P706">
            <v>335</v>
          </cell>
          <cell r="T706">
            <v>906.59999999999945</v>
          </cell>
          <cell r="U706">
            <v>977.82499999999982</v>
          </cell>
          <cell r="V706">
            <v>906.60000000000036</v>
          </cell>
          <cell r="W706">
            <v>2243.1999999999998</v>
          </cell>
          <cell r="X706">
            <v>2211.4750000000004</v>
          </cell>
          <cell r="Y706">
            <v>-1359.4951565358281</v>
          </cell>
        </row>
        <row r="707">
          <cell r="B707">
            <v>906.59999999999945</v>
          </cell>
          <cell r="C707">
            <v>1023.1499999999996</v>
          </cell>
          <cell r="D707">
            <v>906.59999999999945</v>
          </cell>
          <cell r="E707">
            <v>-1061.7000000000007</v>
          </cell>
          <cell r="F707">
            <v>-485.42500000000109</v>
          </cell>
          <cell r="G707">
            <v>-2369.6500000000005</v>
          </cell>
          <cell r="K707">
            <v>0</v>
          </cell>
          <cell r="L707">
            <v>0</v>
          </cell>
          <cell r="M707">
            <v>0</v>
          </cell>
          <cell r="N707">
            <v>239</v>
          </cell>
          <cell r="O707">
            <v>176</v>
          </cell>
          <cell r="P707">
            <v>309</v>
          </cell>
          <cell r="T707">
            <v>906.59999999999945</v>
          </cell>
          <cell r="U707">
            <v>971.34999999999945</v>
          </cell>
          <cell r="V707">
            <v>906.60000000000036</v>
          </cell>
          <cell r="W707">
            <v>2261.1999999999994</v>
          </cell>
          <cell r="X707">
            <v>2258.0499999999988</v>
          </cell>
          <cell r="Y707">
            <v>1774.0192981480877</v>
          </cell>
        </row>
        <row r="708">
          <cell r="B708">
            <v>906.59999999999945</v>
          </cell>
          <cell r="C708">
            <v>964.87499999999909</v>
          </cell>
          <cell r="D708">
            <v>906.59999999999945</v>
          </cell>
          <cell r="E708">
            <v>-1165.3000000000002</v>
          </cell>
          <cell r="F708">
            <v>-252.32500000000073</v>
          </cell>
          <cell r="G708">
            <v>-2447.3500000000004</v>
          </cell>
          <cell r="K708">
            <v>0</v>
          </cell>
          <cell r="L708">
            <v>0</v>
          </cell>
          <cell r="M708">
            <v>0</v>
          </cell>
          <cell r="N708">
            <v>214</v>
          </cell>
          <cell r="O708">
            <v>179</v>
          </cell>
          <cell r="P708">
            <v>338</v>
          </cell>
          <cell r="T708">
            <v>906.59999999999945</v>
          </cell>
          <cell r="U708">
            <v>964.875</v>
          </cell>
          <cell r="V708">
            <v>906.59999999999945</v>
          </cell>
          <cell r="W708">
            <v>-569.05900051203446</v>
          </cell>
          <cell r="X708">
            <v>2205.9499999999994</v>
          </cell>
          <cell r="Y708">
            <v>2487.1999999999998</v>
          </cell>
        </row>
        <row r="709">
          <cell r="B709">
            <v>906.59999999999945</v>
          </cell>
          <cell r="C709">
            <v>945.44999999999891</v>
          </cell>
          <cell r="D709">
            <v>906.59999999999945</v>
          </cell>
          <cell r="E709">
            <v>-1450.2000000000007</v>
          </cell>
          <cell r="F709">
            <v>-699.10000000000036</v>
          </cell>
          <cell r="G709">
            <v>-2266.0500000000002</v>
          </cell>
          <cell r="K709">
            <v>0</v>
          </cell>
          <cell r="L709">
            <v>0</v>
          </cell>
          <cell r="M709">
            <v>0</v>
          </cell>
          <cell r="N709">
            <v>236</v>
          </cell>
          <cell r="O709">
            <v>187</v>
          </cell>
          <cell r="P709">
            <v>321</v>
          </cell>
          <cell r="T709">
            <v>906.59999999999945</v>
          </cell>
          <cell r="U709">
            <v>971.34999999999945</v>
          </cell>
          <cell r="V709">
            <v>906.60000000000036</v>
          </cell>
          <cell r="W709">
            <v>2255.1999999999998</v>
          </cell>
          <cell r="X709">
            <v>2240.4249999999988</v>
          </cell>
          <cell r="Y709">
            <v>436.3659995103144</v>
          </cell>
        </row>
        <row r="710">
          <cell r="B710">
            <v>906.59999999999945</v>
          </cell>
          <cell r="C710">
            <v>951.92499999999927</v>
          </cell>
          <cell r="D710">
            <v>906.60000000000036</v>
          </cell>
          <cell r="E710">
            <v>-1087.6000000000004</v>
          </cell>
          <cell r="F710">
            <v>-478.95000000000073</v>
          </cell>
          <cell r="G710">
            <v>-2369.6500000000005</v>
          </cell>
          <cell r="K710">
            <v>0</v>
          </cell>
          <cell r="L710">
            <v>0</v>
          </cell>
          <cell r="M710">
            <v>0</v>
          </cell>
          <cell r="N710">
            <v>260</v>
          </cell>
          <cell r="O710">
            <v>183</v>
          </cell>
          <cell r="P710">
            <v>327</v>
          </cell>
          <cell r="T710">
            <v>906.59999999999945</v>
          </cell>
          <cell r="U710">
            <v>977.82499999999891</v>
          </cell>
          <cell r="V710">
            <v>906.59999999999945</v>
          </cell>
          <cell r="W710">
            <v>2277.1999999999989</v>
          </cell>
          <cell r="X710">
            <v>2191.5749999999994</v>
          </cell>
          <cell r="Y710">
            <v>1842.4835860756111</v>
          </cell>
        </row>
        <row r="711">
          <cell r="B711">
            <v>906.59999999999945</v>
          </cell>
          <cell r="C711">
            <v>997.24999999999909</v>
          </cell>
          <cell r="D711">
            <v>906.59999999999945</v>
          </cell>
          <cell r="E711">
            <v>-1087.6000000000004</v>
          </cell>
          <cell r="F711">
            <v>-608.45000000000073</v>
          </cell>
          <cell r="G711">
            <v>-2628.6500000000005</v>
          </cell>
          <cell r="K711">
            <v>0</v>
          </cell>
          <cell r="L711">
            <v>0</v>
          </cell>
          <cell r="M711">
            <v>0</v>
          </cell>
          <cell r="N711">
            <v>228</v>
          </cell>
          <cell r="O711">
            <v>181</v>
          </cell>
          <cell r="P711">
            <v>306</v>
          </cell>
          <cell r="T711">
            <v>906.59999999999945</v>
          </cell>
          <cell r="U711">
            <v>964.87499999999909</v>
          </cell>
          <cell r="V711">
            <v>906.60000000000036</v>
          </cell>
          <cell r="W711">
            <v>2219.1999999999994</v>
          </cell>
          <cell r="X711">
            <v>2261.3749999999995</v>
          </cell>
          <cell r="Y711">
            <v>2451.1999999999998</v>
          </cell>
        </row>
        <row r="712">
          <cell r="B712">
            <v>906.59999999999945</v>
          </cell>
          <cell r="C712">
            <v>977.82499999999891</v>
          </cell>
          <cell r="D712">
            <v>906.59999999999945</v>
          </cell>
          <cell r="E712">
            <v>-1359.5500000000002</v>
          </cell>
          <cell r="F712">
            <v>-433.625</v>
          </cell>
          <cell r="G712">
            <v>-2369.6500000000005</v>
          </cell>
          <cell r="K712">
            <v>0</v>
          </cell>
          <cell r="L712">
            <v>0</v>
          </cell>
          <cell r="M712">
            <v>0</v>
          </cell>
          <cell r="N712">
            <v>245</v>
          </cell>
          <cell r="O712">
            <v>201</v>
          </cell>
          <cell r="P712">
            <v>347</v>
          </cell>
          <cell r="T712">
            <v>906.59999999999945</v>
          </cell>
          <cell r="U712">
            <v>984.29999999999927</v>
          </cell>
          <cell r="V712">
            <v>906.59999999999945</v>
          </cell>
          <cell r="W712">
            <v>-802.70000000000073</v>
          </cell>
          <cell r="X712">
            <v>2242.8999999999996</v>
          </cell>
          <cell r="Y712">
            <v>2452.1499999999987</v>
          </cell>
        </row>
        <row r="713">
          <cell r="B713">
            <v>906.59999999999945</v>
          </cell>
          <cell r="C713">
            <v>1010.1999999999989</v>
          </cell>
          <cell r="D713">
            <v>906.60000000000036</v>
          </cell>
          <cell r="E713">
            <v>-1191.2000000000007</v>
          </cell>
          <cell r="F713">
            <v>-530.75</v>
          </cell>
          <cell r="G713">
            <v>-2304.9000000000005</v>
          </cell>
          <cell r="K713">
            <v>0</v>
          </cell>
          <cell r="L713">
            <v>0</v>
          </cell>
          <cell r="M713">
            <v>0</v>
          </cell>
          <cell r="N713">
            <v>224</v>
          </cell>
          <cell r="O713">
            <v>184</v>
          </cell>
          <cell r="P713">
            <v>329</v>
          </cell>
          <cell r="T713">
            <v>906.59999999999945</v>
          </cell>
          <cell r="U713">
            <v>984.30000000000018</v>
          </cell>
          <cell r="V713">
            <v>906.60000000000036</v>
          </cell>
          <cell r="W713">
            <v>2343.1999999999998</v>
          </cell>
          <cell r="X713">
            <v>940.46606061438729</v>
          </cell>
          <cell r="Y713">
            <v>2259.0567693659632</v>
          </cell>
        </row>
        <row r="714">
          <cell r="B714">
            <v>906.59999999999945</v>
          </cell>
          <cell r="C714">
            <v>997.25</v>
          </cell>
          <cell r="D714">
            <v>906.60000000000036</v>
          </cell>
          <cell r="E714">
            <v>-1178.25</v>
          </cell>
          <cell r="F714">
            <v>-181.10000000000036</v>
          </cell>
          <cell r="G714">
            <v>-2473.25</v>
          </cell>
          <cell r="K714">
            <v>0</v>
          </cell>
          <cell r="L714">
            <v>0</v>
          </cell>
          <cell r="M714">
            <v>4</v>
          </cell>
          <cell r="N714">
            <v>223</v>
          </cell>
          <cell r="O714">
            <v>162</v>
          </cell>
          <cell r="P714">
            <v>334</v>
          </cell>
          <cell r="T714">
            <v>906.59999999999945</v>
          </cell>
          <cell r="U714">
            <v>938.97500000000036</v>
          </cell>
          <cell r="V714">
            <v>906.59999999999945</v>
          </cell>
          <cell r="W714">
            <v>-1089.5110151458323</v>
          </cell>
          <cell r="X714">
            <v>-423.58027105076366</v>
          </cell>
          <cell r="Y714">
            <v>557.61787125935234</v>
          </cell>
        </row>
        <row r="715">
          <cell r="B715">
            <v>906.59999999999945</v>
          </cell>
          <cell r="C715">
            <v>977.82499999999982</v>
          </cell>
          <cell r="D715">
            <v>906.60000000000036</v>
          </cell>
          <cell r="E715">
            <v>-1035.8000000000002</v>
          </cell>
          <cell r="F715">
            <v>-271.75</v>
          </cell>
          <cell r="G715">
            <v>-2499.1500000000005</v>
          </cell>
          <cell r="K715">
            <v>0</v>
          </cell>
          <cell r="L715">
            <v>0</v>
          </cell>
          <cell r="M715">
            <v>0</v>
          </cell>
          <cell r="N715">
            <v>259</v>
          </cell>
          <cell r="O715">
            <v>184</v>
          </cell>
          <cell r="P715">
            <v>324</v>
          </cell>
          <cell r="T715">
            <v>906.59999999999945</v>
          </cell>
          <cell r="U715">
            <v>997.24999999999909</v>
          </cell>
          <cell r="V715">
            <v>906.60000000000036</v>
          </cell>
          <cell r="W715">
            <v>2213.1999999999998</v>
          </cell>
          <cell r="X715">
            <v>2245.3749999999995</v>
          </cell>
          <cell r="Y715">
            <v>1104.5479519338728</v>
          </cell>
        </row>
        <row r="716">
          <cell r="B716">
            <v>906.59999999999945</v>
          </cell>
          <cell r="C716">
            <v>984.29999999999927</v>
          </cell>
          <cell r="D716">
            <v>906.60000000000036</v>
          </cell>
          <cell r="E716">
            <v>-906.30000000000018</v>
          </cell>
          <cell r="F716">
            <v>-491.90000000000055</v>
          </cell>
          <cell r="G716">
            <v>-2395.5500000000002</v>
          </cell>
          <cell r="K716">
            <v>0</v>
          </cell>
          <cell r="L716">
            <v>0</v>
          </cell>
          <cell r="M716">
            <v>0</v>
          </cell>
          <cell r="N716">
            <v>240</v>
          </cell>
          <cell r="O716">
            <v>155</v>
          </cell>
          <cell r="P716">
            <v>323</v>
          </cell>
          <cell r="T716">
            <v>906.59999999999945</v>
          </cell>
          <cell r="U716">
            <v>997.25</v>
          </cell>
          <cell r="V716">
            <v>906.59999999999945</v>
          </cell>
          <cell r="W716">
            <v>2261.1999999999994</v>
          </cell>
          <cell r="X716">
            <v>2262.9999999999995</v>
          </cell>
          <cell r="Y716">
            <v>-950.92010391462827</v>
          </cell>
        </row>
        <row r="717">
          <cell r="B717">
            <v>906.59999999999945</v>
          </cell>
          <cell r="C717">
            <v>977.82499999999982</v>
          </cell>
          <cell r="D717">
            <v>906.59999999999945</v>
          </cell>
          <cell r="E717">
            <v>-996.95000000000073</v>
          </cell>
          <cell r="F717">
            <v>-407.72500000000036</v>
          </cell>
          <cell r="G717">
            <v>-2473.25</v>
          </cell>
          <cell r="K717">
            <v>0</v>
          </cell>
          <cell r="L717">
            <v>0</v>
          </cell>
          <cell r="M717">
            <v>11</v>
          </cell>
          <cell r="N717">
            <v>197</v>
          </cell>
          <cell r="O717">
            <v>192</v>
          </cell>
          <cell r="P717">
            <v>301</v>
          </cell>
          <cell r="T717">
            <v>906.59999999999945</v>
          </cell>
          <cell r="U717">
            <v>964.87499999999909</v>
          </cell>
          <cell r="V717">
            <v>906.60000000000036</v>
          </cell>
          <cell r="W717">
            <v>1063.3978498991617</v>
          </cell>
          <cell r="X717">
            <v>2276.4250000000002</v>
          </cell>
          <cell r="Y717">
            <v>2469.1999999999989</v>
          </cell>
        </row>
        <row r="718">
          <cell r="B718">
            <v>906.59999999999945</v>
          </cell>
          <cell r="C718">
            <v>951.92499999999927</v>
          </cell>
          <cell r="D718">
            <v>906.59999999999945</v>
          </cell>
          <cell r="E718">
            <v>-1230.0500000000002</v>
          </cell>
          <cell r="F718">
            <v>-407.72500000000036</v>
          </cell>
          <cell r="G718">
            <v>-2460.3000000000002</v>
          </cell>
          <cell r="K718">
            <v>0</v>
          </cell>
          <cell r="L718">
            <v>0</v>
          </cell>
          <cell r="M718">
            <v>0</v>
          </cell>
          <cell r="N718">
            <v>198</v>
          </cell>
          <cell r="O718">
            <v>191</v>
          </cell>
          <cell r="P718">
            <v>320</v>
          </cell>
          <cell r="T718">
            <v>906.59999999999945</v>
          </cell>
          <cell r="U718">
            <v>964.875</v>
          </cell>
          <cell r="V718">
            <v>906.60000000000036</v>
          </cell>
          <cell r="W718">
            <v>2219.1999999999994</v>
          </cell>
          <cell r="X718">
            <v>2229.474999999999</v>
          </cell>
          <cell r="Y718">
            <v>1712.8621462756137</v>
          </cell>
        </row>
        <row r="719">
          <cell r="B719">
            <v>906.59999999999945</v>
          </cell>
          <cell r="C719">
            <v>1003.7249999999985</v>
          </cell>
          <cell r="D719">
            <v>906.59999999999945</v>
          </cell>
          <cell r="E719">
            <v>-1424.3000000000002</v>
          </cell>
          <cell r="F719">
            <v>-407.72500000000036</v>
          </cell>
          <cell r="G719">
            <v>-2084.75</v>
          </cell>
          <cell r="K719">
            <v>0</v>
          </cell>
          <cell r="L719">
            <v>0</v>
          </cell>
          <cell r="M719">
            <v>0</v>
          </cell>
          <cell r="N719">
            <v>239</v>
          </cell>
          <cell r="O719">
            <v>182</v>
          </cell>
          <cell r="P719">
            <v>323</v>
          </cell>
          <cell r="T719">
            <v>906.59999999999945</v>
          </cell>
          <cell r="U719">
            <v>958.39999999999964</v>
          </cell>
          <cell r="V719">
            <v>906.59999999999945</v>
          </cell>
          <cell r="W719">
            <v>2269.1999999999994</v>
          </cell>
          <cell r="X719">
            <v>2249.3749999999991</v>
          </cell>
          <cell r="Y719">
            <v>2421.1999999999998</v>
          </cell>
        </row>
        <row r="720">
          <cell r="B720">
            <v>906.59999999999945</v>
          </cell>
          <cell r="C720">
            <v>1010.1999999999998</v>
          </cell>
          <cell r="D720">
            <v>906.59999999999945</v>
          </cell>
          <cell r="E720">
            <v>-971.05000000000018</v>
          </cell>
          <cell r="F720">
            <v>-252.32500000000073</v>
          </cell>
          <cell r="G720">
            <v>-2175.4000000000005</v>
          </cell>
          <cell r="K720">
            <v>0</v>
          </cell>
          <cell r="L720">
            <v>0</v>
          </cell>
          <cell r="M720">
            <v>0</v>
          </cell>
          <cell r="N720">
            <v>229</v>
          </cell>
          <cell r="O720">
            <v>176</v>
          </cell>
          <cell r="P720">
            <v>312</v>
          </cell>
          <cell r="T720">
            <v>906.59999999999945</v>
          </cell>
          <cell r="U720">
            <v>971.34999999999854</v>
          </cell>
          <cell r="V720">
            <v>906.60000000000036</v>
          </cell>
          <cell r="W720">
            <v>207.99569811349875</v>
          </cell>
          <cell r="X720">
            <v>34.17422066582742</v>
          </cell>
          <cell r="Y720">
            <v>130.57242287616327</v>
          </cell>
        </row>
        <row r="721">
          <cell r="B721">
            <v>906.59999999999945</v>
          </cell>
          <cell r="C721">
            <v>977.82499999999982</v>
          </cell>
          <cell r="D721">
            <v>919.55000000000018</v>
          </cell>
          <cell r="E721">
            <v>-1502</v>
          </cell>
          <cell r="F721">
            <v>-239.375</v>
          </cell>
          <cell r="G721">
            <v>-2291.9499999999998</v>
          </cell>
          <cell r="K721">
            <v>0</v>
          </cell>
          <cell r="L721">
            <v>0</v>
          </cell>
          <cell r="M721">
            <v>0</v>
          </cell>
          <cell r="N721">
            <v>221</v>
          </cell>
          <cell r="O721">
            <v>184</v>
          </cell>
          <cell r="P721">
            <v>329</v>
          </cell>
          <cell r="T721">
            <v>906.59999999999945</v>
          </cell>
          <cell r="U721">
            <v>990.77499999999964</v>
          </cell>
          <cell r="V721">
            <v>919.54999999999927</v>
          </cell>
          <cell r="W721">
            <v>2237.1999999999989</v>
          </cell>
          <cell r="X721">
            <v>2229.9499999999998</v>
          </cell>
          <cell r="Y721">
            <v>2451.1999999999998</v>
          </cell>
        </row>
        <row r="722">
          <cell r="B722">
            <v>906.59999999999945</v>
          </cell>
          <cell r="C722">
            <v>971.34999999999854</v>
          </cell>
          <cell r="D722">
            <v>906.59999999999945</v>
          </cell>
          <cell r="E722">
            <v>-854.5</v>
          </cell>
          <cell r="F722">
            <v>-634.35000000000036</v>
          </cell>
          <cell r="G722">
            <v>-2240.1500000000005</v>
          </cell>
          <cell r="K722">
            <v>0</v>
          </cell>
          <cell r="L722">
            <v>0</v>
          </cell>
          <cell r="M722">
            <v>0</v>
          </cell>
          <cell r="N722">
            <v>238</v>
          </cell>
          <cell r="O722">
            <v>190</v>
          </cell>
          <cell r="P722">
            <v>324</v>
          </cell>
          <cell r="T722">
            <v>906.59999999999945</v>
          </cell>
          <cell r="U722">
            <v>1010.1999999999998</v>
          </cell>
          <cell r="V722">
            <v>906.59999999999945</v>
          </cell>
          <cell r="W722">
            <v>1723.4686521812046</v>
          </cell>
          <cell r="X722">
            <v>2213.5749999999994</v>
          </cell>
          <cell r="Y722">
            <v>1615.2440590068081</v>
          </cell>
        </row>
        <row r="723">
          <cell r="B723">
            <v>906.59999999999945</v>
          </cell>
          <cell r="C723">
            <v>1003.7250000000004</v>
          </cell>
          <cell r="D723">
            <v>906.60000000000036</v>
          </cell>
          <cell r="E723">
            <v>-1100.5500000000002</v>
          </cell>
          <cell r="F723">
            <v>-284.70000000000073</v>
          </cell>
          <cell r="G723">
            <v>-2214.25</v>
          </cell>
          <cell r="K723">
            <v>0</v>
          </cell>
          <cell r="L723">
            <v>0</v>
          </cell>
          <cell r="M723">
            <v>0</v>
          </cell>
          <cell r="N723">
            <v>201</v>
          </cell>
          <cell r="O723">
            <v>163</v>
          </cell>
          <cell r="P723">
            <v>338</v>
          </cell>
          <cell r="T723">
            <v>906.59999999999945</v>
          </cell>
          <cell r="U723">
            <v>1016.6749999999993</v>
          </cell>
          <cell r="V723">
            <v>908.59999999999968</v>
          </cell>
          <cell r="W723">
            <v>2221.1999999999994</v>
          </cell>
          <cell r="X723">
            <v>2211.4750000000004</v>
          </cell>
          <cell r="Y723">
            <v>1204.8626191193844</v>
          </cell>
        </row>
        <row r="724">
          <cell r="B724">
            <v>906.59999999999945</v>
          </cell>
          <cell r="C724">
            <v>951.92500000000018</v>
          </cell>
          <cell r="D724">
            <v>906.60000000000036</v>
          </cell>
          <cell r="E724">
            <v>-1152.3500000000004</v>
          </cell>
          <cell r="F724">
            <v>-491.90000000000055</v>
          </cell>
          <cell r="G724">
            <v>-2266.0500000000002</v>
          </cell>
          <cell r="K724">
            <v>0</v>
          </cell>
          <cell r="L724">
            <v>0</v>
          </cell>
          <cell r="M724">
            <v>0</v>
          </cell>
          <cell r="N724">
            <v>223</v>
          </cell>
          <cell r="O724">
            <v>212</v>
          </cell>
          <cell r="P724">
            <v>323</v>
          </cell>
          <cell r="T724">
            <v>906.59999999999945</v>
          </cell>
          <cell r="U724">
            <v>984.29999999999927</v>
          </cell>
          <cell r="V724">
            <v>906.59999999999945</v>
          </cell>
          <cell r="W724">
            <v>633.63217691141995</v>
          </cell>
          <cell r="X724">
            <v>2225</v>
          </cell>
          <cell r="Y724">
            <v>2391.1999999999998</v>
          </cell>
        </row>
        <row r="725">
          <cell r="B725">
            <v>906.59999999999945</v>
          </cell>
          <cell r="C725">
            <v>945.44999999999891</v>
          </cell>
          <cell r="D725">
            <v>906.60000000000036</v>
          </cell>
          <cell r="E725">
            <v>-1074.6500000000005</v>
          </cell>
          <cell r="F725">
            <v>-407.72500000000036</v>
          </cell>
          <cell r="G725">
            <v>-2654.55</v>
          </cell>
          <cell r="K725">
            <v>0</v>
          </cell>
          <cell r="L725">
            <v>0</v>
          </cell>
          <cell r="M725">
            <v>0</v>
          </cell>
          <cell r="N725">
            <v>222</v>
          </cell>
          <cell r="O725">
            <v>194</v>
          </cell>
          <cell r="P725">
            <v>318</v>
          </cell>
          <cell r="T725">
            <v>906.59999999999945</v>
          </cell>
          <cell r="U725">
            <v>971.34999999999945</v>
          </cell>
          <cell r="V725">
            <v>906.59999999999945</v>
          </cell>
          <cell r="W725">
            <v>2251.1999999999994</v>
          </cell>
          <cell r="X725">
            <v>2212.4249999999997</v>
          </cell>
          <cell r="Y725">
            <v>2475.1999999999998</v>
          </cell>
        </row>
        <row r="726">
          <cell r="B726">
            <v>906.59999999999945</v>
          </cell>
          <cell r="C726">
            <v>958.39999999999964</v>
          </cell>
          <cell r="D726">
            <v>906.59999999999945</v>
          </cell>
          <cell r="E726">
            <v>-1398.4000000000005</v>
          </cell>
          <cell r="F726">
            <v>-427.15000000000055</v>
          </cell>
          <cell r="G726">
            <v>-2266.0500000000002</v>
          </cell>
          <cell r="K726">
            <v>0</v>
          </cell>
          <cell r="L726">
            <v>0</v>
          </cell>
          <cell r="M726">
            <v>0</v>
          </cell>
          <cell r="N726">
            <v>229</v>
          </cell>
          <cell r="O726">
            <v>167</v>
          </cell>
          <cell r="P726">
            <v>338</v>
          </cell>
          <cell r="T726">
            <v>906.59999999999945</v>
          </cell>
          <cell r="U726">
            <v>990.77499999999964</v>
          </cell>
          <cell r="V726">
            <v>906.59999999999945</v>
          </cell>
          <cell r="W726">
            <v>1146.6347764964244</v>
          </cell>
          <cell r="X726">
            <v>2242.4249999999997</v>
          </cell>
          <cell r="Y726">
            <v>2151.8337494416546</v>
          </cell>
        </row>
        <row r="727">
          <cell r="B727">
            <v>906.59999999999945</v>
          </cell>
          <cell r="C727">
            <v>1010.1999999999998</v>
          </cell>
          <cell r="D727">
            <v>906.60000000000036</v>
          </cell>
          <cell r="E727">
            <v>-1022.8500000000004</v>
          </cell>
          <cell r="F727">
            <v>-504.85000000000036</v>
          </cell>
          <cell r="G727">
            <v>-2227.2000000000007</v>
          </cell>
          <cell r="K727">
            <v>0</v>
          </cell>
          <cell r="L727">
            <v>0</v>
          </cell>
          <cell r="M727">
            <v>0</v>
          </cell>
          <cell r="N727">
            <v>235</v>
          </cell>
          <cell r="O727">
            <v>180</v>
          </cell>
          <cell r="P727">
            <v>343</v>
          </cell>
          <cell r="T727">
            <v>906.59999999999945</v>
          </cell>
          <cell r="U727">
            <v>964.875</v>
          </cell>
          <cell r="V727">
            <v>906.60000000000036</v>
          </cell>
          <cell r="W727">
            <v>2245.1999999999998</v>
          </cell>
          <cell r="X727">
            <v>875.4676019373228</v>
          </cell>
          <cell r="Y727">
            <v>2463.1999999999998</v>
          </cell>
        </row>
        <row r="728">
          <cell r="B728">
            <v>906.59999999999945</v>
          </cell>
          <cell r="C728">
            <v>958.39999999999873</v>
          </cell>
          <cell r="D728">
            <v>906.59999999999945</v>
          </cell>
          <cell r="E728">
            <v>-893.35000000000036</v>
          </cell>
          <cell r="F728">
            <v>-589.02499999999964</v>
          </cell>
          <cell r="G728">
            <v>-2175.4000000000005</v>
          </cell>
          <cell r="K728">
            <v>0</v>
          </cell>
          <cell r="L728">
            <v>0</v>
          </cell>
          <cell r="M728">
            <v>0</v>
          </cell>
          <cell r="N728">
            <v>194</v>
          </cell>
          <cell r="O728">
            <v>200</v>
          </cell>
          <cell r="P728">
            <v>308</v>
          </cell>
          <cell r="T728">
            <v>906.59999999999945</v>
          </cell>
          <cell r="U728">
            <v>997.25</v>
          </cell>
          <cell r="V728">
            <v>906.59999999999945</v>
          </cell>
          <cell r="W728">
            <v>2295.1999999999998</v>
          </cell>
          <cell r="X728">
            <v>2252.4249999999997</v>
          </cell>
          <cell r="Y728">
            <v>-979.51573810657146</v>
          </cell>
        </row>
        <row r="729">
          <cell r="B729">
            <v>906.59999999999945</v>
          </cell>
          <cell r="C729">
            <v>964.87499999999909</v>
          </cell>
          <cell r="D729">
            <v>906.60000000000036</v>
          </cell>
          <cell r="E729">
            <v>-1294.8000000000002</v>
          </cell>
          <cell r="F729">
            <v>-744.42500000000109</v>
          </cell>
          <cell r="G729">
            <v>-2201.3000000000002</v>
          </cell>
          <cell r="K729">
            <v>0</v>
          </cell>
          <cell r="L729">
            <v>0</v>
          </cell>
          <cell r="M729">
            <v>0</v>
          </cell>
          <cell r="N729">
            <v>246</v>
          </cell>
          <cell r="O729">
            <v>196</v>
          </cell>
          <cell r="P729">
            <v>299</v>
          </cell>
          <cell r="T729">
            <v>906.59999999999945</v>
          </cell>
          <cell r="U729">
            <v>997.25</v>
          </cell>
          <cell r="V729">
            <v>906.59999999999945</v>
          </cell>
          <cell r="W729">
            <v>-315.50935353487921</v>
          </cell>
          <cell r="X729">
            <v>2260.4249999999988</v>
          </cell>
          <cell r="Y729">
            <v>2423.1999999999998</v>
          </cell>
        </row>
        <row r="730">
          <cell r="B730">
            <v>906.59999999999945</v>
          </cell>
          <cell r="C730">
            <v>971.34999999999854</v>
          </cell>
          <cell r="D730">
            <v>906.59999999999945</v>
          </cell>
          <cell r="E730">
            <v>-1113.5</v>
          </cell>
          <cell r="F730">
            <v>-653.77500000000055</v>
          </cell>
          <cell r="G730">
            <v>-2369.6500000000005</v>
          </cell>
          <cell r="K730">
            <v>0</v>
          </cell>
          <cell r="L730">
            <v>0</v>
          </cell>
          <cell r="M730">
            <v>0</v>
          </cell>
          <cell r="N730">
            <v>251</v>
          </cell>
          <cell r="O730">
            <v>192</v>
          </cell>
          <cell r="P730">
            <v>325</v>
          </cell>
          <cell r="T730">
            <v>906.59999999999945</v>
          </cell>
          <cell r="U730">
            <v>964.875</v>
          </cell>
          <cell r="V730">
            <v>906.59999999999945</v>
          </cell>
          <cell r="W730">
            <v>2285.1999999999998</v>
          </cell>
          <cell r="X730">
            <v>2283.4749999999995</v>
          </cell>
          <cell r="Y730">
            <v>2433.1999999999998</v>
          </cell>
        </row>
        <row r="731">
          <cell r="B731">
            <v>906.59999999999945</v>
          </cell>
          <cell r="C731">
            <v>977.82499999999891</v>
          </cell>
          <cell r="D731">
            <v>906.59999999999945</v>
          </cell>
          <cell r="E731">
            <v>-1061.7000000000007</v>
          </cell>
          <cell r="F731">
            <v>-440.10000000000036</v>
          </cell>
          <cell r="G731">
            <v>-2058.8500000000004</v>
          </cell>
          <cell r="K731">
            <v>0</v>
          </cell>
          <cell r="L731">
            <v>0</v>
          </cell>
          <cell r="M731">
            <v>0</v>
          </cell>
          <cell r="N731">
            <v>214</v>
          </cell>
          <cell r="O731">
            <v>163</v>
          </cell>
          <cell r="P731">
            <v>315</v>
          </cell>
          <cell r="T731">
            <v>906.59999999999945</v>
          </cell>
          <cell r="U731">
            <v>971.34999999999945</v>
          </cell>
          <cell r="V731">
            <v>906.59999999999945</v>
          </cell>
          <cell r="W731">
            <v>-650.14370379259981</v>
          </cell>
          <cell r="X731">
            <v>960.02226910389254</v>
          </cell>
          <cell r="Y731">
            <v>2437.1999999999989</v>
          </cell>
        </row>
        <row r="732">
          <cell r="B732">
            <v>906.59999999999945</v>
          </cell>
          <cell r="C732">
            <v>958.39999999999964</v>
          </cell>
          <cell r="D732">
            <v>906.59999999999945</v>
          </cell>
          <cell r="E732">
            <v>-1139.4000000000005</v>
          </cell>
          <cell r="F732">
            <v>-504.85000000000036</v>
          </cell>
          <cell r="G732">
            <v>-2395.5500000000002</v>
          </cell>
          <cell r="K732">
            <v>0</v>
          </cell>
          <cell r="L732">
            <v>0</v>
          </cell>
          <cell r="M732">
            <v>0</v>
          </cell>
          <cell r="N732">
            <v>234</v>
          </cell>
          <cell r="O732">
            <v>175</v>
          </cell>
          <cell r="P732">
            <v>333</v>
          </cell>
          <cell r="T732">
            <v>906.59999999999945</v>
          </cell>
          <cell r="U732">
            <v>964.87499999999909</v>
          </cell>
          <cell r="V732">
            <v>906.60000000000036</v>
          </cell>
          <cell r="W732">
            <v>2229.1999999999994</v>
          </cell>
          <cell r="X732">
            <v>1952.0511131859521</v>
          </cell>
          <cell r="Y732">
            <v>-350.98106786149992</v>
          </cell>
        </row>
        <row r="733">
          <cell r="B733">
            <v>906.59999999999945</v>
          </cell>
          <cell r="C733">
            <v>990.77499999999964</v>
          </cell>
          <cell r="D733">
            <v>906.60000000000036</v>
          </cell>
          <cell r="E733">
            <v>-1191.2000000000007</v>
          </cell>
          <cell r="F733">
            <v>-491.90000000000055</v>
          </cell>
          <cell r="G733">
            <v>-2136.5500000000002</v>
          </cell>
          <cell r="K733">
            <v>0</v>
          </cell>
          <cell r="L733">
            <v>0</v>
          </cell>
          <cell r="M733">
            <v>0</v>
          </cell>
          <cell r="N733">
            <v>251</v>
          </cell>
          <cell r="O733">
            <v>191</v>
          </cell>
          <cell r="P733">
            <v>302</v>
          </cell>
          <cell r="T733">
            <v>906.59999999999945</v>
          </cell>
          <cell r="U733">
            <v>1003.7249999999995</v>
          </cell>
          <cell r="V733">
            <v>906.59999999999945</v>
          </cell>
          <cell r="W733">
            <v>-1035.8000000000002</v>
          </cell>
          <cell r="X733">
            <v>2228.8999999999992</v>
          </cell>
          <cell r="Y733">
            <v>-2369.6500000000005</v>
          </cell>
        </row>
        <row r="734">
          <cell r="B734">
            <v>906.59999999999945</v>
          </cell>
          <cell r="C734">
            <v>984.30000000000018</v>
          </cell>
          <cell r="D734">
            <v>919.55000000000018</v>
          </cell>
          <cell r="E734">
            <v>-1035.8000000000002</v>
          </cell>
          <cell r="F734">
            <v>-472.47500000000036</v>
          </cell>
          <cell r="G734">
            <v>-2525.0500000000002</v>
          </cell>
          <cell r="K734">
            <v>0</v>
          </cell>
          <cell r="L734">
            <v>0</v>
          </cell>
          <cell r="M734">
            <v>0</v>
          </cell>
          <cell r="N734">
            <v>217</v>
          </cell>
          <cell r="O734">
            <v>202</v>
          </cell>
          <cell r="P734">
            <v>291</v>
          </cell>
          <cell r="T734">
            <v>906.59999999999945</v>
          </cell>
          <cell r="U734">
            <v>990.77499999999964</v>
          </cell>
          <cell r="V734">
            <v>906.59999999999945</v>
          </cell>
          <cell r="W734">
            <v>2245.1999999999998</v>
          </cell>
          <cell r="X734">
            <v>2322.2249999999999</v>
          </cell>
          <cell r="Y734">
            <v>2459.1999999999989</v>
          </cell>
        </row>
        <row r="735">
          <cell r="B735">
            <v>906.59999999999945</v>
          </cell>
          <cell r="C735">
            <v>958.39999999999964</v>
          </cell>
          <cell r="D735">
            <v>906.60000000000036</v>
          </cell>
          <cell r="E735">
            <v>-996.95000000000073</v>
          </cell>
          <cell r="F735">
            <v>-485.42500000000109</v>
          </cell>
          <cell r="G735">
            <v>-2279</v>
          </cell>
          <cell r="K735">
            <v>0</v>
          </cell>
          <cell r="L735">
            <v>0</v>
          </cell>
          <cell r="M735">
            <v>0</v>
          </cell>
          <cell r="N735">
            <v>211</v>
          </cell>
          <cell r="O735">
            <v>178</v>
          </cell>
          <cell r="P735">
            <v>331</v>
          </cell>
          <cell r="T735">
            <v>906.59999999999945</v>
          </cell>
          <cell r="U735">
            <v>964.875</v>
          </cell>
          <cell r="V735">
            <v>906.59999999999945</v>
          </cell>
          <cell r="W735">
            <v>2235.1999999999998</v>
          </cell>
          <cell r="X735">
            <v>2216.9999999999991</v>
          </cell>
          <cell r="Y735">
            <v>-1800.0407902731499</v>
          </cell>
        </row>
        <row r="736">
          <cell r="B736">
            <v>906.59999999999945</v>
          </cell>
          <cell r="C736">
            <v>958.39999999999964</v>
          </cell>
          <cell r="D736">
            <v>906.59999999999945</v>
          </cell>
          <cell r="E736">
            <v>-984</v>
          </cell>
          <cell r="F736">
            <v>-647.30000000000018</v>
          </cell>
          <cell r="G736">
            <v>-2408.5</v>
          </cell>
          <cell r="K736">
            <v>0</v>
          </cell>
          <cell r="L736">
            <v>0</v>
          </cell>
          <cell r="M736">
            <v>0</v>
          </cell>
          <cell r="N736">
            <v>224</v>
          </cell>
          <cell r="O736">
            <v>191</v>
          </cell>
          <cell r="P736">
            <v>314</v>
          </cell>
          <cell r="T736">
            <v>906.59999999999945</v>
          </cell>
          <cell r="U736">
            <v>964.875</v>
          </cell>
          <cell r="V736">
            <v>906.60000000000036</v>
          </cell>
          <cell r="W736">
            <v>2275.1999999999998</v>
          </cell>
          <cell r="X736">
            <v>2242.8999999999996</v>
          </cell>
          <cell r="Y736">
            <v>2469.1999999999989</v>
          </cell>
        </row>
        <row r="737">
          <cell r="B737">
            <v>906.59999999999945</v>
          </cell>
          <cell r="C737">
            <v>984.30000000000018</v>
          </cell>
          <cell r="D737">
            <v>906.59999999999945</v>
          </cell>
          <cell r="E737">
            <v>-776.80000000000018</v>
          </cell>
          <cell r="F737">
            <v>-640.82500000000073</v>
          </cell>
          <cell r="G737">
            <v>-2563.9000000000005</v>
          </cell>
          <cell r="K737">
            <v>0</v>
          </cell>
          <cell r="L737">
            <v>0</v>
          </cell>
          <cell r="M737">
            <v>0</v>
          </cell>
          <cell r="N737">
            <v>241</v>
          </cell>
          <cell r="O737">
            <v>189</v>
          </cell>
          <cell r="P737">
            <v>320</v>
          </cell>
          <cell r="T737">
            <v>906.59999999999945</v>
          </cell>
          <cell r="U737">
            <v>977.82499999999891</v>
          </cell>
          <cell r="V737">
            <v>906.60000000000036</v>
          </cell>
          <cell r="W737">
            <v>1795.3606033814326</v>
          </cell>
          <cell r="X737">
            <v>2271.2749999999992</v>
          </cell>
          <cell r="Y737">
            <v>-2356.6999999999998</v>
          </cell>
        </row>
        <row r="738">
          <cell r="B738">
            <v>906.59999999999945</v>
          </cell>
          <cell r="C738">
            <v>971.34999999999945</v>
          </cell>
          <cell r="D738">
            <v>906.59999999999945</v>
          </cell>
          <cell r="E738">
            <v>-996.95000000000073</v>
          </cell>
          <cell r="F738">
            <v>-491.90000000000055</v>
          </cell>
          <cell r="G738">
            <v>-2162.4500000000007</v>
          </cell>
          <cell r="K738">
            <v>0</v>
          </cell>
          <cell r="L738">
            <v>0</v>
          </cell>
          <cell r="M738">
            <v>0</v>
          </cell>
          <cell r="N738">
            <v>233</v>
          </cell>
          <cell r="O738">
            <v>190</v>
          </cell>
          <cell r="P738">
            <v>324</v>
          </cell>
          <cell r="T738">
            <v>906.59999999999945</v>
          </cell>
          <cell r="U738">
            <v>964.87499999999909</v>
          </cell>
          <cell r="V738">
            <v>906.60000000000036</v>
          </cell>
          <cell r="W738">
            <v>2269.1999999999994</v>
          </cell>
          <cell r="X738">
            <v>2218.9999999999995</v>
          </cell>
          <cell r="Y738">
            <v>-220.51324674178841</v>
          </cell>
        </row>
        <row r="739">
          <cell r="B739">
            <v>906.59999999999945</v>
          </cell>
          <cell r="C739">
            <v>958.39999999999964</v>
          </cell>
          <cell r="D739">
            <v>906.59999999999945</v>
          </cell>
          <cell r="E739">
            <v>-1035.8000000000002</v>
          </cell>
          <cell r="F739">
            <v>-381.82500000000073</v>
          </cell>
          <cell r="G739">
            <v>-2020</v>
          </cell>
          <cell r="K739">
            <v>0</v>
          </cell>
          <cell r="L739">
            <v>0</v>
          </cell>
          <cell r="M739">
            <v>0</v>
          </cell>
          <cell r="N739">
            <v>191</v>
          </cell>
          <cell r="O739">
            <v>175</v>
          </cell>
          <cell r="P739">
            <v>313</v>
          </cell>
          <cell r="T739">
            <v>906.59999999999945</v>
          </cell>
          <cell r="U739">
            <v>926.02499999999964</v>
          </cell>
          <cell r="V739">
            <v>906.59999999999945</v>
          </cell>
          <cell r="W739">
            <v>2285.1999999999998</v>
          </cell>
          <cell r="X739">
            <v>539.66970578989299</v>
          </cell>
          <cell r="Y739">
            <v>2467.1999999999998</v>
          </cell>
        </row>
        <row r="740">
          <cell r="B740">
            <v>906.59999999999945</v>
          </cell>
          <cell r="C740">
            <v>945.44999999999891</v>
          </cell>
          <cell r="D740">
            <v>906.59999999999945</v>
          </cell>
          <cell r="E740">
            <v>-1385.4500000000007</v>
          </cell>
          <cell r="F740">
            <v>-245.85000000000036</v>
          </cell>
          <cell r="G740">
            <v>-2525.0500000000002</v>
          </cell>
          <cell r="K740">
            <v>0</v>
          </cell>
          <cell r="L740">
            <v>0</v>
          </cell>
          <cell r="M740">
            <v>0</v>
          </cell>
          <cell r="N740">
            <v>249</v>
          </cell>
          <cell r="O740">
            <v>179</v>
          </cell>
          <cell r="P740">
            <v>340</v>
          </cell>
          <cell r="T740">
            <v>906.59999999999945</v>
          </cell>
          <cell r="U740">
            <v>938.97499999999945</v>
          </cell>
          <cell r="V740">
            <v>906.59999999999945</v>
          </cell>
          <cell r="W740">
            <v>2347.1999999999989</v>
          </cell>
          <cell r="X740">
            <v>2218.8999999999992</v>
          </cell>
          <cell r="Y740">
            <v>-2188.3500000000004</v>
          </cell>
        </row>
        <row r="741">
          <cell r="B741">
            <v>906.59999999999945</v>
          </cell>
          <cell r="C741">
            <v>951.92499999999927</v>
          </cell>
          <cell r="D741">
            <v>906.59999999999945</v>
          </cell>
          <cell r="E741">
            <v>-1061.7000000000007</v>
          </cell>
          <cell r="F741">
            <v>-517.80000000000018</v>
          </cell>
          <cell r="G741">
            <v>-2291.9499999999998</v>
          </cell>
          <cell r="K741">
            <v>0</v>
          </cell>
          <cell r="L741">
            <v>0</v>
          </cell>
          <cell r="M741">
            <v>0</v>
          </cell>
          <cell r="N741">
            <v>233</v>
          </cell>
          <cell r="O741">
            <v>181</v>
          </cell>
          <cell r="P741">
            <v>340</v>
          </cell>
          <cell r="T741">
            <v>906.59999999999945</v>
          </cell>
          <cell r="U741">
            <v>945.44999999999891</v>
          </cell>
          <cell r="V741">
            <v>906.60000000000036</v>
          </cell>
          <cell r="W741">
            <v>-958.10000000000036</v>
          </cell>
          <cell r="X741">
            <v>2224.4249999999993</v>
          </cell>
          <cell r="Y741">
            <v>-2110.6500000000005</v>
          </cell>
        </row>
        <row r="742">
          <cell r="B742">
            <v>906.59999999999945</v>
          </cell>
          <cell r="C742">
            <v>977.82499999999982</v>
          </cell>
          <cell r="D742">
            <v>906.59999999999945</v>
          </cell>
          <cell r="E742">
            <v>-1048.75</v>
          </cell>
          <cell r="F742">
            <v>-485.42500000000109</v>
          </cell>
          <cell r="G742">
            <v>-2447.3500000000004</v>
          </cell>
          <cell r="K742">
            <v>0</v>
          </cell>
          <cell r="L742">
            <v>0</v>
          </cell>
          <cell r="M742">
            <v>0</v>
          </cell>
          <cell r="N742">
            <v>233</v>
          </cell>
          <cell r="O742">
            <v>177</v>
          </cell>
          <cell r="P742">
            <v>316</v>
          </cell>
          <cell r="T742">
            <v>906.59999999999945</v>
          </cell>
          <cell r="U742">
            <v>951.92499999999927</v>
          </cell>
          <cell r="V742">
            <v>906.59999999999945</v>
          </cell>
          <cell r="W742">
            <v>2263.1999999999998</v>
          </cell>
          <cell r="X742">
            <v>2281.2749999999992</v>
          </cell>
          <cell r="Y742">
            <v>1367.03104635417</v>
          </cell>
        </row>
        <row r="743">
          <cell r="B743">
            <v>906.59999999999945</v>
          </cell>
          <cell r="C743">
            <v>964.875</v>
          </cell>
          <cell r="D743">
            <v>906.59999999999945</v>
          </cell>
          <cell r="E743">
            <v>-1113.5</v>
          </cell>
          <cell r="F743">
            <v>-284.70000000000073</v>
          </cell>
          <cell r="G743">
            <v>-2253.1000000000004</v>
          </cell>
          <cell r="K743">
            <v>0</v>
          </cell>
          <cell r="L743">
            <v>0</v>
          </cell>
          <cell r="M743">
            <v>0</v>
          </cell>
          <cell r="N743">
            <v>210</v>
          </cell>
          <cell r="O743">
            <v>184</v>
          </cell>
          <cell r="P743">
            <v>324</v>
          </cell>
          <cell r="T743">
            <v>906.59999999999945</v>
          </cell>
          <cell r="U743">
            <v>958.39999999999873</v>
          </cell>
          <cell r="V743">
            <v>906.60000000000036</v>
          </cell>
          <cell r="W743">
            <v>284.69625791615726</v>
          </cell>
          <cell r="X743">
            <v>1191.7816688543348</v>
          </cell>
          <cell r="Y743">
            <v>499.461084261206</v>
          </cell>
        </row>
        <row r="744">
          <cell r="B744">
            <v>906.59999999999945</v>
          </cell>
          <cell r="C744">
            <v>964.87499999999909</v>
          </cell>
          <cell r="D744">
            <v>906.59999999999945</v>
          </cell>
          <cell r="E744">
            <v>-1035.8000000000002</v>
          </cell>
          <cell r="F744">
            <v>-440.10000000000036</v>
          </cell>
          <cell r="G744">
            <v>-2408.5</v>
          </cell>
          <cell r="K744">
            <v>0</v>
          </cell>
          <cell r="L744">
            <v>0</v>
          </cell>
          <cell r="M744">
            <v>0</v>
          </cell>
          <cell r="N744">
            <v>221</v>
          </cell>
          <cell r="O744">
            <v>163</v>
          </cell>
          <cell r="P744">
            <v>321</v>
          </cell>
          <cell r="T744">
            <v>906.59999999999945</v>
          </cell>
          <cell r="U744">
            <v>977.82499999999891</v>
          </cell>
          <cell r="V744">
            <v>906.60000000000036</v>
          </cell>
          <cell r="W744">
            <v>2123.3743512352339</v>
          </cell>
          <cell r="X744">
            <v>2293.7499999999995</v>
          </cell>
          <cell r="Y744">
            <v>2431.1999999999998</v>
          </cell>
        </row>
        <row r="745">
          <cell r="B745">
            <v>906.59999999999945</v>
          </cell>
          <cell r="C745">
            <v>958.39999999999964</v>
          </cell>
          <cell r="D745">
            <v>906.60000000000036</v>
          </cell>
          <cell r="E745">
            <v>-1502</v>
          </cell>
          <cell r="F745">
            <v>-666.72500000000036</v>
          </cell>
          <cell r="G745">
            <v>-2900.6000000000004</v>
          </cell>
          <cell r="K745">
            <v>0</v>
          </cell>
          <cell r="L745">
            <v>0</v>
          </cell>
          <cell r="M745">
            <v>0</v>
          </cell>
          <cell r="N745">
            <v>228</v>
          </cell>
          <cell r="O745">
            <v>184</v>
          </cell>
          <cell r="P745">
            <v>308</v>
          </cell>
          <cell r="T745">
            <v>906.59999999999945</v>
          </cell>
          <cell r="U745">
            <v>951.92499999999927</v>
          </cell>
          <cell r="V745">
            <v>906.59999999999945</v>
          </cell>
          <cell r="W745">
            <v>-160.26989167434374</v>
          </cell>
          <cell r="X745">
            <v>2230.9999999999995</v>
          </cell>
          <cell r="Y745">
            <v>-576.44739745427069</v>
          </cell>
        </row>
        <row r="746">
          <cell r="B746">
            <v>906.59999999999945</v>
          </cell>
          <cell r="C746">
            <v>958.39999999999964</v>
          </cell>
          <cell r="D746">
            <v>906.59999999999945</v>
          </cell>
          <cell r="E746">
            <v>-1333.6500000000005</v>
          </cell>
          <cell r="F746">
            <v>-556.64999999999964</v>
          </cell>
          <cell r="G746">
            <v>-2214.25</v>
          </cell>
          <cell r="K746">
            <v>0</v>
          </cell>
          <cell r="L746">
            <v>0</v>
          </cell>
          <cell r="M746">
            <v>0</v>
          </cell>
          <cell r="N746">
            <v>233</v>
          </cell>
          <cell r="O746">
            <v>203</v>
          </cell>
          <cell r="P746">
            <v>297</v>
          </cell>
          <cell r="T746">
            <v>906.59999999999945</v>
          </cell>
          <cell r="U746">
            <v>997.25</v>
          </cell>
          <cell r="V746">
            <v>906.59999999999945</v>
          </cell>
          <cell r="W746">
            <v>2219.1999999999994</v>
          </cell>
          <cell r="X746">
            <v>2254.5249999999992</v>
          </cell>
          <cell r="Y746">
            <v>-1800.3709959105399</v>
          </cell>
        </row>
        <row r="747">
          <cell r="B747">
            <v>906.59999999999945</v>
          </cell>
          <cell r="C747">
            <v>951.92499999999927</v>
          </cell>
          <cell r="D747">
            <v>906.60000000000036</v>
          </cell>
          <cell r="E747">
            <v>-1113.5</v>
          </cell>
          <cell r="F747">
            <v>-498.375</v>
          </cell>
          <cell r="G747">
            <v>-2486.1999999999998</v>
          </cell>
          <cell r="K747">
            <v>0</v>
          </cell>
          <cell r="L747">
            <v>0</v>
          </cell>
          <cell r="M747">
            <v>0</v>
          </cell>
          <cell r="N747">
            <v>230</v>
          </cell>
          <cell r="O747">
            <v>190</v>
          </cell>
          <cell r="P747">
            <v>344</v>
          </cell>
          <cell r="T747">
            <v>906.59999999999945</v>
          </cell>
          <cell r="U747">
            <v>1003.7249999999995</v>
          </cell>
          <cell r="V747">
            <v>906.59999999999945</v>
          </cell>
          <cell r="W747">
            <v>1865.7735092790231</v>
          </cell>
          <cell r="X747">
            <v>2259.3749999999991</v>
          </cell>
          <cell r="Y747">
            <v>-2136.1646558151856</v>
          </cell>
        </row>
        <row r="748">
          <cell r="B748">
            <v>906.59999999999945</v>
          </cell>
          <cell r="C748">
            <v>977.82499999999982</v>
          </cell>
          <cell r="D748">
            <v>906.60000000000036</v>
          </cell>
          <cell r="E748">
            <v>-1113.5</v>
          </cell>
          <cell r="F748">
            <v>-692.625</v>
          </cell>
          <cell r="G748">
            <v>-2421.4499999999998</v>
          </cell>
          <cell r="K748">
            <v>0</v>
          </cell>
          <cell r="L748">
            <v>0</v>
          </cell>
          <cell r="M748">
            <v>0</v>
          </cell>
          <cell r="N748">
            <v>245</v>
          </cell>
          <cell r="O748">
            <v>180</v>
          </cell>
          <cell r="P748">
            <v>303</v>
          </cell>
          <cell r="T748">
            <v>906.59999999999945</v>
          </cell>
          <cell r="U748">
            <v>971.35000000000036</v>
          </cell>
          <cell r="V748">
            <v>906.59999999999945</v>
          </cell>
          <cell r="W748">
            <v>2263.1999999999998</v>
          </cell>
          <cell r="X748">
            <v>2218.0499999999988</v>
          </cell>
          <cell r="Y748">
            <v>2451.1999999999998</v>
          </cell>
        </row>
        <row r="749">
          <cell r="B749">
            <v>906.59999999999945</v>
          </cell>
          <cell r="C749">
            <v>945.44999999999891</v>
          </cell>
          <cell r="D749">
            <v>906.59999999999945</v>
          </cell>
          <cell r="E749">
            <v>-1126.4500000000007</v>
          </cell>
          <cell r="F749">
            <v>-796.22500000000036</v>
          </cell>
          <cell r="G749">
            <v>-2279</v>
          </cell>
          <cell r="K749">
            <v>0</v>
          </cell>
          <cell r="L749">
            <v>0</v>
          </cell>
          <cell r="M749">
            <v>0</v>
          </cell>
          <cell r="N749">
            <v>230</v>
          </cell>
          <cell r="O749">
            <v>193</v>
          </cell>
          <cell r="P749">
            <v>306</v>
          </cell>
          <cell r="T749">
            <v>906.59999999999945</v>
          </cell>
          <cell r="U749">
            <v>958.39999999999964</v>
          </cell>
          <cell r="V749">
            <v>906.59999999999945</v>
          </cell>
          <cell r="W749">
            <v>2227.1999999999989</v>
          </cell>
          <cell r="X749">
            <v>2214.6899820484086</v>
          </cell>
          <cell r="Y749">
            <v>2210.6933283888384</v>
          </cell>
        </row>
        <row r="750">
          <cell r="B750">
            <v>906.59999999999945</v>
          </cell>
          <cell r="C750">
            <v>958.39999999999964</v>
          </cell>
          <cell r="D750">
            <v>906.59999999999945</v>
          </cell>
          <cell r="E750">
            <v>-1359.5500000000002</v>
          </cell>
          <cell r="F750">
            <v>-278.22500000000036</v>
          </cell>
          <cell r="G750">
            <v>-2602.75</v>
          </cell>
          <cell r="K750">
            <v>0</v>
          </cell>
          <cell r="L750">
            <v>0</v>
          </cell>
          <cell r="M750">
            <v>0</v>
          </cell>
          <cell r="N750">
            <v>205</v>
          </cell>
          <cell r="O750">
            <v>187</v>
          </cell>
          <cell r="P750">
            <v>302</v>
          </cell>
          <cell r="T750">
            <v>906.59999999999945</v>
          </cell>
          <cell r="U750">
            <v>997.25</v>
          </cell>
          <cell r="V750">
            <v>906.59999999999945</v>
          </cell>
          <cell r="W750">
            <v>2269.1999999999994</v>
          </cell>
          <cell r="X750">
            <v>1890.872673469004</v>
          </cell>
          <cell r="Y750">
            <v>-965.85677137387756</v>
          </cell>
        </row>
        <row r="751">
          <cell r="B751">
            <v>906.59999999999945</v>
          </cell>
          <cell r="C751">
            <v>977.82499999999982</v>
          </cell>
          <cell r="D751">
            <v>815.94999999999982</v>
          </cell>
          <cell r="E751">
            <v>-1074.6500000000005</v>
          </cell>
          <cell r="F751">
            <v>-556.64999999999964</v>
          </cell>
          <cell r="G751">
            <v>-2227.2000000000007</v>
          </cell>
          <cell r="K751">
            <v>0</v>
          </cell>
          <cell r="L751">
            <v>0</v>
          </cell>
          <cell r="M751">
            <v>0</v>
          </cell>
          <cell r="N751">
            <v>248</v>
          </cell>
          <cell r="O751">
            <v>189</v>
          </cell>
          <cell r="P751">
            <v>313</v>
          </cell>
          <cell r="T751">
            <v>906.59999999999945</v>
          </cell>
          <cell r="U751">
            <v>990.77499999999964</v>
          </cell>
          <cell r="V751">
            <v>906.60000000000036</v>
          </cell>
          <cell r="W751">
            <v>588.35657669498687</v>
          </cell>
          <cell r="X751">
            <v>2246.9999999999991</v>
          </cell>
          <cell r="Y751">
            <v>2453.1999999999998</v>
          </cell>
        </row>
        <row r="752">
          <cell r="B752">
            <v>906.59999999999945</v>
          </cell>
          <cell r="C752">
            <v>1010.1999999999998</v>
          </cell>
          <cell r="D752">
            <v>906.60000000000036</v>
          </cell>
          <cell r="E752">
            <v>-815.65000000000055</v>
          </cell>
          <cell r="F752">
            <v>-763.85000000000036</v>
          </cell>
          <cell r="G752">
            <v>-2421.4499999999998</v>
          </cell>
          <cell r="K752">
            <v>0</v>
          </cell>
          <cell r="L752">
            <v>0</v>
          </cell>
          <cell r="M752">
            <v>0</v>
          </cell>
          <cell r="N752">
            <v>227</v>
          </cell>
          <cell r="O752">
            <v>197</v>
          </cell>
          <cell r="P752">
            <v>326</v>
          </cell>
          <cell r="T752">
            <v>906.59999999999945</v>
          </cell>
          <cell r="U752">
            <v>938.97499999999945</v>
          </cell>
          <cell r="V752">
            <v>906.59999999999945</v>
          </cell>
          <cell r="W752">
            <v>2257.1999999999989</v>
          </cell>
          <cell r="X752">
            <v>2267.849999999999</v>
          </cell>
          <cell r="Y752">
            <v>-32.434739465416442</v>
          </cell>
        </row>
        <row r="753">
          <cell r="B753">
            <v>906.59999999999945</v>
          </cell>
          <cell r="C753">
            <v>958.39999999999964</v>
          </cell>
          <cell r="D753">
            <v>919.55000000000018</v>
          </cell>
          <cell r="E753">
            <v>-919.25</v>
          </cell>
          <cell r="F753">
            <v>-504.85000000000036</v>
          </cell>
          <cell r="G753">
            <v>-2175.4000000000005</v>
          </cell>
          <cell r="K753">
            <v>0</v>
          </cell>
          <cell r="L753">
            <v>0</v>
          </cell>
          <cell r="M753">
            <v>0</v>
          </cell>
          <cell r="N753">
            <v>234</v>
          </cell>
          <cell r="O753">
            <v>174</v>
          </cell>
          <cell r="P753">
            <v>278</v>
          </cell>
          <cell r="T753">
            <v>906.59999999999945</v>
          </cell>
          <cell r="U753">
            <v>938.97499999999945</v>
          </cell>
          <cell r="V753">
            <v>906.59999999999945</v>
          </cell>
          <cell r="W753">
            <v>-913.13864465086567</v>
          </cell>
          <cell r="X753">
            <v>2280.7999999999997</v>
          </cell>
          <cell r="Y753">
            <v>2439.1999999999989</v>
          </cell>
        </row>
        <row r="754">
          <cell r="B754">
            <v>906.59999999999945</v>
          </cell>
          <cell r="C754">
            <v>932.5</v>
          </cell>
          <cell r="D754">
            <v>906.59999999999945</v>
          </cell>
          <cell r="E754">
            <v>-1346.6000000000004</v>
          </cell>
          <cell r="F754">
            <v>-291.17500000000109</v>
          </cell>
          <cell r="G754">
            <v>-2525.0500000000002</v>
          </cell>
          <cell r="K754">
            <v>0</v>
          </cell>
          <cell r="L754">
            <v>0</v>
          </cell>
          <cell r="M754">
            <v>0</v>
          </cell>
          <cell r="N754">
            <v>226</v>
          </cell>
          <cell r="O754">
            <v>184</v>
          </cell>
          <cell r="P754">
            <v>331</v>
          </cell>
          <cell r="T754">
            <v>906.59999999999945</v>
          </cell>
          <cell r="U754">
            <v>984.29999999999927</v>
          </cell>
          <cell r="V754">
            <v>906.59999999999945</v>
          </cell>
          <cell r="W754">
            <v>2233.1999999999998</v>
          </cell>
          <cell r="X754">
            <v>2248.4249999999997</v>
          </cell>
          <cell r="Y754">
            <v>-897.20958848842383</v>
          </cell>
        </row>
        <row r="755">
          <cell r="B755">
            <v>906.59999999999945</v>
          </cell>
          <cell r="C755">
            <v>1023.1499999999996</v>
          </cell>
          <cell r="D755">
            <v>906.60000000000036</v>
          </cell>
          <cell r="E755">
            <v>-1307.75</v>
          </cell>
          <cell r="F755">
            <v>-524.27500000000055</v>
          </cell>
          <cell r="G755">
            <v>-2084.75</v>
          </cell>
          <cell r="K755">
            <v>0</v>
          </cell>
          <cell r="L755">
            <v>0</v>
          </cell>
          <cell r="M755">
            <v>0</v>
          </cell>
          <cell r="N755">
            <v>222</v>
          </cell>
          <cell r="O755">
            <v>182</v>
          </cell>
          <cell r="P755">
            <v>338</v>
          </cell>
          <cell r="T755">
            <v>906.59999999999945</v>
          </cell>
          <cell r="U755">
            <v>990.77499999999964</v>
          </cell>
          <cell r="V755">
            <v>906.59999999999945</v>
          </cell>
          <cell r="W755">
            <v>2303.1999999999998</v>
          </cell>
          <cell r="X755">
            <v>2238.4249999999997</v>
          </cell>
          <cell r="Y755">
            <v>1257.5195553683757</v>
          </cell>
        </row>
        <row r="756">
          <cell r="B756">
            <v>906.59999999999945</v>
          </cell>
          <cell r="C756">
            <v>990.77499999999964</v>
          </cell>
          <cell r="D756">
            <v>906.60000000000036</v>
          </cell>
          <cell r="E756">
            <v>-1113.5</v>
          </cell>
          <cell r="F756">
            <v>-653.77500000000055</v>
          </cell>
          <cell r="G756">
            <v>-2123.6000000000004</v>
          </cell>
          <cell r="K756">
            <v>0</v>
          </cell>
          <cell r="L756">
            <v>0</v>
          </cell>
          <cell r="M756">
            <v>0</v>
          </cell>
          <cell r="N756">
            <v>219</v>
          </cell>
          <cell r="O756">
            <v>168</v>
          </cell>
          <cell r="P756">
            <v>336</v>
          </cell>
          <cell r="T756">
            <v>906.59999999999945</v>
          </cell>
          <cell r="U756">
            <v>971.34999999999945</v>
          </cell>
          <cell r="V756">
            <v>906.59999999999945</v>
          </cell>
          <cell r="W756">
            <v>2237.1999999999989</v>
          </cell>
          <cell r="X756">
            <v>-316.60150575590984</v>
          </cell>
          <cell r="Y756">
            <v>-2009.3698641278147</v>
          </cell>
        </row>
        <row r="757">
          <cell r="B757">
            <v>906.59999999999945</v>
          </cell>
          <cell r="C757">
            <v>958.39999999999964</v>
          </cell>
          <cell r="D757">
            <v>906.60000000000036</v>
          </cell>
          <cell r="E757">
            <v>-1191.2000000000007</v>
          </cell>
          <cell r="F757">
            <v>-453.05000000000109</v>
          </cell>
          <cell r="G757">
            <v>-2460.3000000000002</v>
          </cell>
          <cell r="K757">
            <v>0</v>
          </cell>
          <cell r="L757">
            <v>0</v>
          </cell>
          <cell r="M757">
            <v>0</v>
          </cell>
          <cell r="N757">
            <v>221</v>
          </cell>
          <cell r="O757">
            <v>151</v>
          </cell>
          <cell r="P757">
            <v>309</v>
          </cell>
          <cell r="T757">
            <v>906.59999999999945</v>
          </cell>
          <cell r="U757">
            <v>964.875</v>
          </cell>
          <cell r="V757">
            <v>906.59999999999945</v>
          </cell>
          <cell r="W757">
            <v>2295.1999999999998</v>
          </cell>
          <cell r="X757">
            <v>-589.02500000000055</v>
          </cell>
          <cell r="Y757">
            <v>2088.5193623670903</v>
          </cell>
        </row>
        <row r="758">
          <cell r="B758">
            <v>906.59999999999945</v>
          </cell>
          <cell r="C758">
            <v>971.35000000000036</v>
          </cell>
          <cell r="D758">
            <v>906.59999999999945</v>
          </cell>
          <cell r="E758">
            <v>-1385.4500000000007</v>
          </cell>
          <cell r="F758">
            <v>-582.55000000000018</v>
          </cell>
          <cell r="G758">
            <v>-2512.1000000000004</v>
          </cell>
          <cell r="K758">
            <v>0</v>
          </cell>
          <cell r="L758">
            <v>0</v>
          </cell>
          <cell r="M758">
            <v>0</v>
          </cell>
          <cell r="N758">
            <v>229</v>
          </cell>
          <cell r="O758">
            <v>182</v>
          </cell>
          <cell r="P758">
            <v>309</v>
          </cell>
          <cell r="T758">
            <v>906.59999999999945</v>
          </cell>
          <cell r="U758">
            <v>1010.1999999999998</v>
          </cell>
          <cell r="V758">
            <v>906.59999999999945</v>
          </cell>
          <cell r="W758">
            <v>2225.1999999999998</v>
          </cell>
          <cell r="X758">
            <v>2245.9499999999994</v>
          </cell>
          <cell r="Y758">
            <v>170.24136386837017</v>
          </cell>
        </row>
        <row r="759">
          <cell r="B759">
            <v>906.59999999999945</v>
          </cell>
          <cell r="C759">
            <v>958.39999999999873</v>
          </cell>
          <cell r="D759">
            <v>906.59999999999945</v>
          </cell>
          <cell r="E759">
            <v>-1346.6000000000004</v>
          </cell>
          <cell r="F759">
            <v>-245.85000000000036</v>
          </cell>
          <cell r="G759">
            <v>-2097.7000000000007</v>
          </cell>
          <cell r="K759">
            <v>0</v>
          </cell>
          <cell r="L759">
            <v>0</v>
          </cell>
          <cell r="M759">
            <v>0</v>
          </cell>
          <cell r="N759">
            <v>225</v>
          </cell>
          <cell r="O759">
            <v>183</v>
          </cell>
          <cell r="P759">
            <v>324</v>
          </cell>
          <cell r="T759">
            <v>906.59999999999945</v>
          </cell>
          <cell r="U759">
            <v>958.39999999999964</v>
          </cell>
          <cell r="V759">
            <v>906.59999999999945</v>
          </cell>
          <cell r="W759">
            <v>2227.1999999999989</v>
          </cell>
          <cell r="X759">
            <v>2255.9499999999994</v>
          </cell>
          <cell r="Y759">
            <v>2433.1999999999998</v>
          </cell>
        </row>
        <row r="760">
          <cell r="B760">
            <v>906.59999999999945</v>
          </cell>
          <cell r="C760">
            <v>932.5</v>
          </cell>
          <cell r="D760">
            <v>906.60000000000036</v>
          </cell>
          <cell r="E760">
            <v>-1333.6500000000005</v>
          </cell>
          <cell r="F760">
            <v>-498.375</v>
          </cell>
          <cell r="G760">
            <v>-2330.8000000000002</v>
          </cell>
          <cell r="K760">
            <v>0</v>
          </cell>
          <cell r="L760">
            <v>0</v>
          </cell>
          <cell r="M760">
            <v>0</v>
          </cell>
          <cell r="N760">
            <v>224</v>
          </cell>
          <cell r="O760">
            <v>167</v>
          </cell>
          <cell r="P760">
            <v>312</v>
          </cell>
          <cell r="T760">
            <v>906.59999999999945</v>
          </cell>
          <cell r="U760">
            <v>984.29999999999927</v>
          </cell>
          <cell r="V760">
            <v>906.59999999999945</v>
          </cell>
          <cell r="W760">
            <v>2285.1999999999998</v>
          </cell>
          <cell r="X760">
            <v>2227.4749999999999</v>
          </cell>
          <cell r="Y760">
            <v>2495.1999999999998</v>
          </cell>
        </row>
        <row r="761">
          <cell r="B761">
            <v>906.59999999999945</v>
          </cell>
          <cell r="C761">
            <v>964.875</v>
          </cell>
          <cell r="D761">
            <v>906.60000000000036</v>
          </cell>
          <cell r="E761">
            <v>-1281.8500000000004</v>
          </cell>
          <cell r="F761">
            <v>-71.024999999999636</v>
          </cell>
          <cell r="G761">
            <v>-2201.3000000000002</v>
          </cell>
          <cell r="K761">
            <v>0</v>
          </cell>
          <cell r="L761">
            <v>0</v>
          </cell>
          <cell r="M761">
            <v>0</v>
          </cell>
          <cell r="N761">
            <v>227</v>
          </cell>
          <cell r="O761">
            <v>195</v>
          </cell>
          <cell r="P761">
            <v>314</v>
          </cell>
          <cell r="T761">
            <v>906.59999999999945</v>
          </cell>
          <cell r="U761">
            <v>984.29999999999927</v>
          </cell>
          <cell r="V761">
            <v>906.59999999999945</v>
          </cell>
          <cell r="W761">
            <v>2307.1999999999989</v>
          </cell>
          <cell r="X761">
            <v>2238.3961194480949</v>
          </cell>
          <cell r="Y761">
            <v>-2279</v>
          </cell>
        </row>
        <row r="762">
          <cell r="B762">
            <v>906.59999999999945</v>
          </cell>
          <cell r="C762">
            <v>977.82499999999891</v>
          </cell>
          <cell r="D762">
            <v>906.59999999999945</v>
          </cell>
          <cell r="E762">
            <v>-984</v>
          </cell>
          <cell r="F762">
            <v>-524.27499999999964</v>
          </cell>
          <cell r="G762">
            <v>-2382.6000000000004</v>
          </cell>
          <cell r="K762">
            <v>0</v>
          </cell>
          <cell r="L762">
            <v>0</v>
          </cell>
          <cell r="M762">
            <v>0</v>
          </cell>
          <cell r="N762">
            <v>200</v>
          </cell>
          <cell r="O762">
            <v>181</v>
          </cell>
          <cell r="P762">
            <v>331</v>
          </cell>
          <cell r="T762">
            <v>906.59999999999945</v>
          </cell>
          <cell r="U762">
            <v>997.24999999999909</v>
          </cell>
          <cell r="V762">
            <v>908.59999999999968</v>
          </cell>
          <cell r="W762">
            <v>753.93815987488597</v>
          </cell>
          <cell r="X762">
            <v>1521.7971208879369</v>
          </cell>
          <cell r="Y762">
            <v>2427.1999999999989</v>
          </cell>
        </row>
        <row r="763">
          <cell r="B763">
            <v>906.59999999999945</v>
          </cell>
          <cell r="C763">
            <v>984.30000000000018</v>
          </cell>
          <cell r="D763">
            <v>906.60000000000036</v>
          </cell>
          <cell r="E763">
            <v>-1009.9000000000005</v>
          </cell>
          <cell r="F763">
            <v>-640.82500000000073</v>
          </cell>
          <cell r="G763">
            <v>-2317.8500000000004</v>
          </cell>
          <cell r="K763">
            <v>0</v>
          </cell>
          <cell r="L763">
            <v>0</v>
          </cell>
          <cell r="M763">
            <v>0</v>
          </cell>
          <cell r="N763">
            <v>217</v>
          </cell>
          <cell r="O763">
            <v>170</v>
          </cell>
          <cell r="P763">
            <v>305</v>
          </cell>
          <cell r="T763">
            <v>906.59999999999945</v>
          </cell>
          <cell r="U763">
            <v>971.35000000000036</v>
          </cell>
          <cell r="V763">
            <v>906.59999999999945</v>
          </cell>
          <cell r="W763">
            <v>1010.5825522003224</v>
          </cell>
          <cell r="X763">
            <v>2202.9999999999995</v>
          </cell>
          <cell r="Y763">
            <v>2461.1999999999998</v>
          </cell>
        </row>
        <row r="764">
          <cell r="B764">
            <v>906.59999999999945</v>
          </cell>
          <cell r="C764">
            <v>964.875</v>
          </cell>
          <cell r="D764">
            <v>906.60000000000036</v>
          </cell>
          <cell r="E764">
            <v>-1139.4000000000005</v>
          </cell>
          <cell r="F764">
            <v>-232.89999999999964</v>
          </cell>
          <cell r="G764">
            <v>-2149.5</v>
          </cell>
          <cell r="K764">
            <v>0</v>
          </cell>
          <cell r="L764">
            <v>0</v>
          </cell>
          <cell r="M764">
            <v>0</v>
          </cell>
          <cell r="N764">
            <v>233</v>
          </cell>
          <cell r="O764">
            <v>170</v>
          </cell>
          <cell r="P764">
            <v>343</v>
          </cell>
          <cell r="T764">
            <v>906.59999999999945</v>
          </cell>
          <cell r="U764">
            <v>984.30000000000018</v>
          </cell>
          <cell r="V764">
            <v>906.59999999999945</v>
          </cell>
          <cell r="W764">
            <v>2275.1999999999998</v>
          </cell>
          <cell r="X764">
            <v>2265.8499999999995</v>
          </cell>
          <cell r="Y764">
            <v>915.85559958293243</v>
          </cell>
        </row>
        <row r="765">
          <cell r="B765">
            <v>906.59999999999945</v>
          </cell>
          <cell r="C765">
            <v>964.87499999999909</v>
          </cell>
          <cell r="D765">
            <v>906.60000000000036</v>
          </cell>
          <cell r="E765">
            <v>-919.25</v>
          </cell>
          <cell r="F765">
            <v>-511.32500000000073</v>
          </cell>
          <cell r="G765">
            <v>-2240.1500000000005</v>
          </cell>
          <cell r="K765">
            <v>0</v>
          </cell>
          <cell r="L765">
            <v>0</v>
          </cell>
          <cell r="M765">
            <v>0</v>
          </cell>
          <cell r="N765">
            <v>222</v>
          </cell>
          <cell r="O765">
            <v>186</v>
          </cell>
          <cell r="P765">
            <v>331</v>
          </cell>
          <cell r="T765">
            <v>906.59999999999945</v>
          </cell>
          <cell r="U765">
            <v>971.35000000000036</v>
          </cell>
          <cell r="V765">
            <v>906.59999999999945</v>
          </cell>
          <cell r="W765">
            <v>2299.1999999999994</v>
          </cell>
          <cell r="X765">
            <v>2232.5250000000001</v>
          </cell>
          <cell r="Y765">
            <v>1885.4041759348192</v>
          </cell>
        </row>
        <row r="766">
          <cell r="B766">
            <v>906.59999999999945</v>
          </cell>
          <cell r="C766">
            <v>971.34999999999854</v>
          </cell>
          <cell r="D766">
            <v>919.55000000000018</v>
          </cell>
          <cell r="E766">
            <v>-802.70000000000073</v>
          </cell>
          <cell r="F766">
            <v>-245.85000000000036</v>
          </cell>
          <cell r="G766">
            <v>-2447.3500000000004</v>
          </cell>
          <cell r="K766">
            <v>0</v>
          </cell>
          <cell r="L766">
            <v>0</v>
          </cell>
          <cell r="M766">
            <v>0</v>
          </cell>
          <cell r="N766">
            <v>207</v>
          </cell>
          <cell r="O766">
            <v>193</v>
          </cell>
          <cell r="P766">
            <v>313</v>
          </cell>
          <cell r="T766">
            <v>906.59999999999945</v>
          </cell>
          <cell r="U766">
            <v>958.39999999999964</v>
          </cell>
          <cell r="V766">
            <v>906.59999999999945</v>
          </cell>
          <cell r="W766">
            <v>2225.1999999999998</v>
          </cell>
          <cell r="X766">
            <v>154.88499777934089</v>
          </cell>
          <cell r="Y766">
            <v>2457.1999999999998</v>
          </cell>
        </row>
        <row r="767">
          <cell r="B767">
            <v>906.59999999999945</v>
          </cell>
          <cell r="C767">
            <v>964.87499999999909</v>
          </cell>
          <cell r="D767">
            <v>906.59999999999945</v>
          </cell>
          <cell r="E767">
            <v>-1022.8500000000004</v>
          </cell>
          <cell r="F767">
            <v>-576.07500000000073</v>
          </cell>
          <cell r="G767">
            <v>-2434.4000000000005</v>
          </cell>
          <cell r="K767">
            <v>0</v>
          </cell>
          <cell r="L767">
            <v>0</v>
          </cell>
          <cell r="M767">
            <v>0</v>
          </cell>
          <cell r="N767">
            <v>238</v>
          </cell>
          <cell r="O767">
            <v>176</v>
          </cell>
          <cell r="P767">
            <v>309</v>
          </cell>
          <cell r="T767">
            <v>906.59999999999945</v>
          </cell>
          <cell r="U767">
            <v>951.92499999999927</v>
          </cell>
          <cell r="V767">
            <v>906.60000000000036</v>
          </cell>
          <cell r="W767">
            <v>2283.1999999999998</v>
          </cell>
          <cell r="X767">
            <v>2227.4749999999999</v>
          </cell>
          <cell r="Y767">
            <v>504.38670780857137</v>
          </cell>
        </row>
        <row r="768">
          <cell r="B768">
            <v>906.59999999999945</v>
          </cell>
          <cell r="C768">
            <v>990.77499999999873</v>
          </cell>
          <cell r="D768">
            <v>906.59999999999945</v>
          </cell>
          <cell r="E768">
            <v>-880.40000000000055</v>
          </cell>
          <cell r="F768">
            <v>-491.90000000000055</v>
          </cell>
          <cell r="G768">
            <v>-2304.9000000000005</v>
          </cell>
          <cell r="K768">
            <v>0</v>
          </cell>
          <cell r="L768">
            <v>0</v>
          </cell>
          <cell r="M768">
            <v>0</v>
          </cell>
          <cell r="N768">
            <v>209</v>
          </cell>
          <cell r="O768">
            <v>179</v>
          </cell>
          <cell r="P768">
            <v>314</v>
          </cell>
          <cell r="T768">
            <v>906.59999999999945</v>
          </cell>
          <cell r="U768">
            <v>971.34999999999945</v>
          </cell>
          <cell r="V768">
            <v>906.59999999999945</v>
          </cell>
          <cell r="W768">
            <v>1021.6352958247576</v>
          </cell>
          <cell r="X768">
            <v>2254.4249999999993</v>
          </cell>
          <cell r="Y768">
            <v>2459.1999999999989</v>
          </cell>
        </row>
        <row r="769">
          <cell r="B769">
            <v>906.59999999999945</v>
          </cell>
          <cell r="C769">
            <v>990.77499999999964</v>
          </cell>
          <cell r="D769">
            <v>906.59999999999945</v>
          </cell>
          <cell r="E769">
            <v>-1281.8500000000004</v>
          </cell>
          <cell r="F769">
            <v>-478.95000000000073</v>
          </cell>
          <cell r="G769">
            <v>-2149.5</v>
          </cell>
          <cell r="K769">
            <v>0</v>
          </cell>
          <cell r="L769">
            <v>0</v>
          </cell>
          <cell r="M769">
            <v>0</v>
          </cell>
          <cell r="N769">
            <v>228</v>
          </cell>
          <cell r="O769">
            <v>186</v>
          </cell>
          <cell r="P769">
            <v>325</v>
          </cell>
          <cell r="T769">
            <v>906.59999999999945</v>
          </cell>
          <cell r="U769">
            <v>958.39999999999873</v>
          </cell>
          <cell r="V769">
            <v>914.60000000000014</v>
          </cell>
          <cell r="W769">
            <v>2257.1999999999989</v>
          </cell>
          <cell r="X769">
            <v>2250.4249999999988</v>
          </cell>
          <cell r="Y769">
            <v>-1120.4881210271178</v>
          </cell>
        </row>
        <row r="770">
          <cell r="B770">
            <v>906.59999999999945</v>
          </cell>
          <cell r="C770">
            <v>958.39999999999964</v>
          </cell>
          <cell r="D770">
            <v>906.59999999999945</v>
          </cell>
          <cell r="E770">
            <v>-996.95000000000073</v>
          </cell>
          <cell r="F770">
            <v>-524.27500000000055</v>
          </cell>
          <cell r="G770">
            <v>-2240.1500000000005</v>
          </cell>
          <cell r="K770">
            <v>0</v>
          </cell>
          <cell r="L770">
            <v>0</v>
          </cell>
          <cell r="M770">
            <v>0</v>
          </cell>
          <cell r="N770">
            <v>221</v>
          </cell>
          <cell r="O770">
            <v>173</v>
          </cell>
          <cell r="P770">
            <v>320</v>
          </cell>
          <cell r="T770">
            <v>906.59999999999945</v>
          </cell>
          <cell r="U770">
            <v>958.39999999999873</v>
          </cell>
          <cell r="V770">
            <v>906.59999999999945</v>
          </cell>
          <cell r="W770">
            <v>-736.2828179878328</v>
          </cell>
          <cell r="X770">
            <v>2262.4249999999997</v>
          </cell>
          <cell r="Y770">
            <v>148.36986812668283</v>
          </cell>
        </row>
        <row r="771">
          <cell r="B771">
            <v>906.59999999999945</v>
          </cell>
          <cell r="C771">
            <v>958.39999999999964</v>
          </cell>
          <cell r="D771">
            <v>906.59999999999945</v>
          </cell>
          <cell r="E771">
            <v>-1061.7000000000007</v>
          </cell>
          <cell r="F771">
            <v>-524.27499999999964</v>
          </cell>
          <cell r="G771">
            <v>-2240.1500000000005</v>
          </cell>
          <cell r="K771">
            <v>0</v>
          </cell>
          <cell r="L771">
            <v>0</v>
          </cell>
          <cell r="M771">
            <v>0</v>
          </cell>
          <cell r="N771">
            <v>232</v>
          </cell>
          <cell r="O771">
            <v>164</v>
          </cell>
          <cell r="P771">
            <v>341</v>
          </cell>
          <cell r="T771">
            <v>906.59999999999945</v>
          </cell>
          <cell r="U771">
            <v>951.92499999999927</v>
          </cell>
          <cell r="V771">
            <v>906.59999999999945</v>
          </cell>
          <cell r="W771">
            <v>1501.0142637027629</v>
          </cell>
          <cell r="X771">
            <v>2213.099999999999</v>
          </cell>
          <cell r="Y771">
            <v>-621.03108750908655</v>
          </cell>
        </row>
        <row r="772">
          <cell r="B772">
            <v>906.59999999999945</v>
          </cell>
          <cell r="C772">
            <v>971.34999999999945</v>
          </cell>
          <cell r="D772">
            <v>906.59999999999945</v>
          </cell>
          <cell r="E772">
            <v>-1087.6000000000004</v>
          </cell>
          <cell r="F772">
            <v>-796.22500000000036</v>
          </cell>
          <cell r="G772">
            <v>-2253.1000000000004</v>
          </cell>
          <cell r="K772">
            <v>0</v>
          </cell>
          <cell r="L772">
            <v>0</v>
          </cell>
          <cell r="M772">
            <v>0</v>
          </cell>
          <cell r="N772">
            <v>217</v>
          </cell>
          <cell r="O772">
            <v>186</v>
          </cell>
          <cell r="P772">
            <v>332</v>
          </cell>
          <cell r="T772">
            <v>906.59999999999945</v>
          </cell>
          <cell r="U772">
            <v>971.34999999999945</v>
          </cell>
          <cell r="V772">
            <v>906.59999999999945</v>
          </cell>
          <cell r="W772">
            <v>2219.1999999999994</v>
          </cell>
          <cell r="X772">
            <v>2131.7881311273718</v>
          </cell>
          <cell r="Y772">
            <v>2471.1999999999998</v>
          </cell>
        </row>
        <row r="773">
          <cell r="B773">
            <v>906.59999999999945</v>
          </cell>
          <cell r="C773">
            <v>964.87499999999909</v>
          </cell>
          <cell r="D773">
            <v>906.60000000000036</v>
          </cell>
          <cell r="E773">
            <v>-1113.5</v>
          </cell>
          <cell r="F773">
            <v>-712.05000000000109</v>
          </cell>
          <cell r="G773">
            <v>-2408.5</v>
          </cell>
          <cell r="K773">
            <v>0</v>
          </cell>
          <cell r="L773">
            <v>0</v>
          </cell>
          <cell r="M773">
            <v>0</v>
          </cell>
          <cell r="N773">
            <v>206</v>
          </cell>
          <cell r="O773">
            <v>169</v>
          </cell>
          <cell r="P773">
            <v>314</v>
          </cell>
          <cell r="T773">
            <v>906.59999999999945</v>
          </cell>
          <cell r="U773">
            <v>1023.1499999999987</v>
          </cell>
          <cell r="V773">
            <v>906.59999999999945</v>
          </cell>
          <cell r="W773">
            <v>-1100.5500000000002</v>
          </cell>
          <cell r="X773">
            <v>2232.8999999999996</v>
          </cell>
          <cell r="Y773">
            <v>2431.1999999999998</v>
          </cell>
        </row>
        <row r="774">
          <cell r="B774">
            <v>906.59999999999945</v>
          </cell>
          <cell r="C774">
            <v>997.24999999999909</v>
          </cell>
          <cell r="D774">
            <v>906.59999999999945</v>
          </cell>
          <cell r="E774">
            <v>-1126.4500000000007</v>
          </cell>
          <cell r="F774">
            <v>-660.25</v>
          </cell>
          <cell r="G774">
            <v>-2369.6500000000005</v>
          </cell>
          <cell r="K774">
            <v>0</v>
          </cell>
          <cell r="L774">
            <v>0</v>
          </cell>
          <cell r="M774">
            <v>0</v>
          </cell>
          <cell r="N774">
            <v>240</v>
          </cell>
          <cell r="O774">
            <v>153</v>
          </cell>
          <cell r="P774">
            <v>320</v>
          </cell>
          <cell r="T774">
            <v>906.59999999999945</v>
          </cell>
          <cell r="U774">
            <v>997.24999999999909</v>
          </cell>
          <cell r="V774">
            <v>906.59999999999945</v>
          </cell>
          <cell r="W774">
            <v>2231.1999999999994</v>
          </cell>
          <cell r="X774">
            <v>2226.9999999999991</v>
          </cell>
          <cell r="Y774">
            <v>1796.8409901961613</v>
          </cell>
        </row>
        <row r="775">
          <cell r="B775">
            <v>906.59999999999945</v>
          </cell>
          <cell r="C775">
            <v>984.30000000000018</v>
          </cell>
          <cell r="D775">
            <v>906.59999999999945</v>
          </cell>
          <cell r="E775">
            <v>-1333.6500000000005</v>
          </cell>
          <cell r="F775">
            <v>-478.95000000000073</v>
          </cell>
          <cell r="G775">
            <v>-2680.45</v>
          </cell>
          <cell r="K775">
            <v>0</v>
          </cell>
          <cell r="L775">
            <v>0</v>
          </cell>
          <cell r="M775">
            <v>0</v>
          </cell>
          <cell r="N775">
            <v>219</v>
          </cell>
          <cell r="O775">
            <v>161</v>
          </cell>
          <cell r="P775">
            <v>316</v>
          </cell>
          <cell r="T775">
            <v>906.59999999999945</v>
          </cell>
          <cell r="U775">
            <v>1016.6749999999993</v>
          </cell>
          <cell r="V775">
            <v>906.60000000000036</v>
          </cell>
          <cell r="W775">
            <v>2267.1999999999989</v>
          </cell>
          <cell r="X775">
            <v>2170.0499999999997</v>
          </cell>
          <cell r="Y775">
            <v>2487.1999999999998</v>
          </cell>
        </row>
        <row r="776">
          <cell r="B776">
            <v>906.59999999999945</v>
          </cell>
          <cell r="C776">
            <v>945.44999999999982</v>
          </cell>
          <cell r="D776">
            <v>906.59999999999945</v>
          </cell>
          <cell r="E776">
            <v>-1100.5500000000002</v>
          </cell>
          <cell r="F776">
            <v>-440.10000000000036</v>
          </cell>
          <cell r="G776">
            <v>-2279</v>
          </cell>
          <cell r="K776">
            <v>0</v>
          </cell>
          <cell r="L776">
            <v>0</v>
          </cell>
          <cell r="M776">
            <v>0</v>
          </cell>
          <cell r="N776">
            <v>210</v>
          </cell>
          <cell r="O776">
            <v>194</v>
          </cell>
          <cell r="P776">
            <v>337</v>
          </cell>
          <cell r="T776">
            <v>906.59999999999945</v>
          </cell>
          <cell r="U776">
            <v>951.92499999999927</v>
          </cell>
          <cell r="V776">
            <v>906.59999999999945</v>
          </cell>
          <cell r="W776">
            <v>1118.6407500150085</v>
          </cell>
          <cell r="X776">
            <v>2289.3749999999991</v>
          </cell>
          <cell r="Y776">
            <v>2477.1999999999998</v>
          </cell>
        </row>
        <row r="777">
          <cell r="B777">
            <v>906.59999999999945</v>
          </cell>
          <cell r="C777">
            <v>964.87499999999909</v>
          </cell>
          <cell r="D777">
            <v>906.60000000000036</v>
          </cell>
          <cell r="E777">
            <v>-763.85000000000036</v>
          </cell>
          <cell r="F777">
            <v>-660.25</v>
          </cell>
          <cell r="G777">
            <v>-2512.1000000000004</v>
          </cell>
          <cell r="K777">
            <v>0</v>
          </cell>
          <cell r="L777">
            <v>0</v>
          </cell>
          <cell r="M777">
            <v>8</v>
          </cell>
          <cell r="N777">
            <v>237</v>
          </cell>
          <cell r="O777">
            <v>169</v>
          </cell>
          <cell r="P777">
            <v>321</v>
          </cell>
          <cell r="T777">
            <v>906.59999999999945</v>
          </cell>
          <cell r="U777">
            <v>1003.7249999999995</v>
          </cell>
          <cell r="V777">
            <v>906.59999999999945</v>
          </cell>
          <cell r="W777">
            <v>1233.0544127285207</v>
          </cell>
          <cell r="X777">
            <v>-595.5</v>
          </cell>
          <cell r="Y777">
            <v>2025.2523360931245</v>
          </cell>
        </row>
        <row r="778">
          <cell r="B778">
            <v>906.59999999999945</v>
          </cell>
          <cell r="C778">
            <v>1010.1999999999989</v>
          </cell>
          <cell r="D778">
            <v>906.60000000000036</v>
          </cell>
          <cell r="E778">
            <v>-1243</v>
          </cell>
          <cell r="F778">
            <v>-472.47500000000036</v>
          </cell>
          <cell r="G778">
            <v>-2253.1000000000004</v>
          </cell>
          <cell r="K778">
            <v>0</v>
          </cell>
          <cell r="L778">
            <v>0</v>
          </cell>
          <cell r="M778">
            <v>0</v>
          </cell>
          <cell r="N778">
            <v>236</v>
          </cell>
          <cell r="O778">
            <v>177</v>
          </cell>
          <cell r="P778">
            <v>333</v>
          </cell>
          <cell r="T778">
            <v>906.59999999999945</v>
          </cell>
          <cell r="U778">
            <v>964.87499999999909</v>
          </cell>
          <cell r="V778">
            <v>906.59999999999945</v>
          </cell>
          <cell r="W778">
            <v>2225.1999999999998</v>
          </cell>
          <cell r="X778">
            <v>2221.9499999999994</v>
          </cell>
          <cell r="Y778">
            <v>2485.1999999999998</v>
          </cell>
        </row>
        <row r="779">
          <cell r="B779">
            <v>906.59999999999945</v>
          </cell>
          <cell r="C779">
            <v>997.24999999999909</v>
          </cell>
          <cell r="D779">
            <v>777.09999999999945</v>
          </cell>
          <cell r="E779">
            <v>-1359.5500000000002</v>
          </cell>
          <cell r="F779">
            <v>-472.47500000000036</v>
          </cell>
          <cell r="G779">
            <v>-2369.6500000000005</v>
          </cell>
          <cell r="K779">
            <v>0</v>
          </cell>
          <cell r="L779">
            <v>0</v>
          </cell>
          <cell r="M779">
            <v>0</v>
          </cell>
          <cell r="N779">
            <v>222</v>
          </cell>
          <cell r="O779">
            <v>171</v>
          </cell>
          <cell r="P779">
            <v>318</v>
          </cell>
          <cell r="T779">
            <v>906.59999999999945</v>
          </cell>
          <cell r="U779">
            <v>977.82499999999982</v>
          </cell>
          <cell r="V779">
            <v>906.60000000000036</v>
          </cell>
          <cell r="W779">
            <v>2241.1999999999994</v>
          </cell>
          <cell r="X779">
            <v>-504.85000000000036</v>
          </cell>
          <cell r="Y779">
            <v>2477.1999999999998</v>
          </cell>
        </row>
        <row r="780">
          <cell r="B780">
            <v>906.59999999999945</v>
          </cell>
          <cell r="C780">
            <v>990.77499999999964</v>
          </cell>
          <cell r="D780">
            <v>919.55000000000018</v>
          </cell>
          <cell r="E780">
            <v>-1048.75</v>
          </cell>
          <cell r="F780">
            <v>-330.02500000000055</v>
          </cell>
          <cell r="G780">
            <v>-2576.8500000000004</v>
          </cell>
          <cell r="K780">
            <v>0</v>
          </cell>
          <cell r="L780">
            <v>0</v>
          </cell>
          <cell r="M780">
            <v>0</v>
          </cell>
          <cell r="N780">
            <v>235</v>
          </cell>
          <cell r="O780">
            <v>195</v>
          </cell>
          <cell r="P780">
            <v>316</v>
          </cell>
          <cell r="T780">
            <v>906.59999999999945</v>
          </cell>
          <cell r="U780">
            <v>990.77499999999964</v>
          </cell>
          <cell r="V780">
            <v>906.60000000000036</v>
          </cell>
          <cell r="W780">
            <v>-449.24333587436615</v>
          </cell>
          <cell r="X780">
            <v>2263.8500000000004</v>
          </cell>
          <cell r="Y780">
            <v>2429.1999999999989</v>
          </cell>
        </row>
        <row r="781">
          <cell r="B781">
            <v>906.59999999999945</v>
          </cell>
          <cell r="C781">
            <v>997.25</v>
          </cell>
          <cell r="D781">
            <v>906.59999999999945</v>
          </cell>
          <cell r="E781">
            <v>-984</v>
          </cell>
          <cell r="F781">
            <v>-556.65000000000055</v>
          </cell>
          <cell r="G781">
            <v>-2343.75</v>
          </cell>
          <cell r="K781">
            <v>0</v>
          </cell>
          <cell r="L781">
            <v>0</v>
          </cell>
          <cell r="M781">
            <v>0</v>
          </cell>
          <cell r="N781">
            <v>218</v>
          </cell>
          <cell r="O781">
            <v>173</v>
          </cell>
          <cell r="P781">
            <v>300</v>
          </cell>
          <cell r="T781">
            <v>906.59999999999945</v>
          </cell>
          <cell r="U781">
            <v>997.25</v>
          </cell>
          <cell r="V781">
            <v>906.59999999999945</v>
          </cell>
          <cell r="W781">
            <v>2285.1999999999998</v>
          </cell>
          <cell r="X781">
            <v>1669.6639869634155</v>
          </cell>
          <cell r="Y781">
            <v>861.60396211434681</v>
          </cell>
        </row>
        <row r="782">
          <cell r="B782">
            <v>906.59999999999945</v>
          </cell>
          <cell r="C782">
            <v>938.97500000000036</v>
          </cell>
          <cell r="D782">
            <v>906.60000000000036</v>
          </cell>
          <cell r="E782">
            <v>-1178.25</v>
          </cell>
          <cell r="F782">
            <v>-323.55000000000018</v>
          </cell>
          <cell r="G782">
            <v>-2460.3000000000002</v>
          </cell>
          <cell r="K782">
            <v>0</v>
          </cell>
          <cell r="L782">
            <v>0</v>
          </cell>
          <cell r="M782">
            <v>0</v>
          </cell>
          <cell r="N782">
            <v>238</v>
          </cell>
          <cell r="O782">
            <v>201</v>
          </cell>
          <cell r="P782">
            <v>297</v>
          </cell>
          <cell r="T782">
            <v>906.59999999999945</v>
          </cell>
          <cell r="U782">
            <v>938.97499999999945</v>
          </cell>
          <cell r="V782">
            <v>906.59999999999945</v>
          </cell>
          <cell r="W782">
            <v>2297.1999999999989</v>
          </cell>
          <cell r="X782">
            <v>2228.9999999999995</v>
          </cell>
          <cell r="Y782">
            <v>-2304.9000000000005</v>
          </cell>
        </row>
        <row r="783">
          <cell r="B783">
            <v>906.59999999999945</v>
          </cell>
          <cell r="C783">
            <v>1029.625</v>
          </cell>
          <cell r="D783">
            <v>906.59999999999945</v>
          </cell>
          <cell r="E783">
            <v>-1087.6000000000004</v>
          </cell>
          <cell r="F783">
            <v>-330.02500000000055</v>
          </cell>
          <cell r="G783">
            <v>-2045.9000000000005</v>
          </cell>
          <cell r="K783">
            <v>0</v>
          </cell>
          <cell r="L783">
            <v>0</v>
          </cell>
          <cell r="M783">
            <v>0</v>
          </cell>
          <cell r="N783">
            <v>225</v>
          </cell>
          <cell r="O783">
            <v>177</v>
          </cell>
          <cell r="P783">
            <v>319</v>
          </cell>
          <cell r="T783">
            <v>906.59999999999945</v>
          </cell>
          <cell r="U783">
            <v>1010.1999999999998</v>
          </cell>
          <cell r="V783">
            <v>906.59999999999945</v>
          </cell>
          <cell r="W783">
            <v>804.40132780969793</v>
          </cell>
          <cell r="X783">
            <v>2245.9499999999994</v>
          </cell>
          <cell r="Y783">
            <v>2485.1999999999998</v>
          </cell>
        </row>
        <row r="784">
          <cell r="B784">
            <v>906.59999999999945</v>
          </cell>
          <cell r="C784">
            <v>971.34999999999945</v>
          </cell>
          <cell r="D784">
            <v>906.60000000000036</v>
          </cell>
          <cell r="E784">
            <v>-1217.1000000000004</v>
          </cell>
          <cell r="F784">
            <v>-563.125</v>
          </cell>
          <cell r="G784">
            <v>-2395.5500000000002</v>
          </cell>
          <cell r="K784">
            <v>0</v>
          </cell>
          <cell r="L784">
            <v>0</v>
          </cell>
          <cell r="M784">
            <v>0</v>
          </cell>
          <cell r="N784">
            <v>217</v>
          </cell>
          <cell r="O784">
            <v>171</v>
          </cell>
          <cell r="P784">
            <v>346</v>
          </cell>
          <cell r="T784">
            <v>906.59999999999945</v>
          </cell>
          <cell r="U784">
            <v>1010.1999999999989</v>
          </cell>
          <cell r="V784">
            <v>906.59999999999945</v>
          </cell>
          <cell r="W784">
            <v>2263.1999999999998</v>
          </cell>
          <cell r="X784">
            <v>-466</v>
          </cell>
          <cell r="Y784">
            <v>2457.1999999999998</v>
          </cell>
        </row>
        <row r="785">
          <cell r="B785">
            <v>906.59999999999945</v>
          </cell>
          <cell r="C785">
            <v>984.30000000000018</v>
          </cell>
          <cell r="D785">
            <v>906.59999999999945</v>
          </cell>
          <cell r="E785">
            <v>-1048.75</v>
          </cell>
          <cell r="F785">
            <v>-129.30000000000018</v>
          </cell>
          <cell r="G785">
            <v>-2693.4000000000005</v>
          </cell>
          <cell r="K785">
            <v>0</v>
          </cell>
          <cell r="L785">
            <v>0</v>
          </cell>
          <cell r="M785">
            <v>0</v>
          </cell>
          <cell r="N785">
            <v>226</v>
          </cell>
          <cell r="O785">
            <v>185</v>
          </cell>
          <cell r="P785">
            <v>334</v>
          </cell>
          <cell r="T785">
            <v>906.59999999999945</v>
          </cell>
          <cell r="U785">
            <v>964.87499999999909</v>
          </cell>
          <cell r="V785">
            <v>906.59999999999945</v>
          </cell>
          <cell r="W785">
            <v>2265.1999999999998</v>
          </cell>
          <cell r="X785">
            <v>2293.3749999999995</v>
          </cell>
          <cell r="Y785">
            <v>2505.1999999999998</v>
          </cell>
        </row>
        <row r="786">
          <cell r="B786">
            <v>906.59999999999945</v>
          </cell>
          <cell r="C786">
            <v>984.30000000000018</v>
          </cell>
          <cell r="D786">
            <v>906.59999999999945</v>
          </cell>
          <cell r="E786">
            <v>-1307.75</v>
          </cell>
          <cell r="F786">
            <v>-640.82500000000073</v>
          </cell>
          <cell r="G786">
            <v>-2253.1000000000004</v>
          </cell>
          <cell r="K786">
            <v>0</v>
          </cell>
          <cell r="L786">
            <v>0</v>
          </cell>
          <cell r="M786">
            <v>0</v>
          </cell>
          <cell r="N786">
            <v>211</v>
          </cell>
          <cell r="O786">
            <v>183</v>
          </cell>
          <cell r="P786">
            <v>335</v>
          </cell>
          <cell r="T786">
            <v>906.59999999999945</v>
          </cell>
          <cell r="U786">
            <v>997.25</v>
          </cell>
          <cell r="V786">
            <v>906.59999999999945</v>
          </cell>
          <cell r="W786">
            <v>2285.1999999999998</v>
          </cell>
          <cell r="X786">
            <v>2278.3249999999994</v>
          </cell>
          <cell r="Y786">
            <v>2415.1999999999998</v>
          </cell>
        </row>
        <row r="787">
          <cell r="B787">
            <v>906.59999999999945</v>
          </cell>
          <cell r="C787">
            <v>945.44999999999982</v>
          </cell>
          <cell r="D787">
            <v>906.59999999999945</v>
          </cell>
          <cell r="E787">
            <v>-1087.6000000000004</v>
          </cell>
          <cell r="F787">
            <v>-342.97500000000036</v>
          </cell>
          <cell r="G787">
            <v>-2356.6999999999998</v>
          </cell>
          <cell r="K787">
            <v>0</v>
          </cell>
          <cell r="L787">
            <v>0</v>
          </cell>
          <cell r="M787">
            <v>0</v>
          </cell>
          <cell r="N787">
            <v>243</v>
          </cell>
          <cell r="O787">
            <v>180</v>
          </cell>
          <cell r="P787">
            <v>303</v>
          </cell>
          <cell r="T787">
            <v>906.59999999999945</v>
          </cell>
          <cell r="U787">
            <v>990.77499999999964</v>
          </cell>
          <cell r="V787">
            <v>906.60000000000036</v>
          </cell>
          <cell r="W787">
            <v>-1165.3000000000002</v>
          </cell>
          <cell r="X787">
            <v>1331.730301482434</v>
          </cell>
          <cell r="Y787">
            <v>-2525.0500000000002</v>
          </cell>
        </row>
        <row r="788">
          <cell r="B788">
            <v>906.59999999999945</v>
          </cell>
          <cell r="C788">
            <v>997.25</v>
          </cell>
          <cell r="D788">
            <v>906.59999999999945</v>
          </cell>
          <cell r="E788">
            <v>-1178.25</v>
          </cell>
          <cell r="F788">
            <v>-491.90000000000055</v>
          </cell>
          <cell r="G788">
            <v>-2201.3000000000002</v>
          </cell>
          <cell r="K788">
            <v>0</v>
          </cell>
          <cell r="L788">
            <v>0</v>
          </cell>
          <cell r="M788">
            <v>0</v>
          </cell>
          <cell r="N788">
            <v>210</v>
          </cell>
          <cell r="O788">
            <v>189</v>
          </cell>
          <cell r="P788">
            <v>316</v>
          </cell>
          <cell r="T788">
            <v>906.59999999999945</v>
          </cell>
          <cell r="U788">
            <v>971.34999999999945</v>
          </cell>
          <cell r="V788">
            <v>906.59999999999945</v>
          </cell>
          <cell r="W788">
            <v>-191.10531714869785</v>
          </cell>
          <cell r="X788">
            <v>2253.9499999999994</v>
          </cell>
          <cell r="Y788">
            <v>-2097.7000000000007</v>
          </cell>
        </row>
        <row r="789">
          <cell r="B789">
            <v>906.59999999999945</v>
          </cell>
          <cell r="C789">
            <v>958.39999999999964</v>
          </cell>
          <cell r="D789">
            <v>919.55000000000018</v>
          </cell>
          <cell r="E789">
            <v>-1346.6000000000004</v>
          </cell>
          <cell r="F789">
            <v>-394.77499999999964</v>
          </cell>
          <cell r="G789">
            <v>-2266.0500000000002</v>
          </cell>
          <cell r="K789">
            <v>0</v>
          </cell>
          <cell r="L789">
            <v>0</v>
          </cell>
          <cell r="M789">
            <v>0</v>
          </cell>
          <cell r="N789">
            <v>212</v>
          </cell>
          <cell r="O789">
            <v>183</v>
          </cell>
          <cell r="P789">
            <v>325</v>
          </cell>
          <cell r="T789">
            <v>906.59999999999945</v>
          </cell>
          <cell r="U789">
            <v>977.82499999999982</v>
          </cell>
          <cell r="V789">
            <v>906.60000000000036</v>
          </cell>
          <cell r="W789">
            <v>829.82598262271722</v>
          </cell>
          <cell r="X789">
            <v>2187.9499999999998</v>
          </cell>
          <cell r="Y789">
            <v>2484.1499999999996</v>
          </cell>
        </row>
        <row r="790">
          <cell r="B790">
            <v>906.59999999999945</v>
          </cell>
          <cell r="C790">
            <v>945.44999999999982</v>
          </cell>
          <cell r="D790">
            <v>906.59999999999945</v>
          </cell>
          <cell r="E790">
            <v>-1074.6500000000005</v>
          </cell>
          <cell r="F790">
            <v>-401.25</v>
          </cell>
          <cell r="G790">
            <v>-2343.75</v>
          </cell>
          <cell r="K790">
            <v>0</v>
          </cell>
          <cell r="L790">
            <v>0</v>
          </cell>
          <cell r="M790">
            <v>0</v>
          </cell>
          <cell r="N790">
            <v>239</v>
          </cell>
          <cell r="O790">
            <v>186</v>
          </cell>
          <cell r="P790">
            <v>328</v>
          </cell>
          <cell r="T790">
            <v>906.59999999999945</v>
          </cell>
          <cell r="U790">
            <v>997.24999999999909</v>
          </cell>
          <cell r="V790">
            <v>906.59999999999945</v>
          </cell>
          <cell r="W790">
            <v>1642.8523636636492</v>
          </cell>
          <cell r="X790">
            <v>2216.4250000000002</v>
          </cell>
          <cell r="Y790">
            <v>2391.1999999999998</v>
          </cell>
        </row>
        <row r="791">
          <cell r="B791">
            <v>906.59999999999945</v>
          </cell>
          <cell r="C791">
            <v>977.82499999999982</v>
          </cell>
          <cell r="D791">
            <v>906.59999999999945</v>
          </cell>
          <cell r="E791">
            <v>-854.5</v>
          </cell>
          <cell r="F791">
            <v>-511.32500000000073</v>
          </cell>
          <cell r="G791">
            <v>-2421.4499999999998</v>
          </cell>
          <cell r="K791">
            <v>0</v>
          </cell>
          <cell r="L791">
            <v>0</v>
          </cell>
          <cell r="M791">
            <v>0</v>
          </cell>
          <cell r="N791">
            <v>228</v>
          </cell>
          <cell r="O791">
            <v>191</v>
          </cell>
          <cell r="P791">
            <v>308</v>
          </cell>
          <cell r="T791">
            <v>906.59999999999945</v>
          </cell>
          <cell r="U791">
            <v>990.77499999999964</v>
          </cell>
          <cell r="V791">
            <v>906.59999999999945</v>
          </cell>
          <cell r="W791">
            <v>2271.1999999999994</v>
          </cell>
          <cell r="X791">
            <v>2271.2749999999992</v>
          </cell>
          <cell r="Y791">
            <v>222.14603562850061</v>
          </cell>
        </row>
        <row r="792">
          <cell r="B792">
            <v>906.59999999999945</v>
          </cell>
          <cell r="C792">
            <v>932.5</v>
          </cell>
          <cell r="D792">
            <v>906.60000000000036</v>
          </cell>
          <cell r="E792">
            <v>-1411.3500000000004</v>
          </cell>
          <cell r="F792">
            <v>-362.40000000000055</v>
          </cell>
          <cell r="G792">
            <v>-2317.8500000000004</v>
          </cell>
          <cell r="K792">
            <v>0</v>
          </cell>
          <cell r="L792">
            <v>0</v>
          </cell>
          <cell r="M792">
            <v>0</v>
          </cell>
          <cell r="N792">
            <v>227</v>
          </cell>
          <cell r="O792">
            <v>200</v>
          </cell>
          <cell r="P792">
            <v>339</v>
          </cell>
          <cell r="T792">
            <v>906.59999999999945</v>
          </cell>
          <cell r="U792">
            <v>1010.1999999999989</v>
          </cell>
          <cell r="V792">
            <v>906.59999999999945</v>
          </cell>
          <cell r="W792">
            <v>2251.1999999999994</v>
          </cell>
          <cell r="X792">
            <v>1893.6457344993514</v>
          </cell>
          <cell r="Y792">
            <v>-437.36386170607943</v>
          </cell>
        </row>
        <row r="793">
          <cell r="B793">
            <v>906.59999999999945</v>
          </cell>
          <cell r="C793">
            <v>984.29999999999927</v>
          </cell>
          <cell r="D793">
            <v>906.59999999999945</v>
          </cell>
          <cell r="E793">
            <v>-725</v>
          </cell>
          <cell r="F793">
            <v>-770.32500000000073</v>
          </cell>
          <cell r="G793">
            <v>-2395.5500000000002</v>
          </cell>
          <cell r="K793">
            <v>0</v>
          </cell>
          <cell r="L793">
            <v>0</v>
          </cell>
          <cell r="M793">
            <v>0</v>
          </cell>
          <cell r="N793">
            <v>224</v>
          </cell>
          <cell r="O793">
            <v>170</v>
          </cell>
          <cell r="P793">
            <v>325</v>
          </cell>
          <cell r="T793">
            <v>906.59999999999945</v>
          </cell>
          <cell r="U793">
            <v>977.82499999999982</v>
          </cell>
          <cell r="V793">
            <v>906.59999999999945</v>
          </cell>
          <cell r="W793">
            <v>2295.1999999999998</v>
          </cell>
          <cell r="X793">
            <v>2223.4749999999995</v>
          </cell>
          <cell r="Y793">
            <v>2473.1999999999998</v>
          </cell>
        </row>
        <row r="794">
          <cell r="B794">
            <v>906.59999999999945</v>
          </cell>
          <cell r="C794">
            <v>951.92499999999927</v>
          </cell>
          <cell r="D794">
            <v>906.59999999999945</v>
          </cell>
          <cell r="E794">
            <v>-1048.75</v>
          </cell>
          <cell r="F794">
            <v>-517.80000000000109</v>
          </cell>
          <cell r="G794">
            <v>-2317.8500000000004</v>
          </cell>
          <cell r="K794">
            <v>0</v>
          </cell>
          <cell r="L794">
            <v>0</v>
          </cell>
          <cell r="M794">
            <v>0</v>
          </cell>
          <cell r="N794">
            <v>221</v>
          </cell>
          <cell r="O794">
            <v>185</v>
          </cell>
          <cell r="P794">
            <v>331</v>
          </cell>
          <cell r="T794">
            <v>906.59999999999945</v>
          </cell>
          <cell r="U794">
            <v>938.97499999999945</v>
          </cell>
          <cell r="V794">
            <v>906.60000000000036</v>
          </cell>
          <cell r="W794">
            <v>-459.91691412502894</v>
          </cell>
          <cell r="X794">
            <v>2227.4749999999999</v>
          </cell>
          <cell r="Y794">
            <v>-554.72056279547792</v>
          </cell>
        </row>
        <row r="795">
          <cell r="B795">
            <v>906.59999999999945</v>
          </cell>
          <cell r="C795">
            <v>971.34999999999854</v>
          </cell>
          <cell r="D795">
            <v>906.60000000000036</v>
          </cell>
          <cell r="E795">
            <v>-893.35000000000036</v>
          </cell>
          <cell r="F795">
            <v>-705.57500000000073</v>
          </cell>
          <cell r="G795">
            <v>-2330.8000000000002</v>
          </cell>
          <cell r="K795">
            <v>0</v>
          </cell>
          <cell r="L795">
            <v>0</v>
          </cell>
          <cell r="M795">
            <v>0</v>
          </cell>
          <cell r="N795">
            <v>211</v>
          </cell>
          <cell r="O795">
            <v>212</v>
          </cell>
          <cell r="P795">
            <v>335</v>
          </cell>
          <cell r="T795">
            <v>906.59999999999945</v>
          </cell>
          <cell r="U795">
            <v>945.44999999999891</v>
          </cell>
          <cell r="V795">
            <v>906.59999999999945</v>
          </cell>
          <cell r="W795">
            <v>2263.1999999999998</v>
          </cell>
          <cell r="X795">
            <v>2203.4749999999995</v>
          </cell>
          <cell r="Y795">
            <v>-791.81065880156916</v>
          </cell>
        </row>
        <row r="796">
          <cell r="B796">
            <v>906.59999999999945</v>
          </cell>
          <cell r="C796">
            <v>1010.1999999999998</v>
          </cell>
          <cell r="D796">
            <v>906.59999999999945</v>
          </cell>
          <cell r="E796">
            <v>-984</v>
          </cell>
          <cell r="F796">
            <v>-355.92500000000018</v>
          </cell>
          <cell r="G796">
            <v>-2563.9000000000005</v>
          </cell>
          <cell r="K796">
            <v>0</v>
          </cell>
          <cell r="L796">
            <v>0</v>
          </cell>
          <cell r="M796">
            <v>0</v>
          </cell>
          <cell r="N796">
            <v>220</v>
          </cell>
          <cell r="O796">
            <v>155</v>
          </cell>
          <cell r="P796">
            <v>318</v>
          </cell>
          <cell r="T796">
            <v>906.59999999999945</v>
          </cell>
          <cell r="U796">
            <v>977.82499999999982</v>
          </cell>
          <cell r="V796">
            <v>926.59999999999945</v>
          </cell>
          <cell r="W796">
            <v>2251.1999999999994</v>
          </cell>
          <cell r="X796">
            <v>2221.4750000000004</v>
          </cell>
          <cell r="Y796">
            <v>1439.734939362731</v>
          </cell>
        </row>
        <row r="797">
          <cell r="B797">
            <v>906.59999999999945</v>
          </cell>
          <cell r="C797">
            <v>971.34999999999854</v>
          </cell>
          <cell r="D797">
            <v>906.59999999999945</v>
          </cell>
          <cell r="E797">
            <v>-1346.6000000000004</v>
          </cell>
          <cell r="F797">
            <v>-414.20000000000073</v>
          </cell>
          <cell r="G797">
            <v>-2110.6500000000005</v>
          </cell>
          <cell r="K797">
            <v>0</v>
          </cell>
          <cell r="L797">
            <v>0</v>
          </cell>
          <cell r="M797">
            <v>0</v>
          </cell>
          <cell r="N797">
            <v>228</v>
          </cell>
          <cell r="O797">
            <v>195</v>
          </cell>
          <cell r="P797">
            <v>322</v>
          </cell>
          <cell r="T797">
            <v>906.59999999999945</v>
          </cell>
          <cell r="U797">
            <v>964.87499999999909</v>
          </cell>
          <cell r="V797">
            <v>906.59999999999945</v>
          </cell>
          <cell r="W797">
            <v>2243.1999999999998</v>
          </cell>
          <cell r="X797">
            <v>2268.8000000000002</v>
          </cell>
          <cell r="Y797">
            <v>2503.1999999999998</v>
          </cell>
        </row>
        <row r="798">
          <cell r="B798">
            <v>906.59999999999945</v>
          </cell>
          <cell r="C798">
            <v>990.77499999999964</v>
          </cell>
          <cell r="D798">
            <v>919.54999999999927</v>
          </cell>
          <cell r="E798">
            <v>-1268.9000000000005</v>
          </cell>
          <cell r="F798">
            <v>-401.25</v>
          </cell>
          <cell r="G798">
            <v>-2201.3000000000002</v>
          </cell>
          <cell r="K798">
            <v>0</v>
          </cell>
          <cell r="L798">
            <v>0</v>
          </cell>
          <cell r="M798">
            <v>0</v>
          </cell>
          <cell r="N798">
            <v>192</v>
          </cell>
          <cell r="O798">
            <v>187</v>
          </cell>
          <cell r="P798">
            <v>335</v>
          </cell>
          <cell r="T798">
            <v>906.59999999999945</v>
          </cell>
          <cell r="U798">
            <v>971.34999999999854</v>
          </cell>
          <cell r="V798">
            <v>906.59999999999945</v>
          </cell>
          <cell r="W798">
            <v>841.43548240316704</v>
          </cell>
          <cell r="X798">
            <v>1591.0559964735869</v>
          </cell>
          <cell r="Y798">
            <v>2413.1999999999998</v>
          </cell>
        </row>
        <row r="799">
          <cell r="B799">
            <v>906.59999999999945</v>
          </cell>
          <cell r="C799">
            <v>971.34999999999854</v>
          </cell>
          <cell r="D799">
            <v>906.59999999999945</v>
          </cell>
          <cell r="E799">
            <v>-1100.5500000000002</v>
          </cell>
          <cell r="F799">
            <v>-530.75</v>
          </cell>
          <cell r="G799">
            <v>-2123.6000000000004</v>
          </cell>
          <cell r="K799">
            <v>0</v>
          </cell>
          <cell r="L799">
            <v>0</v>
          </cell>
          <cell r="M799">
            <v>0</v>
          </cell>
          <cell r="N799">
            <v>246</v>
          </cell>
          <cell r="O799">
            <v>195</v>
          </cell>
          <cell r="P799">
            <v>347</v>
          </cell>
          <cell r="T799">
            <v>906.59999999999945</v>
          </cell>
          <cell r="U799">
            <v>997.24999999999909</v>
          </cell>
          <cell r="V799">
            <v>906.59999999999945</v>
          </cell>
          <cell r="W799">
            <v>667.86862635591456</v>
          </cell>
          <cell r="X799">
            <v>2196.6249999999995</v>
          </cell>
          <cell r="Y799">
            <v>2458.1499999999996</v>
          </cell>
        </row>
        <row r="800">
          <cell r="B800">
            <v>906.59999999999945</v>
          </cell>
          <cell r="C800">
            <v>945.44999999999891</v>
          </cell>
          <cell r="D800">
            <v>906.60000000000036</v>
          </cell>
          <cell r="E800">
            <v>-945.15000000000055</v>
          </cell>
          <cell r="F800">
            <v>-491.90000000000055</v>
          </cell>
          <cell r="G800">
            <v>-2304.9000000000005</v>
          </cell>
          <cell r="K800">
            <v>0</v>
          </cell>
          <cell r="L800">
            <v>0</v>
          </cell>
          <cell r="M800">
            <v>0</v>
          </cell>
          <cell r="N800">
            <v>220</v>
          </cell>
          <cell r="O800">
            <v>172</v>
          </cell>
          <cell r="P800">
            <v>319</v>
          </cell>
          <cell r="T800">
            <v>906.59999999999945</v>
          </cell>
          <cell r="U800">
            <v>971.34999999999854</v>
          </cell>
          <cell r="V800">
            <v>906.59999999999945</v>
          </cell>
          <cell r="W800">
            <v>2327.1999999999989</v>
          </cell>
          <cell r="X800">
            <v>2196.9999999999991</v>
          </cell>
          <cell r="Y800">
            <v>1635.9218231036684</v>
          </cell>
        </row>
        <row r="801">
          <cell r="B801">
            <v>906.59999999999945</v>
          </cell>
          <cell r="C801">
            <v>997.24999999999909</v>
          </cell>
          <cell r="D801">
            <v>906.59999999999945</v>
          </cell>
          <cell r="E801">
            <v>-893.35000000000036</v>
          </cell>
          <cell r="F801">
            <v>-317.07500000000073</v>
          </cell>
          <cell r="G801">
            <v>-2343.75</v>
          </cell>
          <cell r="K801">
            <v>0</v>
          </cell>
          <cell r="L801">
            <v>0</v>
          </cell>
          <cell r="M801">
            <v>0</v>
          </cell>
          <cell r="N801">
            <v>205</v>
          </cell>
          <cell r="O801">
            <v>203</v>
          </cell>
          <cell r="P801">
            <v>323</v>
          </cell>
          <cell r="T801">
            <v>906.59999999999945</v>
          </cell>
          <cell r="U801">
            <v>951.92499999999927</v>
          </cell>
          <cell r="V801">
            <v>906.60000000000036</v>
          </cell>
          <cell r="W801">
            <v>1171.5357873769735</v>
          </cell>
          <cell r="X801">
            <v>2199.474999999999</v>
          </cell>
          <cell r="Y801">
            <v>-2465.4834089929018</v>
          </cell>
        </row>
        <row r="802">
          <cell r="B802">
            <v>906.59999999999945</v>
          </cell>
          <cell r="C802">
            <v>990.77499999999964</v>
          </cell>
          <cell r="D802">
            <v>906.60000000000036</v>
          </cell>
          <cell r="E802">
            <v>-1113.5</v>
          </cell>
          <cell r="F802">
            <v>-317.07500000000073</v>
          </cell>
          <cell r="G802">
            <v>-2253.1000000000004</v>
          </cell>
          <cell r="K802">
            <v>0</v>
          </cell>
          <cell r="L802">
            <v>0</v>
          </cell>
          <cell r="M802">
            <v>0</v>
          </cell>
          <cell r="N802">
            <v>213</v>
          </cell>
          <cell r="O802">
            <v>166</v>
          </cell>
          <cell r="P802">
            <v>316</v>
          </cell>
          <cell r="T802">
            <v>906.59999999999945</v>
          </cell>
          <cell r="U802">
            <v>990.77499999999964</v>
          </cell>
          <cell r="V802">
            <v>906.60000000000036</v>
          </cell>
          <cell r="W802">
            <v>-320.14532825856998</v>
          </cell>
          <cell r="X802">
            <v>2175.1</v>
          </cell>
          <cell r="Y802">
            <v>515.92586419012605</v>
          </cell>
        </row>
        <row r="803">
          <cell r="B803">
            <v>906.59999999999945</v>
          </cell>
          <cell r="C803">
            <v>990.77499999999964</v>
          </cell>
          <cell r="D803">
            <v>906.59999999999945</v>
          </cell>
          <cell r="E803">
            <v>-1230.0500000000002</v>
          </cell>
          <cell r="F803">
            <v>-692.625</v>
          </cell>
          <cell r="G803">
            <v>-2563.9000000000005</v>
          </cell>
          <cell r="K803">
            <v>0</v>
          </cell>
          <cell r="L803">
            <v>0</v>
          </cell>
          <cell r="M803">
            <v>0</v>
          </cell>
          <cell r="N803">
            <v>236</v>
          </cell>
          <cell r="O803">
            <v>199</v>
          </cell>
          <cell r="P803">
            <v>294</v>
          </cell>
          <cell r="T803">
            <v>906.59999999999945</v>
          </cell>
          <cell r="U803">
            <v>977.82499999999891</v>
          </cell>
          <cell r="V803">
            <v>906.59999999999945</v>
          </cell>
          <cell r="W803">
            <v>1169.5618607925958</v>
          </cell>
          <cell r="X803">
            <v>2286.3249999999994</v>
          </cell>
          <cell r="Y803">
            <v>2479.1999999999989</v>
          </cell>
        </row>
        <row r="804">
          <cell r="B804">
            <v>906.59999999999945</v>
          </cell>
          <cell r="C804">
            <v>964.87499999999909</v>
          </cell>
          <cell r="D804">
            <v>906.59999999999945</v>
          </cell>
          <cell r="E804">
            <v>-893.35000000000036</v>
          </cell>
          <cell r="F804">
            <v>-433.625</v>
          </cell>
          <cell r="G804">
            <v>-2123.6000000000004</v>
          </cell>
          <cell r="K804">
            <v>0</v>
          </cell>
          <cell r="L804">
            <v>0</v>
          </cell>
          <cell r="M804">
            <v>0</v>
          </cell>
          <cell r="N804">
            <v>225</v>
          </cell>
          <cell r="O804">
            <v>178</v>
          </cell>
          <cell r="P804">
            <v>307</v>
          </cell>
          <cell r="T804">
            <v>906.59999999999945</v>
          </cell>
          <cell r="U804">
            <v>1029.625</v>
          </cell>
          <cell r="V804">
            <v>906.59999999999945</v>
          </cell>
          <cell r="W804">
            <v>2243.1999999999998</v>
          </cell>
          <cell r="X804">
            <v>2215</v>
          </cell>
          <cell r="Y804">
            <v>2443.1999999999998</v>
          </cell>
        </row>
        <row r="805">
          <cell r="B805">
            <v>906.59999999999945</v>
          </cell>
          <cell r="C805">
            <v>984.29999999999927</v>
          </cell>
          <cell r="D805">
            <v>906.60000000000036</v>
          </cell>
          <cell r="E805">
            <v>-1281.8500000000004</v>
          </cell>
          <cell r="F805">
            <v>-589.02499999999964</v>
          </cell>
          <cell r="G805">
            <v>-2538</v>
          </cell>
          <cell r="K805">
            <v>0</v>
          </cell>
          <cell r="L805">
            <v>0</v>
          </cell>
          <cell r="M805">
            <v>0</v>
          </cell>
          <cell r="N805">
            <v>214</v>
          </cell>
          <cell r="O805">
            <v>192</v>
          </cell>
          <cell r="P805">
            <v>319</v>
          </cell>
          <cell r="T805">
            <v>906.59999999999945</v>
          </cell>
          <cell r="U805">
            <v>945.44999999999982</v>
          </cell>
          <cell r="V805">
            <v>906.59999999999945</v>
          </cell>
          <cell r="W805">
            <v>1015.4993264728041</v>
          </cell>
          <cell r="X805">
            <v>2236.5249999999992</v>
          </cell>
          <cell r="Y805">
            <v>1468.0370959033517</v>
          </cell>
        </row>
        <row r="806">
          <cell r="B806">
            <v>906.59999999999945</v>
          </cell>
          <cell r="C806">
            <v>984.29999999999927</v>
          </cell>
          <cell r="D806">
            <v>906.60000000000036</v>
          </cell>
          <cell r="E806">
            <v>-867.45000000000073</v>
          </cell>
          <cell r="F806">
            <v>-582.55000000000018</v>
          </cell>
          <cell r="G806">
            <v>-2589.8000000000002</v>
          </cell>
          <cell r="K806">
            <v>0</v>
          </cell>
          <cell r="L806">
            <v>0</v>
          </cell>
          <cell r="M806">
            <v>0</v>
          </cell>
          <cell r="N806">
            <v>236</v>
          </cell>
          <cell r="O806">
            <v>172</v>
          </cell>
          <cell r="P806">
            <v>293</v>
          </cell>
          <cell r="T806">
            <v>906.59999999999945</v>
          </cell>
          <cell r="U806">
            <v>997.25</v>
          </cell>
          <cell r="V806">
            <v>906.59999999999945</v>
          </cell>
          <cell r="W806">
            <v>-1178.25</v>
          </cell>
          <cell r="X806">
            <v>2261.9499999999989</v>
          </cell>
          <cell r="Y806">
            <v>2437.1999999999989</v>
          </cell>
        </row>
        <row r="807">
          <cell r="B807">
            <v>906.59999999999945</v>
          </cell>
          <cell r="C807">
            <v>971.34999999999945</v>
          </cell>
          <cell r="D807">
            <v>906.60000000000036</v>
          </cell>
          <cell r="E807">
            <v>-1217.1000000000004</v>
          </cell>
          <cell r="F807">
            <v>-627.875</v>
          </cell>
          <cell r="G807">
            <v>-2382.6000000000004</v>
          </cell>
          <cell r="K807">
            <v>0</v>
          </cell>
          <cell r="L807">
            <v>0</v>
          </cell>
          <cell r="M807">
            <v>0</v>
          </cell>
          <cell r="N807">
            <v>202</v>
          </cell>
          <cell r="O807">
            <v>180</v>
          </cell>
          <cell r="P807">
            <v>291</v>
          </cell>
          <cell r="T807">
            <v>906.59999999999945</v>
          </cell>
          <cell r="U807">
            <v>1016.6749999999993</v>
          </cell>
          <cell r="V807">
            <v>906.59999999999945</v>
          </cell>
          <cell r="W807">
            <v>824.60430437212085</v>
          </cell>
          <cell r="X807">
            <v>1505.400130182717</v>
          </cell>
          <cell r="Y807">
            <v>2489.1999999999989</v>
          </cell>
        </row>
        <row r="808">
          <cell r="B808">
            <v>906.59999999999945</v>
          </cell>
          <cell r="C808">
            <v>958.39999999999964</v>
          </cell>
          <cell r="D808">
            <v>906.59999999999945</v>
          </cell>
          <cell r="E808">
            <v>-945.15000000000055</v>
          </cell>
          <cell r="F808">
            <v>-342.97500000000036</v>
          </cell>
          <cell r="G808">
            <v>-2343.75</v>
          </cell>
          <cell r="K808">
            <v>0</v>
          </cell>
          <cell r="L808">
            <v>0</v>
          </cell>
          <cell r="M808">
            <v>0</v>
          </cell>
          <cell r="N808">
            <v>226</v>
          </cell>
          <cell r="O808">
            <v>175</v>
          </cell>
          <cell r="P808">
            <v>305</v>
          </cell>
          <cell r="T808">
            <v>906.59999999999945</v>
          </cell>
          <cell r="U808">
            <v>977.82499999999891</v>
          </cell>
          <cell r="V808">
            <v>906.59999999999945</v>
          </cell>
          <cell r="W808">
            <v>2201.1999999999994</v>
          </cell>
          <cell r="X808">
            <v>1444.1474921695392</v>
          </cell>
          <cell r="Y808">
            <v>-2066.1799822230532</v>
          </cell>
        </row>
        <row r="809">
          <cell r="B809">
            <v>906.59999999999945</v>
          </cell>
          <cell r="C809">
            <v>958.39999999999964</v>
          </cell>
          <cell r="D809">
            <v>906.59999999999945</v>
          </cell>
          <cell r="E809">
            <v>-1191.2000000000007</v>
          </cell>
          <cell r="F809">
            <v>-640.82500000000073</v>
          </cell>
          <cell r="G809">
            <v>-2460.3000000000002</v>
          </cell>
          <cell r="K809">
            <v>0</v>
          </cell>
          <cell r="L809">
            <v>0</v>
          </cell>
          <cell r="M809">
            <v>0</v>
          </cell>
          <cell r="N809">
            <v>225</v>
          </cell>
          <cell r="O809">
            <v>178</v>
          </cell>
          <cell r="P809">
            <v>306</v>
          </cell>
          <cell r="T809">
            <v>906.59999999999945</v>
          </cell>
          <cell r="U809">
            <v>958.39999999999964</v>
          </cell>
          <cell r="V809">
            <v>906.59999999999945</v>
          </cell>
          <cell r="W809">
            <v>2295.1999999999998</v>
          </cell>
          <cell r="X809">
            <v>2236.9999999999991</v>
          </cell>
          <cell r="Y809">
            <v>-2317.8500000000004</v>
          </cell>
        </row>
        <row r="810">
          <cell r="B810">
            <v>906.59999999999945</v>
          </cell>
          <cell r="C810">
            <v>958.39999999999964</v>
          </cell>
          <cell r="D810">
            <v>906.59999999999945</v>
          </cell>
          <cell r="E810">
            <v>-1165.3000000000002</v>
          </cell>
          <cell r="F810">
            <v>-453.05000000000018</v>
          </cell>
          <cell r="G810">
            <v>-1955.25</v>
          </cell>
          <cell r="K810">
            <v>0</v>
          </cell>
          <cell r="L810">
            <v>0</v>
          </cell>
          <cell r="M810">
            <v>0</v>
          </cell>
          <cell r="N810">
            <v>236</v>
          </cell>
          <cell r="O810">
            <v>166</v>
          </cell>
          <cell r="P810">
            <v>325</v>
          </cell>
          <cell r="T810">
            <v>906.59999999999945</v>
          </cell>
          <cell r="U810">
            <v>964.87499999999909</v>
          </cell>
          <cell r="V810">
            <v>906.60000000000036</v>
          </cell>
          <cell r="W810">
            <v>1083.9265827255986</v>
          </cell>
          <cell r="X810">
            <v>2242.3249999999998</v>
          </cell>
          <cell r="Y810">
            <v>-1022.6284817972553</v>
          </cell>
        </row>
        <row r="811">
          <cell r="B811">
            <v>906.59999999999945</v>
          </cell>
          <cell r="C811">
            <v>997.25</v>
          </cell>
          <cell r="D811">
            <v>906.59999999999945</v>
          </cell>
          <cell r="E811">
            <v>-1009.9000000000005</v>
          </cell>
          <cell r="F811">
            <v>-543.70000000000073</v>
          </cell>
          <cell r="G811">
            <v>-2395.5500000000002</v>
          </cell>
          <cell r="K811">
            <v>0</v>
          </cell>
          <cell r="L811">
            <v>0</v>
          </cell>
          <cell r="M811">
            <v>0</v>
          </cell>
          <cell r="N811">
            <v>208</v>
          </cell>
          <cell r="O811">
            <v>180</v>
          </cell>
          <cell r="P811">
            <v>312</v>
          </cell>
          <cell r="T811">
            <v>906.59999999999945</v>
          </cell>
          <cell r="U811">
            <v>951.92499999999927</v>
          </cell>
          <cell r="V811">
            <v>906.60000000000036</v>
          </cell>
          <cell r="W811">
            <v>2299.1999999999994</v>
          </cell>
          <cell r="X811">
            <v>2285.3749999999995</v>
          </cell>
          <cell r="Y811">
            <v>2436.9245725797382</v>
          </cell>
        </row>
        <row r="812">
          <cell r="B812">
            <v>906.59999999999945</v>
          </cell>
          <cell r="C812">
            <v>951.92500000000018</v>
          </cell>
          <cell r="D812">
            <v>906.60000000000036</v>
          </cell>
          <cell r="E812">
            <v>-1307.75</v>
          </cell>
          <cell r="F812">
            <v>-537.22500000000036</v>
          </cell>
          <cell r="G812">
            <v>-2473.25</v>
          </cell>
          <cell r="K812">
            <v>0</v>
          </cell>
          <cell r="L812">
            <v>0</v>
          </cell>
          <cell r="M812">
            <v>0</v>
          </cell>
          <cell r="N812">
            <v>210</v>
          </cell>
          <cell r="O812">
            <v>158</v>
          </cell>
          <cell r="P812">
            <v>317</v>
          </cell>
          <cell r="T812">
            <v>906.59999999999945</v>
          </cell>
          <cell r="U812">
            <v>971.34999999999945</v>
          </cell>
          <cell r="V812">
            <v>906.59999999999945</v>
          </cell>
          <cell r="W812">
            <v>111.67492584722345</v>
          </cell>
          <cell r="X812">
            <v>2214.4249999999993</v>
          </cell>
          <cell r="Y812">
            <v>2355.8747029344013</v>
          </cell>
        </row>
        <row r="813">
          <cell r="B813">
            <v>906.59999999999945</v>
          </cell>
          <cell r="C813">
            <v>984.29999999999927</v>
          </cell>
          <cell r="D813">
            <v>906.60000000000036</v>
          </cell>
          <cell r="E813">
            <v>-1204.1500000000005</v>
          </cell>
          <cell r="F813">
            <v>-433.625</v>
          </cell>
          <cell r="G813">
            <v>-2110.6500000000005</v>
          </cell>
          <cell r="K813">
            <v>0</v>
          </cell>
          <cell r="L813">
            <v>0</v>
          </cell>
          <cell r="M813">
            <v>0</v>
          </cell>
          <cell r="N813">
            <v>212</v>
          </cell>
          <cell r="O813">
            <v>168</v>
          </cell>
          <cell r="P813">
            <v>341</v>
          </cell>
          <cell r="T813">
            <v>906.59999999999945</v>
          </cell>
          <cell r="U813">
            <v>958.39999999999873</v>
          </cell>
          <cell r="V813">
            <v>906.59999999999945</v>
          </cell>
          <cell r="W813">
            <v>-63.928996562925704</v>
          </cell>
          <cell r="X813">
            <v>2186.9999999999991</v>
          </cell>
          <cell r="Y813">
            <v>-416.86926496562569</v>
          </cell>
        </row>
        <row r="814">
          <cell r="B814">
            <v>906.59999999999945</v>
          </cell>
          <cell r="C814">
            <v>951.92499999999927</v>
          </cell>
          <cell r="D814">
            <v>906.60000000000036</v>
          </cell>
          <cell r="E814">
            <v>-1113.5</v>
          </cell>
          <cell r="F814">
            <v>-187.57500000000073</v>
          </cell>
          <cell r="G814">
            <v>-2330.8000000000002</v>
          </cell>
          <cell r="K814">
            <v>0</v>
          </cell>
          <cell r="L814">
            <v>0</v>
          </cell>
          <cell r="M814">
            <v>10</v>
          </cell>
          <cell r="N814">
            <v>238</v>
          </cell>
          <cell r="O814">
            <v>195</v>
          </cell>
          <cell r="P814">
            <v>328</v>
          </cell>
          <cell r="T814">
            <v>906.59999999999945</v>
          </cell>
          <cell r="U814">
            <v>990.77499999999964</v>
          </cell>
          <cell r="V814">
            <v>906.59999999999945</v>
          </cell>
          <cell r="W814">
            <v>2305.1999999999998</v>
          </cell>
          <cell r="X814">
            <v>2239.85</v>
          </cell>
          <cell r="Y814">
            <v>-21.109132919360036</v>
          </cell>
        </row>
        <row r="815">
          <cell r="B815">
            <v>906.59999999999945</v>
          </cell>
          <cell r="C815">
            <v>977.82499999999982</v>
          </cell>
          <cell r="D815">
            <v>919.55000000000018</v>
          </cell>
          <cell r="E815">
            <v>-1217.1000000000004</v>
          </cell>
          <cell r="F815">
            <v>-174.625</v>
          </cell>
          <cell r="G815">
            <v>-2512.1000000000004</v>
          </cell>
          <cell r="K815">
            <v>0</v>
          </cell>
          <cell r="L815">
            <v>0</v>
          </cell>
          <cell r="M815">
            <v>0</v>
          </cell>
          <cell r="N815">
            <v>206</v>
          </cell>
          <cell r="O815">
            <v>174</v>
          </cell>
          <cell r="P815">
            <v>340</v>
          </cell>
          <cell r="T815">
            <v>906.59999999999945</v>
          </cell>
          <cell r="U815">
            <v>971.35000000000036</v>
          </cell>
          <cell r="V815">
            <v>906.59999999999945</v>
          </cell>
          <cell r="W815">
            <v>2279.1999999999994</v>
          </cell>
          <cell r="X815">
            <v>-291.17500000000109</v>
          </cell>
          <cell r="Y815">
            <v>2439.1999999999989</v>
          </cell>
        </row>
        <row r="816">
          <cell r="B816">
            <v>906.59999999999945</v>
          </cell>
          <cell r="C816">
            <v>971.34999999999945</v>
          </cell>
          <cell r="D816">
            <v>906.60000000000036</v>
          </cell>
          <cell r="E816">
            <v>-1022.8500000000004</v>
          </cell>
          <cell r="F816">
            <v>-381.82500000000073</v>
          </cell>
          <cell r="G816">
            <v>-2434.4000000000005</v>
          </cell>
          <cell r="K816">
            <v>0</v>
          </cell>
          <cell r="L816">
            <v>0</v>
          </cell>
          <cell r="M816">
            <v>0</v>
          </cell>
          <cell r="N816">
            <v>235</v>
          </cell>
          <cell r="O816">
            <v>158</v>
          </cell>
          <cell r="P816">
            <v>329</v>
          </cell>
          <cell r="T816">
            <v>906.59999999999945</v>
          </cell>
          <cell r="U816">
            <v>1016.6749999999993</v>
          </cell>
          <cell r="V816">
            <v>906.59999999999945</v>
          </cell>
          <cell r="W816">
            <v>2293.1999999999998</v>
          </cell>
          <cell r="X816">
            <v>2223.4749999999995</v>
          </cell>
          <cell r="Y816">
            <v>2403.1999999999998</v>
          </cell>
        </row>
        <row r="817">
          <cell r="B817">
            <v>906.59999999999945</v>
          </cell>
          <cell r="C817">
            <v>1036.0999999999995</v>
          </cell>
          <cell r="D817">
            <v>906.60000000000036</v>
          </cell>
          <cell r="E817">
            <v>-1113.5</v>
          </cell>
          <cell r="F817">
            <v>-304.125</v>
          </cell>
          <cell r="G817">
            <v>-2706.3500000000004</v>
          </cell>
          <cell r="K817">
            <v>0</v>
          </cell>
          <cell r="L817">
            <v>0</v>
          </cell>
          <cell r="M817">
            <v>0</v>
          </cell>
          <cell r="N817">
            <v>230</v>
          </cell>
          <cell r="O817">
            <v>175</v>
          </cell>
          <cell r="P817">
            <v>309</v>
          </cell>
          <cell r="T817">
            <v>906.59999999999945</v>
          </cell>
          <cell r="U817">
            <v>964.87499999999909</v>
          </cell>
          <cell r="V817">
            <v>906.59999999999945</v>
          </cell>
          <cell r="W817">
            <v>2233.1999999999998</v>
          </cell>
          <cell r="X817">
            <v>2231.9499999999994</v>
          </cell>
          <cell r="Y817">
            <v>-675.73161560626431</v>
          </cell>
        </row>
        <row r="818">
          <cell r="B818">
            <v>906.59999999999945</v>
          </cell>
          <cell r="C818">
            <v>971.34999999999945</v>
          </cell>
          <cell r="D818">
            <v>906.60000000000036</v>
          </cell>
          <cell r="E818">
            <v>-1022.8500000000004</v>
          </cell>
          <cell r="F818">
            <v>-692.625</v>
          </cell>
          <cell r="G818">
            <v>-2576.8500000000004</v>
          </cell>
          <cell r="K818">
            <v>0</v>
          </cell>
          <cell r="L818">
            <v>0</v>
          </cell>
          <cell r="M818">
            <v>0</v>
          </cell>
          <cell r="N818">
            <v>211</v>
          </cell>
          <cell r="O818">
            <v>177</v>
          </cell>
          <cell r="P818">
            <v>321</v>
          </cell>
          <cell r="T818">
            <v>906.59999999999945</v>
          </cell>
          <cell r="U818">
            <v>945.44999999999982</v>
          </cell>
          <cell r="V818">
            <v>906.60000000000036</v>
          </cell>
          <cell r="W818">
            <v>2291.1999999999994</v>
          </cell>
          <cell r="X818">
            <v>2303.3749999999995</v>
          </cell>
          <cell r="Y818">
            <v>-2175.4000000000005</v>
          </cell>
        </row>
        <row r="819">
          <cell r="B819">
            <v>906.59999999999945</v>
          </cell>
          <cell r="C819">
            <v>951.92499999999927</v>
          </cell>
          <cell r="D819">
            <v>906.59999999999945</v>
          </cell>
          <cell r="E819">
            <v>-1009.9000000000005</v>
          </cell>
          <cell r="F819">
            <v>-271.75</v>
          </cell>
          <cell r="G819">
            <v>-2719.3</v>
          </cell>
          <cell r="K819">
            <v>0</v>
          </cell>
          <cell r="L819">
            <v>0</v>
          </cell>
          <cell r="M819">
            <v>0</v>
          </cell>
          <cell r="N819">
            <v>230</v>
          </cell>
          <cell r="O819">
            <v>171</v>
          </cell>
          <cell r="P819">
            <v>339</v>
          </cell>
          <cell r="T819">
            <v>906.59999999999945</v>
          </cell>
          <cell r="U819">
            <v>971.34999999999854</v>
          </cell>
          <cell r="V819">
            <v>906.60000000000036</v>
          </cell>
          <cell r="W819">
            <v>-958.10000000000036</v>
          </cell>
          <cell r="X819">
            <v>2255.4749999999985</v>
          </cell>
          <cell r="Y819">
            <v>299.91530091584627</v>
          </cell>
        </row>
        <row r="820">
          <cell r="B820">
            <v>906.59999999999945</v>
          </cell>
          <cell r="C820">
            <v>964.87499999999909</v>
          </cell>
          <cell r="D820">
            <v>906.59999999999945</v>
          </cell>
          <cell r="E820">
            <v>-1346.6000000000004</v>
          </cell>
          <cell r="F820">
            <v>-239.375</v>
          </cell>
          <cell r="G820">
            <v>-2369.6500000000005</v>
          </cell>
          <cell r="K820">
            <v>0</v>
          </cell>
          <cell r="L820">
            <v>0</v>
          </cell>
          <cell r="M820">
            <v>0</v>
          </cell>
          <cell r="N820">
            <v>215</v>
          </cell>
          <cell r="O820">
            <v>167</v>
          </cell>
          <cell r="P820">
            <v>322</v>
          </cell>
          <cell r="T820">
            <v>906.59999999999945</v>
          </cell>
          <cell r="U820">
            <v>971.34999999999945</v>
          </cell>
          <cell r="V820">
            <v>906.60000000000036</v>
          </cell>
          <cell r="W820">
            <v>1402.6247358880914</v>
          </cell>
          <cell r="X820">
            <v>2320.3249999999998</v>
          </cell>
          <cell r="Y820">
            <v>2479.1999999999989</v>
          </cell>
        </row>
        <row r="821">
          <cell r="B821">
            <v>906.59999999999945</v>
          </cell>
          <cell r="C821">
            <v>932.49999999999909</v>
          </cell>
          <cell r="D821">
            <v>906.59999999999945</v>
          </cell>
          <cell r="E821">
            <v>-841.55000000000018</v>
          </cell>
          <cell r="F821">
            <v>-420.67500000000109</v>
          </cell>
          <cell r="G821">
            <v>-2473.25</v>
          </cell>
          <cell r="K821">
            <v>0</v>
          </cell>
          <cell r="L821">
            <v>0</v>
          </cell>
          <cell r="M821">
            <v>0</v>
          </cell>
          <cell r="N821">
            <v>233</v>
          </cell>
          <cell r="O821">
            <v>197</v>
          </cell>
          <cell r="P821">
            <v>331</v>
          </cell>
          <cell r="T821">
            <v>906.59999999999945</v>
          </cell>
          <cell r="U821">
            <v>977.82499999999891</v>
          </cell>
          <cell r="V821">
            <v>906.59999999999945</v>
          </cell>
          <cell r="W821">
            <v>2247.1999999999989</v>
          </cell>
          <cell r="X821">
            <v>2267.4749999999999</v>
          </cell>
          <cell r="Y821">
            <v>2060.7835506268648</v>
          </cell>
        </row>
        <row r="822">
          <cell r="B822">
            <v>906.59999999999945</v>
          </cell>
          <cell r="C822">
            <v>951.92499999999927</v>
          </cell>
          <cell r="D822">
            <v>906.59999999999945</v>
          </cell>
          <cell r="E822">
            <v>-686.15000000000055</v>
          </cell>
          <cell r="F822">
            <v>-433.625</v>
          </cell>
          <cell r="G822">
            <v>-2550.9499999999998</v>
          </cell>
          <cell r="K822">
            <v>0</v>
          </cell>
          <cell r="L822">
            <v>0</v>
          </cell>
          <cell r="M822">
            <v>0</v>
          </cell>
          <cell r="N822">
            <v>238</v>
          </cell>
          <cell r="O822">
            <v>183</v>
          </cell>
          <cell r="P822">
            <v>348</v>
          </cell>
          <cell r="T822">
            <v>906.59999999999945</v>
          </cell>
          <cell r="U822">
            <v>964.875</v>
          </cell>
          <cell r="V822">
            <v>906.59999999999945</v>
          </cell>
          <cell r="W822">
            <v>-544.38546179201478</v>
          </cell>
          <cell r="X822">
            <v>2189.474999999999</v>
          </cell>
          <cell r="Y822">
            <v>-970.88237778635107</v>
          </cell>
        </row>
        <row r="823">
          <cell r="B823">
            <v>906.59999999999945</v>
          </cell>
          <cell r="C823">
            <v>945.44999999999891</v>
          </cell>
          <cell r="D823">
            <v>906.59999999999945</v>
          </cell>
          <cell r="E823">
            <v>-880.40000000000055</v>
          </cell>
          <cell r="F823">
            <v>-530.75</v>
          </cell>
          <cell r="G823">
            <v>-2136.5500000000002</v>
          </cell>
          <cell r="K823">
            <v>0</v>
          </cell>
          <cell r="L823">
            <v>0</v>
          </cell>
          <cell r="M823">
            <v>0</v>
          </cell>
          <cell r="N823">
            <v>198</v>
          </cell>
          <cell r="O823">
            <v>170</v>
          </cell>
          <cell r="P823">
            <v>310</v>
          </cell>
          <cell r="T823">
            <v>906.59999999999945</v>
          </cell>
          <cell r="U823">
            <v>977.82499999999891</v>
          </cell>
          <cell r="V823">
            <v>906.59999999999945</v>
          </cell>
          <cell r="W823">
            <v>2243.1999999999998</v>
          </cell>
          <cell r="X823">
            <v>2236.8999999999992</v>
          </cell>
          <cell r="Y823">
            <v>381.72053202629468</v>
          </cell>
        </row>
        <row r="824">
          <cell r="B824">
            <v>906.59999999999945</v>
          </cell>
          <cell r="C824">
            <v>1023.1499999999996</v>
          </cell>
          <cell r="D824">
            <v>906.60000000000036</v>
          </cell>
          <cell r="E824">
            <v>-1139.4000000000005</v>
          </cell>
          <cell r="F824">
            <v>-524.27500000000055</v>
          </cell>
          <cell r="G824">
            <v>-2071.8000000000002</v>
          </cell>
          <cell r="K824">
            <v>0</v>
          </cell>
          <cell r="L824">
            <v>0</v>
          </cell>
          <cell r="M824">
            <v>0</v>
          </cell>
          <cell r="N824">
            <v>228</v>
          </cell>
          <cell r="O824">
            <v>170</v>
          </cell>
          <cell r="P824">
            <v>317</v>
          </cell>
          <cell r="T824">
            <v>906.59999999999945</v>
          </cell>
          <cell r="U824">
            <v>977.82499999999891</v>
          </cell>
          <cell r="V824">
            <v>906.60000000000036</v>
          </cell>
          <cell r="W824">
            <v>346.73343443236399</v>
          </cell>
          <cell r="X824">
            <v>2225.8499999999995</v>
          </cell>
          <cell r="Y824">
            <v>2453.1999999999998</v>
          </cell>
        </row>
        <row r="825">
          <cell r="B825">
            <v>906.59999999999945</v>
          </cell>
          <cell r="C825">
            <v>997.25</v>
          </cell>
          <cell r="D825">
            <v>906.60000000000036</v>
          </cell>
          <cell r="E825">
            <v>-712.05000000000018</v>
          </cell>
          <cell r="F825">
            <v>-19.225000000000364</v>
          </cell>
          <cell r="G825">
            <v>-2447.3500000000004</v>
          </cell>
          <cell r="K825">
            <v>0</v>
          </cell>
          <cell r="L825">
            <v>0</v>
          </cell>
          <cell r="M825">
            <v>0</v>
          </cell>
          <cell r="N825">
            <v>211</v>
          </cell>
          <cell r="O825">
            <v>175</v>
          </cell>
          <cell r="P825">
            <v>305</v>
          </cell>
          <cell r="T825">
            <v>906.59999999999945</v>
          </cell>
          <cell r="U825">
            <v>997.25</v>
          </cell>
          <cell r="V825">
            <v>906.59999999999945</v>
          </cell>
          <cell r="W825">
            <v>2259.1999999999994</v>
          </cell>
          <cell r="X825">
            <v>2249.3749999999991</v>
          </cell>
          <cell r="Y825">
            <v>2474.1499999999996</v>
          </cell>
        </row>
        <row r="826">
          <cell r="B826">
            <v>906.59999999999945</v>
          </cell>
          <cell r="C826">
            <v>951.92500000000018</v>
          </cell>
          <cell r="D826">
            <v>906.59999999999945</v>
          </cell>
          <cell r="E826">
            <v>-1204.1500000000005</v>
          </cell>
          <cell r="F826">
            <v>-556.65000000000055</v>
          </cell>
          <cell r="G826">
            <v>-1981.1500000000005</v>
          </cell>
          <cell r="K826">
            <v>0</v>
          </cell>
          <cell r="L826">
            <v>0</v>
          </cell>
          <cell r="M826">
            <v>0</v>
          </cell>
          <cell r="N826">
            <v>216</v>
          </cell>
          <cell r="O826">
            <v>160</v>
          </cell>
          <cell r="P826">
            <v>327</v>
          </cell>
          <cell r="T826">
            <v>906.59999999999945</v>
          </cell>
          <cell r="U826">
            <v>971.34999999999854</v>
          </cell>
          <cell r="V826">
            <v>906.60000000000036</v>
          </cell>
          <cell r="W826">
            <v>2299.1999999999994</v>
          </cell>
          <cell r="X826">
            <v>2272.8999999999996</v>
          </cell>
          <cell r="Y826">
            <v>2475.1999999999998</v>
          </cell>
        </row>
        <row r="827">
          <cell r="B827">
            <v>906.59999999999945</v>
          </cell>
          <cell r="C827">
            <v>997.25</v>
          </cell>
          <cell r="D827">
            <v>906.59999999999945</v>
          </cell>
          <cell r="E827">
            <v>-1009.9000000000005</v>
          </cell>
          <cell r="F827">
            <v>-537.22500000000036</v>
          </cell>
          <cell r="G827">
            <v>-2136.5500000000002</v>
          </cell>
          <cell r="K827">
            <v>0</v>
          </cell>
          <cell r="L827">
            <v>0</v>
          </cell>
          <cell r="M827">
            <v>0</v>
          </cell>
          <cell r="N827">
            <v>231</v>
          </cell>
          <cell r="O827">
            <v>196</v>
          </cell>
          <cell r="P827">
            <v>346</v>
          </cell>
          <cell r="T827">
            <v>906.59999999999945</v>
          </cell>
          <cell r="U827">
            <v>997.24999999999909</v>
          </cell>
          <cell r="V827">
            <v>906.59999999999945</v>
          </cell>
          <cell r="W827">
            <v>2219.1999999999994</v>
          </cell>
          <cell r="X827">
            <v>2210.0499999999997</v>
          </cell>
          <cell r="Y827">
            <v>2463.1999999999998</v>
          </cell>
        </row>
        <row r="828">
          <cell r="B828">
            <v>906.59999999999945</v>
          </cell>
          <cell r="C828">
            <v>1049.0499999999993</v>
          </cell>
          <cell r="D828">
            <v>919.55000000000018</v>
          </cell>
          <cell r="E828">
            <v>-945.15000000000055</v>
          </cell>
          <cell r="F828">
            <v>-304.125</v>
          </cell>
          <cell r="G828">
            <v>-2291.9499999999998</v>
          </cell>
          <cell r="K828">
            <v>0</v>
          </cell>
          <cell r="L828">
            <v>0</v>
          </cell>
          <cell r="M828">
            <v>0</v>
          </cell>
          <cell r="N828">
            <v>216</v>
          </cell>
          <cell r="O828">
            <v>190</v>
          </cell>
          <cell r="P828">
            <v>307</v>
          </cell>
          <cell r="T828">
            <v>906.59999999999945</v>
          </cell>
          <cell r="U828">
            <v>977.82499999999982</v>
          </cell>
          <cell r="V828">
            <v>906.60000000000036</v>
          </cell>
          <cell r="W828">
            <v>2297.1999999999989</v>
          </cell>
          <cell r="X828">
            <v>1716.7870618233278</v>
          </cell>
          <cell r="Y828">
            <v>2445.1999999999998</v>
          </cell>
        </row>
        <row r="829">
          <cell r="B829">
            <v>906.59999999999945</v>
          </cell>
          <cell r="C829">
            <v>951.92499999999927</v>
          </cell>
          <cell r="D829">
            <v>906.60000000000036</v>
          </cell>
          <cell r="E829">
            <v>-1113.5</v>
          </cell>
          <cell r="F829">
            <v>-453.05000000000109</v>
          </cell>
          <cell r="G829">
            <v>-2330.8000000000002</v>
          </cell>
          <cell r="K829">
            <v>0</v>
          </cell>
          <cell r="L829">
            <v>0</v>
          </cell>
          <cell r="M829">
            <v>0</v>
          </cell>
          <cell r="N829">
            <v>208</v>
          </cell>
          <cell r="O829">
            <v>180</v>
          </cell>
          <cell r="P829">
            <v>301</v>
          </cell>
          <cell r="T829">
            <v>906.59999999999945</v>
          </cell>
          <cell r="U829">
            <v>938.97499999999945</v>
          </cell>
          <cell r="V829">
            <v>906.59999999999945</v>
          </cell>
          <cell r="W829">
            <v>2257.1999999999989</v>
          </cell>
          <cell r="X829">
            <v>2297.7499999999995</v>
          </cell>
          <cell r="Y829">
            <v>804.05555253324655</v>
          </cell>
        </row>
        <row r="830">
          <cell r="B830">
            <v>906.59999999999945</v>
          </cell>
          <cell r="C830">
            <v>951.92500000000018</v>
          </cell>
          <cell r="D830">
            <v>906.60000000000036</v>
          </cell>
          <cell r="E830">
            <v>-971.05000000000018</v>
          </cell>
          <cell r="F830">
            <v>-647.30000000000018</v>
          </cell>
          <cell r="G830">
            <v>-2227.2000000000007</v>
          </cell>
          <cell r="K830">
            <v>0</v>
          </cell>
          <cell r="L830">
            <v>0</v>
          </cell>
          <cell r="M830">
            <v>0</v>
          </cell>
          <cell r="N830">
            <v>236</v>
          </cell>
          <cell r="O830">
            <v>179</v>
          </cell>
          <cell r="P830">
            <v>314</v>
          </cell>
          <cell r="T830">
            <v>906.59999999999945</v>
          </cell>
          <cell r="U830">
            <v>1010.1999999999998</v>
          </cell>
          <cell r="V830">
            <v>906.59999999999945</v>
          </cell>
          <cell r="W830">
            <v>2287.1999999999989</v>
          </cell>
          <cell r="X830">
            <v>2254.7999999999997</v>
          </cell>
          <cell r="Y830">
            <v>-1638.6374647165385</v>
          </cell>
        </row>
        <row r="831">
          <cell r="B831">
            <v>906.59999999999945</v>
          </cell>
          <cell r="C831">
            <v>971.34999999999945</v>
          </cell>
          <cell r="D831">
            <v>906.60000000000036</v>
          </cell>
          <cell r="E831">
            <v>-1100.5500000000002</v>
          </cell>
          <cell r="F831">
            <v>-342.97500000000036</v>
          </cell>
          <cell r="G831">
            <v>-2421.4499999999998</v>
          </cell>
          <cell r="K831">
            <v>0</v>
          </cell>
          <cell r="L831">
            <v>0</v>
          </cell>
          <cell r="M831">
            <v>0</v>
          </cell>
          <cell r="N831">
            <v>220</v>
          </cell>
          <cell r="O831">
            <v>187</v>
          </cell>
          <cell r="P831">
            <v>318</v>
          </cell>
          <cell r="T831">
            <v>906.59999999999945</v>
          </cell>
          <cell r="U831">
            <v>926.02499999999964</v>
          </cell>
          <cell r="V831">
            <v>906.60000000000036</v>
          </cell>
          <cell r="W831">
            <v>2271.1999999999994</v>
          </cell>
          <cell r="X831">
            <v>2299.2749999999992</v>
          </cell>
          <cell r="Y831">
            <v>-505.92923987825361</v>
          </cell>
        </row>
        <row r="832">
          <cell r="B832">
            <v>906.59999999999945</v>
          </cell>
          <cell r="C832">
            <v>1010.1999999999998</v>
          </cell>
          <cell r="D832">
            <v>906.59999999999945</v>
          </cell>
          <cell r="E832">
            <v>-1100.5500000000002</v>
          </cell>
          <cell r="F832">
            <v>-472.47500000000036</v>
          </cell>
          <cell r="G832">
            <v>-2227.2000000000007</v>
          </cell>
          <cell r="K832">
            <v>0</v>
          </cell>
          <cell r="L832">
            <v>0</v>
          </cell>
          <cell r="M832">
            <v>0</v>
          </cell>
          <cell r="N832">
            <v>221</v>
          </cell>
          <cell r="O832">
            <v>160</v>
          </cell>
          <cell r="P832">
            <v>304</v>
          </cell>
          <cell r="T832">
            <v>906.59999999999945</v>
          </cell>
          <cell r="U832">
            <v>951.92499999999927</v>
          </cell>
          <cell r="V832">
            <v>906.60000000000036</v>
          </cell>
          <cell r="W832">
            <v>2249.1999999999994</v>
          </cell>
          <cell r="X832">
            <v>2188.9999999999995</v>
          </cell>
          <cell r="Y832">
            <v>175.95063913096601</v>
          </cell>
        </row>
        <row r="833">
          <cell r="B833">
            <v>906.59999999999945</v>
          </cell>
          <cell r="C833">
            <v>958.39999999999964</v>
          </cell>
          <cell r="D833">
            <v>906.59999999999945</v>
          </cell>
          <cell r="E833">
            <v>-1139.4000000000005</v>
          </cell>
          <cell r="F833">
            <v>-712.05000000000018</v>
          </cell>
          <cell r="G833">
            <v>-2084.75</v>
          </cell>
          <cell r="K833">
            <v>0</v>
          </cell>
          <cell r="L833">
            <v>0</v>
          </cell>
          <cell r="M833">
            <v>0</v>
          </cell>
          <cell r="N833">
            <v>214</v>
          </cell>
          <cell r="O833">
            <v>198</v>
          </cell>
          <cell r="P833">
            <v>323</v>
          </cell>
          <cell r="T833">
            <v>906.59999999999945</v>
          </cell>
          <cell r="U833">
            <v>984.29999999999927</v>
          </cell>
          <cell r="V833">
            <v>906.60000000000036</v>
          </cell>
          <cell r="W833">
            <v>887.94998050084178</v>
          </cell>
          <cell r="X833">
            <v>989.24098971371654</v>
          </cell>
          <cell r="Y833">
            <v>2483.1999999999998</v>
          </cell>
        </row>
        <row r="834">
          <cell r="B834">
            <v>906.59999999999945</v>
          </cell>
          <cell r="C834">
            <v>990.77499999999873</v>
          </cell>
          <cell r="D834">
            <v>906.59999999999945</v>
          </cell>
          <cell r="E834">
            <v>-1126.4500000000007</v>
          </cell>
          <cell r="F834">
            <v>-582.55000000000018</v>
          </cell>
          <cell r="G834">
            <v>-2395.5500000000002</v>
          </cell>
          <cell r="K834">
            <v>0</v>
          </cell>
          <cell r="L834">
            <v>0</v>
          </cell>
          <cell r="M834">
            <v>0</v>
          </cell>
          <cell r="N834">
            <v>232</v>
          </cell>
          <cell r="O834">
            <v>189</v>
          </cell>
          <cell r="P834">
            <v>310</v>
          </cell>
          <cell r="T834">
            <v>906.59999999999945</v>
          </cell>
          <cell r="U834">
            <v>1010.1999999999989</v>
          </cell>
          <cell r="V834">
            <v>906.60000000000036</v>
          </cell>
          <cell r="W834">
            <v>2279.1999999999994</v>
          </cell>
          <cell r="X834">
            <v>2244.4249999999993</v>
          </cell>
          <cell r="Y834">
            <v>2469.1999999999989</v>
          </cell>
        </row>
        <row r="835">
          <cell r="B835">
            <v>906.59999999999945</v>
          </cell>
          <cell r="C835">
            <v>951.92499999999927</v>
          </cell>
          <cell r="D835">
            <v>906.60000000000036</v>
          </cell>
          <cell r="E835">
            <v>-1204.1500000000005</v>
          </cell>
          <cell r="F835">
            <v>-744.42500000000018</v>
          </cell>
          <cell r="G835">
            <v>-2343.75</v>
          </cell>
          <cell r="K835">
            <v>0</v>
          </cell>
          <cell r="L835">
            <v>0</v>
          </cell>
          <cell r="M835">
            <v>0</v>
          </cell>
          <cell r="N835">
            <v>243</v>
          </cell>
          <cell r="O835">
            <v>179</v>
          </cell>
          <cell r="P835">
            <v>332</v>
          </cell>
          <cell r="T835">
            <v>906.59999999999945</v>
          </cell>
          <cell r="U835">
            <v>984.29999999999927</v>
          </cell>
          <cell r="V835">
            <v>906.59999999999945</v>
          </cell>
          <cell r="W835">
            <v>-1048.75</v>
          </cell>
          <cell r="X835">
            <v>2212.5250000000001</v>
          </cell>
          <cell r="Y835">
            <v>-1829.8209350050465</v>
          </cell>
        </row>
        <row r="836">
          <cell r="B836">
            <v>906.59999999999945</v>
          </cell>
          <cell r="C836">
            <v>997.25</v>
          </cell>
          <cell r="D836">
            <v>906.59999999999945</v>
          </cell>
          <cell r="E836">
            <v>-1346.6000000000004</v>
          </cell>
          <cell r="F836">
            <v>-647.30000000000109</v>
          </cell>
          <cell r="G836">
            <v>-2550.9499999999998</v>
          </cell>
          <cell r="K836">
            <v>0</v>
          </cell>
          <cell r="L836">
            <v>0</v>
          </cell>
          <cell r="M836">
            <v>0</v>
          </cell>
          <cell r="N836">
            <v>217</v>
          </cell>
          <cell r="O836">
            <v>190</v>
          </cell>
          <cell r="P836">
            <v>298</v>
          </cell>
          <cell r="T836">
            <v>906.59999999999945</v>
          </cell>
          <cell r="U836">
            <v>977.82499999999891</v>
          </cell>
          <cell r="V836">
            <v>906.59999999999945</v>
          </cell>
          <cell r="W836">
            <v>2249.1999999999994</v>
          </cell>
          <cell r="X836">
            <v>2208.0499999999988</v>
          </cell>
          <cell r="Y836">
            <v>2399.1999999999989</v>
          </cell>
        </row>
        <row r="837">
          <cell r="B837">
            <v>906.59999999999945</v>
          </cell>
          <cell r="C837">
            <v>951.92499999999927</v>
          </cell>
          <cell r="D837">
            <v>906.59999999999945</v>
          </cell>
          <cell r="E837">
            <v>-1437.25</v>
          </cell>
          <cell r="F837">
            <v>-634.35000000000036</v>
          </cell>
          <cell r="G837">
            <v>-2279</v>
          </cell>
          <cell r="K837">
            <v>0</v>
          </cell>
          <cell r="L837">
            <v>0</v>
          </cell>
          <cell r="M837">
            <v>0</v>
          </cell>
          <cell r="N837">
            <v>198</v>
          </cell>
          <cell r="O837">
            <v>178</v>
          </cell>
          <cell r="P837">
            <v>302</v>
          </cell>
          <cell r="T837">
            <v>906.59999999999945</v>
          </cell>
          <cell r="U837">
            <v>945.44999999999891</v>
          </cell>
          <cell r="V837">
            <v>906.60000000000036</v>
          </cell>
          <cell r="W837">
            <v>-1178.25</v>
          </cell>
          <cell r="X837">
            <v>837.72466071213535</v>
          </cell>
          <cell r="Y837">
            <v>2449.1999999999989</v>
          </cell>
        </row>
        <row r="838">
          <cell r="B838">
            <v>906.59999999999945</v>
          </cell>
          <cell r="C838">
            <v>990.77499999999964</v>
          </cell>
          <cell r="D838">
            <v>906.60000000000036</v>
          </cell>
          <cell r="E838">
            <v>-1048.75</v>
          </cell>
          <cell r="F838">
            <v>-537.22500000000036</v>
          </cell>
          <cell r="G838">
            <v>-1929.3500000000004</v>
          </cell>
          <cell r="K838">
            <v>0</v>
          </cell>
          <cell r="L838">
            <v>0</v>
          </cell>
          <cell r="M838">
            <v>0</v>
          </cell>
          <cell r="N838">
            <v>222</v>
          </cell>
          <cell r="O838">
            <v>186</v>
          </cell>
          <cell r="P838">
            <v>310</v>
          </cell>
          <cell r="T838">
            <v>906.59999999999945</v>
          </cell>
          <cell r="U838">
            <v>1003.7249999999995</v>
          </cell>
          <cell r="V838">
            <v>932.5</v>
          </cell>
          <cell r="W838">
            <v>2245.1999999999998</v>
          </cell>
          <cell r="X838">
            <v>471.99349450969714</v>
          </cell>
          <cell r="Y838">
            <v>1526.971187775187</v>
          </cell>
        </row>
        <row r="839">
          <cell r="B839">
            <v>906.59999999999945</v>
          </cell>
          <cell r="C839">
            <v>958.39999999999964</v>
          </cell>
          <cell r="D839">
            <v>906.59999999999945</v>
          </cell>
          <cell r="E839">
            <v>-1048.75</v>
          </cell>
          <cell r="F839">
            <v>-589.02499999999964</v>
          </cell>
          <cell r="G839">
            <v>-2201.3000000000002</v>
          </cell>
          <cell r="K839">
            <v>0</v>
          </cell>
          <cell r="L839">
            <v>0</v>
          </cell>
          <cell r="M839">
            <v>0</v>
          </cell>
          <cell r="N839">
            <v>196</v>
          </cell>
          <cell r="O839">
            <v>184</v>
          </cell>
          <cell r="P839">
            <v>321</v>
          </cell>
          <cell r="T839">
            <v>906.59999999999945</v>
          </cell>
          <cell r="U839">
            <v>971.34999999999945</v>
          </cell>
          <cell r="V839">
            <v>906.59999999999945</v>
          </cell>
          <cell r="W839">
            <v>2275.1999999999998</v>
          </cell>
          <cell r="X839">
            <v>353.10518439844691</v>
          </cell>
          <cell r="Y839">
            <v>-1963.0060588538984</v>
          </cell>
        </row>
        <row r="840">
          <cell r="B840">
            <v>906.59999999999945</v>
          </cell>
          <cell r="C840">
            <v>971.34999999999854</v>
          </cell>
          <cell r="D840">
            <v>906.59999999999945</v>
          </cell>
          <cell r="E840">
            <v>-1230.0500000000002</v>
          </cell>
          <cell r="F840">
            <v>-770.32500000000073</v>
          </cell>
          <cell r="G840">
            <v>-1786.9000000000005</v>
          </cell>
          <cell r="K840">
            <v>0</v>
          </cell>
          <cell r="L840">
            <v>0</v>
          </cell>
          <cell r="M840">
            <v>0</v>
          </cell>
          <cell r="N840">
            <v>203</v>
          </cell>
          <cell r="O840">
            <v>176</v>
          </cell>
          <cell r="P840">
            <v>325</v>
          </cell>
          <cell r="T840">
            <v>906.59999999999945</v>
          </cell>
          <cell r="U840">
            <v>958.39999999999964</v>
          </cell>
          <cell r="V840">
            <v>906.59999999999945</v>
          </cell>
          <cell r="W840">
            <v>2297.1999999999989</v>
          </cell>
          <cell r="X840">
            <v>1473.5364414030462</v>
          </cell>
          <cell r="Y840">
            <v>2092.7775317117621</v>
          </cell>
        </row>
        <row r="841">
          <cell r="B841">
            <v>906.59999999999945</v>
          </cell>
          <cell r="C841">
            <v>958.39999999999964</v>
          </cell>
          <cell r="D841">
            <v>906.59999999999945</v>
          </cell>
          <cell r="E841">
            <v>-906.30000000000018</v>
          </cell>
          <cell r="F841">
            <v>-297.65000000000055</v>
          </cell>
          <cell r="G841">
            <v>-2382.6000000000004</v>
          </cell>
          <cell r="K841">
            <v>0</v>
          </cell>
          <cell r="L841">
            <v>0</v>
          </cell>
          <cell r="M841">
            <v>0</v>
          </cell>
          <cell r="N841">
            <v>217</v>
          </cell>
          <cell r="O841">
            <v>192</v>
          </cell>
          <cell r="P841">
            <v>348</v>
          </cell>
          <cell r="T841">
            <v>906.59999999999945</v>
          </cell>
          <cell r="U841">
            <v>997.25</v>
          </cell>
          <cell r="V841">
            <v>906.60000000000036</v>
          </cell>
          <cell r="W841">
            <v>2341.1999999999994</v>
          </cell>
          <cell r="X841">
            <v>2276.4250000000002</v>
          </cell>
          <cell r="Y841">
            <v>2481.1999999999998</v>
          </cell>
        </row>
        <row r="842">
          <cell r="B842">
            <v>906.59999999999945</v>
          </cell>
          <cell r="C842">
            <v>977.82499999999982</v>
          </cell>
          <cell r="D842">
            <v>906.59999999999945</v>
          </cell>
          <cell r="E842">
            <v>-919.25</v>
          </cell>
          <cell r="F842">
            <v>-407.72500000000036</v>
          </cell>
          <cell r="G842">
            <v>-2369.6500000000005</v>
          </cell>
          <cell r="K842">
            <v>0</v>
          </cell>
          <cell r="L842">
            <v>0</v>
          </cell>
          <cell r="M842">
            <v>0</v>
          </cell>
          <cell r="N842">
            <v>233</v>
          </cell>
          <cell r="O842">
            <v>191</v>
          </cell>
          <cell r="P842">
            <v>303</v>
          </cell>
          <cell r="T842">
            <v>906.59999999999945</v>
          </cell>
          <cell r="U842">
            <v>958.39999999999964</v>
          </cell>
          <cell r="V842">
            <v>906.60000000000036</v>
          </cell>
          <cell r="W842">
            <v>-1281.8500000000004</v>
          </cell>
          <cell r="X842">
            <v>2300.3249999999998</v>
          </cell>
          <cell r="Y842">
            <v>1207.6561449463043</v>
          </cell>
        </row>
        <row r="843">
          <cell r="B843">
            <v>906.59999999999945</v>
          </cell>
          <cell r="C843">
            <v>997.24999999999909</v>
          </cell>
          <cell r="D843">
            <v>906.59999999999945</v>
          </cell>
          <cell r="E843">
            <v>-1307.75</v>
          </cell>
          <cell r="F843">
            <v>-394.77499999999964</v>
          </cell>
          <cell r="G843">
            <v>-2395.5500000000002</v>
          </cell>
          <cell r="K843">
            <v>0</v>
          </cell>
          <cell r="L843">
            <v>0</v>
          </cell>
          <cell r="M843">
            <v>0</v>
          </cell>
          <cell r="N843">
            <v>236</v>
          </cell>
          <cell r="O843">
            <v>189</v>
          </cell>
          <cell r="P843">
            <v>326</v>
          </cell>
          <cell r="T843">
            <v>906.59999999999945</v>
          </cell>
          <cell r="U843">
            <v>971.34999999999945</v>
          </cell>
          <cell r="V843">
            <v>906.60000000000036</v>
          </cell>
          <cell r="W843">
            <v>1763.9755072018006</v>
          </cell>
          <cell r="X843">
            <v>2291.4750000000004</v>
          </cell>
          <cell r="Y843">
            <v>1874.7644648994483</v>
          </cell>
        </row>
        <row r="844">
          <cell r="B844">
            <v>906.59999999999945</v>
          </cell>
          <cell r="C844">
            <v>964.875</v>
          </cell>
          <cell r="D844">
            <v>906.59999999999945</v>
          </cell>
          <cell r="E844">
            <v>-1074.6500000000005</v>
          </cell>
          <cell r="F844">
            <v>-705.57500000000073</v>
          </cell>
          <cell r="G844">
            <v>-1968.2000000000007</v>
          </cell>
          <cell r="K844">
            <v>0</v>
          </cell>
          <cell r="L844">
            <v>0</v>
          </cell>
          <cell r="M844">
            <v>0</v>
          </cell>
          <cell r="N844">
            <v>226</v>
          </cell>
          <cell r="O844">
            <v>173</v>
          </cell>
          <cell r="P844">
            <v>330</v>
          </cell>
          <cell r="T844">
            <v>906.59999999999945</v>
          </cell>
          <cell r="U844">
            <v>958.39999999999964</v>
          </cell>
          <cell r="V844">
            <v>906.60000000000036</v>
          </cell>
          <cell r="W844">
            <v>-1217.1000000000004</v>
          </cell>
          <cell r="X844">
            <v>-375.35000000000036</v>
          </cell>
          <cell r="Y844">
            <v>-472.95695055608803</v>
          </cell>
        </row>
        <row r="845">
          <cell r="B845">
            <v>906.59999999999945</v>
          </cell>
          <cell r="C845">
            <v>971.34999999999945</v>
          </cell>
          <cell r="D845">
            <v>906.59999999999945</v>
          </cell>
          <cell r="E845">
            <v>-1204.1500000000005</v>
          </cell>
          <cell r="F845">
            <v>-252.32500000000073</v>
          </cell>
          <cell r="G845">
            <v>-2473.25</v>
          </cell>
          <cell r="K845">
            <v>0</v>
          </cell>
          <cell r="L845">
            <v>0</v>
          </cell>
          <cell r="M845">
            <v>0</v>
          </cell>
          <cell r="N845">
            <v>216</v>
          </cell>
          <cell r="O845">
            <v>180</v>
          </cell>
          <cell r="P845">
            <v>306</v>
          </cell>
          <cell r="T845">
            <v>906.59999999999945</v>
          </cell>
          <cell r="U845">
            <v>1029.6249999999991</v>
          </cell>
          <cell r="V845">
            <v>919.54999999999927</v>
          </cell>
          <cell r="W845">
            <v>1066.3233826589217</v>
          </cell>
          <cell r="X845">
            <v>2225</v>
          </cell>
          <cell r="Y845">
            <v>2396.9900344360976</v>
          </cell>
        </row>
        <row r="846">
          <cell r="B846">
            <v>906.59999999999945</v>
          </cell>
          <cell r="C846">
            <v>977.82499999999982</v>
          </cell>
          <cell r="D846">
            <v>906.60000000000036</v>
          </cell>
          <cell r="E846">
            <v>-996.95000000000073</v>
          </cell>
          <cell r="F846">
            <v>-265.27499999999964</v>
          </cell>
          <cell r="G846">
            <v>-2563.9000000000005</v>
          </cell>
          <cell r="K846">
            <v>0</v>
          </cell>
          <cell r="L846">
            <v>0</v>
          </cell>
          <cell r="M846">
            <v>0</v>
          </cell>
          <cell r="N846">
            <v>228</v>
          </cell>
          <cell r="O846">
            <v>179</v>
          </cell>
          <cell r="P846">
            <v>335</v>
          </cell>
          <cell r="T846">
            <v>906.59999999999945</v>
          </cell>
          <cell r="U846">
            <v>971.34999999999945</v>
          </cell>
          <cell r="V846">
            <v>906.59999999999945</v>
          </cell>
          <cell r="W846">
            <v>2297.1999999999989</v>
          </cell>
          <cell r="X846">
            <v>-409.42916022485036</v>
          </cell>
          <cell r="Y846">
            <v>2357.548381972495</v>
          </cell>
        </row>
        <row r="847">
          <cell r="B847">
            <v>906.59999999999945</v>
          </cell>
          <cell r="C847">
            <v>945.44999999999982</v>
          </cell>
          <cell r="D847">
            <v>906.60000000000036</v>
          </cell>
          <cell r="E847">
            <v>-1139.4000000000005</v>
          </cell>
          <cell r="F847">
            <v>-323.55000000000109</v>
          </cell>
          <cell r="G847">
            <v>-2317.8500000000004</v>
          </cell>
          <cell r="K847">
            <v>0</v>
          </cell>
          <cell r="L847">
            <v>0</v>
          </cell>
          <cell r="M847">
            <v>0</v>
          </cell>
          <cell r="N847">
            <v>233</v>
          </cell>
          <cell r="O847">
            <v>164</v>
          </cell>
          <cell r="P847">
            <v>336</v>
          </cell>
          <cell r="T847">
            <v>906.59999999999945</v>
          </cell>
          <cell r="U847">
            <v>997.25</v>
          </cell>
          <cell r="V847">
            <v>906.59999999999945</v>
          </cell>
          <cell r="W847">
            <v>2271.1999999999994</v>
          </cell>
          <cell r="X847">
            <v>2261.3749999999995</v>
          </cell>
          <cell r="Y847">
            <v>2465.1999999999998</v>
          </cell>
        </row>
        <row r="848">
          <cell r="B848">
            <v>906.59999999999945</v>
          </cell>
          <cell r="C848">
            <v>964.875</v>
          </cell>
          <cell r="D848">
            <v>906.59999999999945</v>
          </cell>
          <cell r="E848">
            <v>-1139.4000000000005</v>
          </cell>
          <cell r="F848">
            <v>-466</v>
          </cell>
          <cell r="G848">
            <v>-2045.9000000000005</v>
          </cell>
          <cell r="K848">
            <v>0</v>
          </cell>
          <cell r="L848">
            <v>0</v>
          </cell>
          <cell r="M848">
            <v>0</v>
          </cell>
          <cell r="N848">
            <v>220</v>
          </cell>
          <cell r="O848">
            <v>171</v>
          </cell>
          <cell r="P848">
            <v>338</v>
          </cell>
          <cell r="T848">
            <v>906.59999999999945</v>
          </cell>
          <cell r="U848">
            <v>984.30000000000018</v>
          </cell>
          <cell r="V848">
            <v>906.59999999999945</v>
          </cell>
          <cell r="W848">
            <v>1154.1550665239179</v>
          </cell>
          <cell r="X848">
            <v>2229.9499999999998</v>
          </cell>
          <cell r="Y848">
            <v>2423.1999999999998</v>
          </cell>
        </row>
        <row r="849">
          <cell r="B849">
            <v>906.59999999999945</v>
          </cell>
          <cell r="C849">
            <v>1010.1999999999998</v>
          </cell>
          <cell r="D849">
            <v>906.59999999999945</v>
          </cell>
          <cell r="E849">
            <v>-1087.6000000000004</v>
          </cell>
          <cell r="F849">
            <v>-388.30000000000109</v>
          </cell>
          <cell r="G849">
            <v>-2538</v>
          </cell>
          <cell r="K849">
            <v>0</v>
          </cell>
          <cell r="L849">
            <v>0</v>
          </cell>
          <cell r="M849">
            <v>0</v>
          </cell>
          <cell r="N849">
            <v>221</v>
          </cell>
          <cell r="O849">
            <v>187</v>
          </cell>
          <cell r="P849">
            <v>311</v>
          </cell>
          <cell r="T849">
            <v>906.59999999999945</v>
          </cell>
          <cell r="U849">
            <v>997.24999999999909</v>
          </cell>
          <cell r="V849">
            <v>906.60000000000036</v>
          </cell>
          <cell r="W849">
            <v>2247.1999999999989</v>
          </cell>
          <cell r="X849">
            <v>2280.3249999999998</v>
          </cell>
          <cell r="Y849">
            <v>1246.6623321745251</v>
          </cell>
        </row>
        <row r="850">
          <cell r="B850">
            <v>906.59999999999945</v>
          </cell>
          <cell r="C850">
            <v>1003.7249999999995</v>
          </cell>
          <cell r="D850">
            <v>906.60000000000036</v>
          </cell>
          <cell r="E850">
            <v>-1592.6500000000005</v>
          </cell>
          <cell r="F850">
            <v>-440.10000000000036</v>
          </cell>
          <cell r="G850">
            <v>-1903.4500000000007</v>
          </cell>
          <cell r="K850">
            <v>0</v>
          </cell>
          <cell r="L850">
            <v>0</v>
          </cell>
          <cell r="M850">
            <v>0</v>
          </cell>
          <cell r="N850">
            <v>234</v>
          </cell>
          <cell r="O850">
            <v>183</v>
          </cell>
          <cell r="P850">
            <v>301</v>
          </cell>
          <cell r="T850">
            <v>906.59999999999945</v>
          </cell>
          <cell r="U850">
            <v>951.92499999999927</v>
          </cell>
          <cell r="V850">
            <v>918.59999999999968</v>
          </cell>
          <cell r="W850">
            <v>2293.1999999999998</v>
          </cell>
          <cell r="X850">
            <v>2290.3249999999998</v>
          </cell>
          <cell r="Y850">
            <v>2427.1999999999989</v>
          </cell>
        </row>
        <row r="851">
          <cell r="B851">
            <v>906.59999999999945</v>
          </cell>
          <cell r="C851">
            <v>1003.7250000000004</v>
          </cell>
          <cell r="D851">
            <v>906.59999999999945</v>
          </cell>
          <cell r="E851">
            <v>-1113.5</v>
          </cell>
          <cell r="F851">
            <v>-589.02499999999964</v>
          </cell>
          <cell r="G851">
            <v>-2563.9000000000005</v>
          </cell>
          <cell r="K851">
            <v>0</v>
          </cell>
          <cell r="L851">
            <v>0</v>
          </cell>
          <cell r="M851">
            <v>0</v>
          </cell>
          <cell r="N851">
            <v>221</v>
          </cell>
          <cell r="O851">
            <v>192</v>
          </cell>
          <cell r="P851">
            <v>297</v>
          </cell>
          <cell r="T851">
            <v>906.59999999999945</v>
          </cell>
          <cell r="U851">
            <v>964.875</v>
          </cell>
          <cell r="V851">
            <v>906.59999999999945</v>
          </cell>
          <cell r="W851">
            <v>2233.1999999999998</v>
          </cell>
          <cell r="X851">
            <v>2246.9999999999991</v>
          </cell>
          <cell r="Y851">
            <v>2451.1999999999998</v>
          </cell>
        </row>
        <row r="852">
          <cell r="B852">
            <v>906.59999999999945</v>
          </cell>
          <cell r="C852">
            <v>958.39999999999964</v>
          </cell>
          <cell r="D852">
            <v>906.60000000000036</v>
          </cell>
          <cell r="E852">
            <v>-1178.25</v>
          </cell>
          <cell r="F852">
            <v>-919.25</v>
          </cell>
          <cell r="G852">
            <v>-2771.1000000000004</v>
          </cell>
          <cell r="K852">
            <v>0</v>
          </cell>
          <cell r="L852">
            <v>0</v>
          </cell>
          <cell r="M852">
            <v>0</v>
          </cell>
          <cell r="N852">
            <v>234</v>
          </cell>
          <cell r="O852">
            <v>176</v>
          </cell>
          <cell r="P852">
            <v>351</v>
          </cell>
          <cell r="T852">
            <v>906.59999999999945</v>
          </cell>
          <cell r="U852">
            <v>971.34999999999945</v>
          </cell>
          <cell r="V852">
            <v>906.59999999999945</v>
          </cell>
          <cell r="W852">
            <v>2245.1999999999998</v>
          </cell>
          <cell r="X852">
            <v>2204.0500000000002</v>
          </cell>
          <cell r="Y852">
            <v>2443.1999999999998</v>
          </cell>
        </row>
        <row r="853">
          <cell r="B853">
            <v>906.59999999999945</v>
          </cell>
          <cell r="C853">
            <v>977.82499999999891</v>
          </cell>
          <cell r="D853">
            <v>906.59999999999945</v>
          </cell>
          <cell r="E853">
            <v>-945.15000000000055</v>
          </cell>
          <cell r="F853">
            <v>-614.92500000000109</v>
          </cell>
          <cell r="G853">
            <v>-2460.3000000000002</v>
          </cell>
          <cell r="K853">
            <v>0</v>
          </cell>
          <cell r="L853">
            <v>0</v>
          </cell>
          <cell r="M853">
            <v>0</v>
          </cell>
          <cell r="N853">
            <v>223</v>
          </cell>
          <cell r="O853">
            <v>192</v>
          </cell>
          <cell r="P853">
            <v>325</v>
          </cell>
          <cell r="T853">
            <v>906.59999999999945</v>
          </cell>
          <cell r="U853">
            <v>990.77499999999964</v>
          </cell>
          <cell r="V853">
            <v>906.59999999999945</v>
          </cell>
          <cell r="W853">
            <v>2269.1999999999994</v>
          </cell>
          <cell r="X853">
            <v>2192.0499999999993</v>
          </cell>
          <cell r="Y853">
            <v>-2110.6500000000005</v>
          </cell>
        </row>
        <row r="854">
          <cell r="B854">
            <v>906.59999999999945</v>
          </cell>
          <cell r="C854">
            <v>1023.1499999999996</v>
          </cell>
          <cell r="D854">
            <v>906.59999999999945</v>
          </cell>
          <cell r="E854">
            <v>-1100.5500000000002</v>
          </cell>
          <cell r="F854">
            <v>-330.02499999999964</v>
          </cell>
          <cell r="G854">
            <v>-2395.5500000000002</v>
          </cell>
          <cell r="K854">
            <v>0</v>
          </cell>
          <cell r="L854">
            <v>0</v>
          </cell>
          <cell r="M854">
            <v>0</v>
          </cell>
          <cell r="N854">
            <v>219</v>
          </cell>
          <cell r="O854">
            <v>163</v>
          </cell>
          <cell r="P854">
            <v>335</v>
          </cell>
          <cell r="T854">
            <v>906.59999999999945</v>
          </cell>
          <cell r="U854">
            <v>977.82499999999891</v>
          </cell>
          <cell r="V854">
            <v>906.60000000000036</v>
          </cell>
          <cell r="W854">
            <v>2249.1999999999994</v>
          </cell>
          <cell r="X854">
            <v>2281.3749999999991</v>
          </cell>
          <cell r="Y854">
            <v>2447.1999999999998</v>
          </cell>
        </row>
        <row r="855">
          <cell r="B855">
            <v>906.59999999999945</v>
          </cell>
          <cell r="C855">
            <v>971.34999999999945</v>
          </cell>
          <cell r="D855">
            <v>906.59999999999945</v>
          </cell>
          <cell r="E855">
            <v>-1022.8500000000004</v>
          </cell>
          <cell r="F855">
            <v>-284.70000000000073</v>
          </cell>
          <cell r="G855">
            <v>-2240.1500000000005</v>
          </cell>
          <cell r="K855">
            <v>0</v>
          </cell>
          <cell r="L855">
            <v>0</v>
          </cell>
          <cell r="M855">
            <v>0</v>
          </cell>
          <cell r="N855">
            <v>229</v>
          </cell>
          <cell r="O855">
            <v>182</v>
          </cell>
          <cell r="P855">
            <v>314</v>
          </cell>
          <cell r="T855">
            <v>906.59999999999945</v>
          </cell>
          <cell r="U855">
            <v>977.82499999999982</v>
          </cell>
          <cell r="V855">
            <v>906.60000000000036</v>
          </cell>
          <cell r="W855">
            <v>2277.1999999999989</v>
          </cell>
          <cell r="X855">
            <v>2201.5749999999994</v>
          </cell>
          <cell r="Y855">
            <v>2445.1999999999998</v>
          </cell>
        </row>
        <row r="856">
          <cell r="B856">
            <v>906.59999999999945</v>
          </cell>
          <cell r="C856">
            <v>977.82499999999891</v>
          </cell>
          <cell r="D856">
            <v>919.55000000000018</v>
          </cell>
          <cell r="E856">
            <v>-1035.8000000000002</v>
          </cell>
          <cell r="F856">
            <v>-517.80000000000109</v>
          </cell>
          <cell r="G856">
            <v>-2460.3000000000002</v>
          </cell>
          <cell r="K856">
            <v>0</v>
          </cell>
          <cell r="L856">
            <v>0</v>
          </cell>
          <cell r="M856">
            <v>0</v>
          </cell>
          <cell r="N856">
            <v>198</v>
          </cell>
          <cell r="O856">
            <v>188</v>
          </cell>
          <cell r="P856">
            <v>300</v>
          </cell>
          <cell r="T856">
            <v>906.59999999999945</v>
          </cell>
          <cell r="U856">
            <v>971.35000000000036</v>
          </cell>
          <cell r="V856">
            <v>906.59999999999945</v>
          </cell>
          <cell r="W856">
            <v>2227.1999999999989</v>
          </cell>
          <cell r="X856">
            <v>1102.0991898312202</v>
          </cell>
          <cell r="Y856">
            <v>-1086.6439946812056</v>
          </cell>
        </row>
        <row r="857">
          <cell r="B857">
            <v>906.59999999999945</v>
          </cell>
          <cell r="C857">
            <v>977.82499999999982</v>
          </cell>
          <cell r="D857">
            <v>906.59999999999945</v>
          </cell>
          <cell r="E857">
            <v>-945.15000000000055</v>
          </cell>
          <cell r="F857">
            <v>-420.67500000000109</v>
          </cell>
          <cell r="G857">
            <v>-2473.25</v>
          </cell>
          <cell r="K857">
            <v>0</v>
          </cell>
          <cell r="L857">
            <v>0</v>
          </cell>
          <cell r="M857">
            <v>0</v>
          </cell>
          <cell r="N857">
            <v>219</v>
          </cell>
          <cell r="O857">
            <v>179</v>
          </cell>
          <cell r="P857">
            <v>320</v>
          </cell>
          <cell r="T857">
            <v>906.59999999999945</v>
          </cell>
          <cell r="U857">
            <v>971.34999999999854</v>
          </cell>
          <cell r="V857">
            <v>906.59999999999945</v>
          </cell>
          <cell r="W857">
            <v>2211.1999999999994</v>
          </cell>
          <cell r="X857">
            <v>2269.474999999999</v>
          </cell>
          <cell r="Y857">
            <v>2426.1499999999996</v>
          </cell>
        </row>
        <row r="858">
          <cell r="B858">
            <v>906.59999999999945</v>
          </cell>
          <cell r="C858">
            <v>984.30000000000018</v>
          </cell>
          <cell r="D858">
            <v>906.59999999999945</v>
          </cell>
          <cell r="E858">
            <v>-1113.5</v>
          </cell>
          <cell r="F858">
            <v>-388.30000000000109</v>
          </cell>
          <cell r="G858">
            <v>-2097.7000000000007</v>
          </cell>
          <cell r="K858">
            <v>0</v>
          </cell>
          <cell r="L858">
            <v>0</v>
          </cell>
          <cell r="M858">
            <v>0</v>
          </cell>
          <cell r="N858">
            <v>215</v>
          </cell>
          <cell r="O858">
            <v>172</v>
          </cell>
          <cell r="P858">
            <v>329</v>
          </cell>
          <cell r="T858">
            <v>906.59999999999945</v>
          </cell>
          <cell r="U858">
            <v>977.82499999999982</v>
          </cell>
          <cell r="V858">
            <v>906.59999999999945</v>
          </cell>
          <cell r="W858">
            <v>2241.1999999999994</v>
          </cell>
          <cell r="X858">
            <v>1248.1810401288406</v>
          </cell>
          <cell r="Y858">
            <v>223.13494260228208</v>
          </cell>
        </row>
        <row r="859">
          <cell r="B859">
            <v>906.59999999999945</v>
          </cell>
          <cell r="C859">
            <v>971.34999999999945</v>
          </cell>
          <cell r="D859">
            <v>906.59999999999945</v>
          </cell>
          <cell r="E859">
            <v>-971.05000000000018</v>
          </cell>
          <cell r="F859">
            <v>-466</v>
          </cell>
          <cell r="G859">
            <v>-2175.4000000000005</v>
          </cell>
          <cell r="K859">
            <v>0</v>
          </cell>
          <cell r="L859">
            <v>0</v>
          </cell>
          <cell r="M859">
            <v>0</v>
          </cell>
          <cell r="N859">
            <v>212</v>
          </cell>
          <cell r="O859">
            <v>156</v>
          </cell>
          <cell r="P859">
            <v>303</v>
          </cell>
          <cell r="T859">
            <v>906.59999999999945</v>
          </cell>
          <cell r="U859">
            <v>964.875</v>
          </cell>
          <cell r="V859">
            <v>906.60000000000036</v>
          </cell>
          <cell r="W859">
            <v>2237.1999999999989</v>
          </cell>
          <cell r="X859">
            <v>-407.72500000000036</v>
          </cell>
          <cell r="Y859">
            <v>1257.9964850719484</v>
          </cell>
        </row>
        <row r="860">
          <cell r="B860">
            <v>906.59999999999945</v>
          </cell>
          <cell r="C860">
            <v>958.39999999999964</v>
          </cell>
          <cell r="D860">
            <v>880.69999999999982</v>
          </cell>
          <cell r="E860">
            <v>-1294.8000000000002</v>
          </cell>
          <cell r="F860">
            <v>-381.82500000000073</v>
          </cell>
          <cell r="G860">
            <v>-2227.2000000000007</v>
          </cell>
          <cell r="K860">
            <v>0</v>
          </cell>
          <cell r="L860">
            <v>0</v>
          </cell>
          <cell r="M860">
            <v>0</v>
          </cell>
          <cell r="N860">
            <v>222</v>
          </cell>
          <cell r="O860">
            <v>201</v>
          </cell>
          <cell r="P860">
            <v>329</v>
          </cell>
          <cell r="T860">
            <v>906.59999999999945</v>
          </cell>
          <cell r="U860">
            <v>951.92499999999927</v>
          </cell>
          <cell r="V860">
            <v>906.59999999999945</v>
          </cell>
          <cell r="W860">
            <v>2271.1999999999994</v>
          </cell>
          <cell r="X860">
            <v>2341.7499999999991</v>
          </cell>
          <cell r="Y860">
            <v>808.91447695179522</v>
          </cell>
        </row>
        <row r="861">
          <cell r="B861">
            <v>906.59999999999945</v>
          </cell>
          <cell r="C861">
            <v>945.44999999999982</v>
          </cell>
          <cell r="D861">
            <v>906.60000000000036</v>
          </cell>
          <cell r="E861">
            <v>-1255.9500000000007</v>
          </cell>
          <cell r="F861">
            <v>-459.52500000000055</v>
          </cell>
          <cell r="G861">
            <v>-2240.1500000000005</v>
          </cell>
          <cell r="K861">
            <v>0</v>
          </cell>
          <cell r="L861">
            <v>0</v>
          </cell>
          <cell r="M861">
            <v>0</v>
          </cell>
          <cell r="N861">
            <v>216</v>
          </cell>
          <cell r="O861">
            <v>179</v>
          </cell>
          <cell r="P861">
            <v>334</v>
          </cell>
          <cell r="T861">
            <v>906.59999999999945</v>
          </cell>
          <cell r="U861">
            <v>964.87499999999909</v>
          </cell>
          <cell r="V861">
            <v>906.59999999999945</v>
          </cell>
          <cell r="W861">
            <v>-1268.9000000000005</v>
          </cell>
          <cell r="X861">
            <v>2198.0499999999988</v>
          </cell>
          <cell r="Y861">
            <v>1063.5021287341947</v>
          </cell>
        </row>
        <row r="862">
          <cell r="B862">
            <v>906.59999999999945</v>
          </cell>
          <cell r="C862">
            <v>977.82499999999891</v>
          </cell>
          <cell r="D862">
            <v>906.59999999999945</v>
          </cell>
          <cell r="E862">
            <v>-1035.8000000000002</v>
          </cell>
          <cell r="F862">
            <v>-433.625</v>
          </cell>
          <cell r="G862">
            <v>-2421.4499999999998</v>
          </cell>
          <cell r="K862">
            <v>0</v>
          </cell>
          <cell r="L862">
            <v>0</v>
          </cell>
          <cell r="M862">
            <v>0</v>
          </cell>
          <cell r="N862">
            <v>226</v>
          </cell>
          <cell r="O862">
            <v>180</v>
          </cell>
          <cell r="P862">
            <v>320</v>
          </cell>
          <cell r="T862">
            <v>906.59999999999945</v>
          </cell>
          <cell r="U862">
            <v>997.25</v>
          </cell>
          <cell r="V862">
            <v>919.54999999999927</v>
          </cell>
          <cell r="W862">
            <v>2249.1999999999994</v>
          </cell>
          <cell r="X862">
            <v>2279.2749999999992</v>
          </cell>
          <cell r="Y862">
            <v>-1440.373546549534</v>
          </cell>
        </row>
        <row r="863">
          <cell r="B863">
            <v>906.59999999999945</v>
          </cell>
          <cell r="C863">
            <v>977.82499999999891</v>
          </cell>
          <cell r="D863">
            <v>906.59999999999945</v>
          </cell>
          <cell r="E863">
            <v>-1243</v>
          </cell>
          <cell r="F863">
            <v>-524.27499999999964</v>
          </cell>
          <cell r="G863">
            <v>-2317.8500000000004</v>
          </cell>
          <cell r="K863">
            <v>0</v>
          </cell>
          <cell r="L863">
            <v>0</v>
          </cell>
          <cell r="M863">
            <v>0</v>
          </cell>
          <cell r="N863">
            <v>219</v>
          </cell>
          <cell r="O863">
            <v>186</v>
          </cell>
          <cell r="P863">
            <v>330</v>
          </cell>
          <cell r="T863">
            <v>906.59999999999945</v>
          </cell>
          <cell r="U863">
            <v>1003.7249999999985</v>
          </cell>
          <cell r="V863">
            <v>906.60000000000036</v>
          </cell>
          <cell r="W863">
            <v>2237.1999999999989</v>
          </cell>
          <cell r="X863">
            <v>2236.5660721381973</v>
          </cell>
          <cell r="Y863">
            <v>2176.0557894103658</v>
          </cell>
        </row>
        <row r="864">
          <cell r="B864">
            <v>906.59999999999945</v>
          </cell>
          <cell r="C864">
            <v>958.39999999999964</v>
          </cell>
          <cell r="D864">
            <v>906.59999999999945</v>
          </cell>
          <cell r="E864">
            <v>-945.15000000000055</v>
          </cell>
          <cell r="F864">
            <v>-330.02499999999964</v>
          </cell>
          <cell r="G864">
            <v>-2149.5</v>
          </cell>
          <cell r="K864">
            <v>0</v>
          </cell>
          <cell r="L864">
            <v>0</v>
          </cell>
          <cell r="M864">
            <v>0</v>
          </cell>
          <cell r="N864">
            <v>216</v>
          </cell>
          <cell r="O864">
            <v>179</v>
          </cell>
          <cell r="P864">
            <v>322</v>
          </cell>
          <cell r="T864">
            <v>906.59999999999945</v>
          </cell>
          <cell r="U864">
            <v>958.39999999999964</v>
          </cell>
          <cell r="V864">
            <v>906.60000000000036</v>
          </cell>
          <cell r="W864">
            <v>2283.1999999999998</v>
          </cell>
          <cell r="X864">
            <v>2178.9999999999995</v>
          </cell>
          <cell r="Y864">
            <v>253.39514267775576</v>
          </cell>
        </row>
        <row r="865">
          <cell r="B865">
            <v>906.59999999999945</v>
          </cell>
          <cell r="C865">
            <v>964.87499999999909</v>
          </cell>
          <cell r="D865">
            <v>906.59999999999945</v>
          </cell>
          <cell r="E865">
            <v>-1178.25</v>
          </cell>
          <cell r="F865">
            <v>-530.75</v>
          </cell>
          <cell r="G865">
            <v>-2330.8000000000002</v>
          </cell>
          <cell r="K865">
            <v>0</v>
          </cell>
          <cell r="L865">
            <v>0</v>
          </cell>
          <cell r="M865">
            <v>0</v>
          </cell>
          <cell r="N865">
            <v>228</v>
          </cell>
          <cell r="O865">
            <v>188</v>
          </cell>
          <cell r="P865">
            <v>298</v>
          </cell>
          <cell r="T865">
            <v>906.59999999999945</v>
          </cell>
          <cell r="U865">
            <v>964.87499999999909</v>
          </cell>
          <cell r="V865">
            <v>906.59999999999945</v>
          </cell>
          <cell r="W865">
            <v>2253.1999999999998</v>
          </cell>
          <cell r="X865">
            <v>2206.0499999999997</v>
          </cell>
          <cell r="Y865">
            <v>2481.1999999999998</v>
          </cell>
        </row>
        <row r="866">
          <cell r="B866">
            <v>906.59999999999945</v>
          </cell>
          <cell r="C866">
            <v>977.82499999999891</v>
          </cell>
          <cell r="D866">
            <v>906.59999999999945</v>
          </cell>
          <cell r="E866">
            <v>-1398.4000000000005</v>
          </cell>
          <cell r="F866">
            <v>-744.42500000000018</v>
          </cell>
          <cell r="G866">
            <v>-2563.9000000000005</v>
          </cell>
          <cell r="K866">
            <v>0</v>
          </cell>
          <cell r="L866">
            <v>0</v>
          </cell>
          <cell r="M866">
            <v>0</v>
          </cell>
          <cell r="N866">
            <v>240</v>
          </cell>
          <cell r="O866">
            <v>173</v>
          </cell>
          <cell r="P866">
            <v>326</v>
          </cell>
          <cell r="T866">
            <v>906.59999999999945</v>
          </cell>
          <cell r="U866">
            <v>964.875</v>
          </cell>
          <cell r="V866">
            <v>906.59999999999945</v>
          </cell>
          <cell r="W866">
            <v>-892.88667419889498</v>
          </cell>
          <cell r="X866">
            <v>1169.3694596687874</v>
          </cell>
          <cell r="Y866">
            <v>2497.1999999999998</v>
          </cell>
        </row>
        <row r="867">
          <cell r="B867">
            <v>906.59999999999945</v>
          </cell>
          <cell r="C867">
            <v>977.82499999999891</v>
          </cell>
          <cell r="D867">
            <v>906.60000000000036</v>
          </cell>
          <cell r="E867">
            <v>-1204.1500000000005</v>
          </cell>
          <cell r="F867">
            <v>-466</v>
          </cell>
          <cell r="G867">
            <v>-2266.0500000000002</v>
          </cell>
          <cell r="K867">
            <v>0</v>
          </cell>
          <cell r="L867">
            <v>0</v>
          </cell>
          <cell r="M867">
            <v>0</v>
          </cell>
          <cell r="N867">
            <v>224</v>
          </cell>
          <cell r="O867">
            <v>166</v>
          </cell>
          <cell r="P867">
            <v>336</v>
          </cell>
          <cell r="T867">
            <v>906.59999999999945</v>
          </cell>
          <cell r="U867">
            <v>1010.1999999999989</v>
          </cell>
          <cell r="V867">
            <v>906.59999999999945</v>
          </cell>
          <cell r="W867">
            <v>2237.1999999999989</v>
          </cell>
          <cell r="X867">
            <v>2291.3749999999991</v>
          </cell>
          <cell r="Y867">
            <v>2493.1999999999998</v>
          </cell>
        </row>
        <row r="868">
          <cell r="B868">
            <v>906.59999999999945</v>
          </cell>
          <cell r="C868">
            <v>971.34999999999945</v>
          </cell>
          <cell r="D868">
            <v>893.64999999999964</v>
          </cell>
          <cell r="E868">
            <v>-906.30000000000018</v>
          </cell>
          <cell r="F868">
            <v>-530.75</v>
          </cell>
          <cell r="G868">
            <v>-2693.4000000000005</v>
          </cell>
          <cell r="K868">
            <v>0</v>
          </cell>
          <cell r="L868">
            <v>0</v>
          </cell>
          <cell r="M868">
            <v>0</v>
          </cell>
          <cell r="N868">
            <v>223</v>
          </cell>
          <cell r="O868">
            <v>181</v>
          </cell>
          <cell r="P868">
            <v>317</v>
          </cell>
          <cell r="T868">
            <v>906.59999999999945</v>
          </cell>
          <cell r="U868">
            <v>997.24999999999909</v>
          </cell>
          <cell r="V868">
            <v>906.59999999999945</v>
          </cell>
          <cell r="W868">
            <v>2225.1999999999998</v>
          </cell>
          <cell r="X868">
            <v>2206.0499999999997</v>
          </cell>
          <cell r="Y868">
            <v>-57.341271121332738</v>
          </cell>
        </row>
        <row r="869">
          <cell r="B869">
            <v>906.59999999999945</v>
          </cell>
          <cell r="C869">
            <v>932.49999999999909</v>
          </cell>
          <cell r="D869">
            <v>906.60000000000036</v>
          </cell>
          <cell r="E869">
            <v>-1152.3500000000004</v>
          </cell>
          <cell r="F869">
            <v>-453.05000000000018</v>
          </cell>
          <cell r="G869">
            <v>-2214.25</v>
          </cell>
          <cell r="K869">
            <v>0</v>
          </cell>
          <cell r="L869">
            <v>0</v>
          </cell>
          <cell r="M869">
            <v>0</v>
          </cell>
          <cell r="N869">
            <v>208</v>
          </cell>
          <cell r="O869">
            <v>192</v>
          </cell>
          <cell r="P869">
            <v>332</v>
          </cell>
          <cell r="T869">
            <v>906.59999999999945</v>
          </cell>
          <cell r="U869">
            <v>951.92499999999927</v>
          </cell>
          <cell r="V869">
            <v>906.59999999999945</v>
          </cell>
          <cell r="W869">
            <v>2279.1999999999994</v>
          </cell>
          <cell r="X869">
            <v>853.66957808607617</v>
          </cell>
          <cell r="Y869">
            <v>2383.1999999999998</v>
          </cell>
        </row>
        <row r="870">
          <cell r="B870">
            <v>906.59999999999945</v>
          </cell>
          <cell r="C870">
            <v>990.77499999999964</v>
          </cell>
          <cell r="D870">
            <v>906.59999999999945</v>
          </cell>
          <cell r="E870">
            <v>-1307.75</v>
          </cell>
          <cell r="F870">
            <v>-219.95000000000073</v>
          </cell>
          <cell r="G870">
            <v>-2369.6500000000005</v>
          </cell>
          <cell r="K870">
            <v>0</v>
          </cell>
          <cell r="L870">
            <v>0</v>
          </cell>
          <cell r="M870">
            <v>0</v>
          </cell>
          <cell r="N870">
            <v>244</v>
          </cell>
          <cell r="O870">
            <v>170</v>
          </cell>
          <cell r="P870">
            <v>336</v>
          </cell>
          <cell r="T870">
            <v>906.59999999999945</v>
          </cell>
          <cell r="U870">
            <v>997.24999999999909</v>
          </cell>
          <cell r="V870">
            <v>906.60000000000036</v>
          </cell>
          <cell r="W870">
            <v>2287.1999999999989</v>
          </cell>
          <cell r="X870">
            <v>2210.0499999999997</v>
          </cell>
          <cell r="Y870">
            <v>-1145.6675122279642</v>
          </cell>
        </row>
        <row r="871">
          <cell r="B871">
            <v>906.59999999999945</v>
          </cell>
          <cell r="C871">
            <v>971.34999999999854</v>
          </cell>
          <cell r="D871">
            <v>906.59999999999945</v>
          </cell>
          <cell r="E871">
            <v>-1087.6000000000004</v>
          </cell>
          <cell r="F871">
            <v>-459.52500000000055</v>
          </cell>
          <cell r="G871">
            <v>-2563.9000000000005</v>
          </cell>
          <cell r="K871">
            <v>0</v>
          </cell>
          <cell r="L871">
            <v>0</v>
          </cell>
          <cell r="M871">
            <v>0</v>
          </cell>
          <cell r="N871">
            <v>215</v>
          </cell>
          <cell r="O871">
            <v>176</v>
          </cell>
          <cell r="P871">
            <v>325</v>
          </cell>
          <cell r="T871">
            <v>906.59999999999945</v>
          </cell>
          <cell r="U871">
            <v>958.39999999999964</v>
          </cell>
          <cell r="V871">
            <v>906.59999999999945</v>
          </cell>
          <cell r="W871">
            <v>2263.1999999999998</v>
          </cell>
          <cell r="X871">
            <v>2241.3749999999995</v>
          </cell>
          <cell r="Y871">
            <v>2421.1999999999998</v>
          </cell>
        </row>
        <row r="872">
          <cell r="B872">
            <v>906.59999999999945</v>
          </cell>
          <cell r="C872">
            <v>971.34999999999945</v>
          </cell>
          <cell r="D872">
            <v>906.59999999999945</v>
          </cell>
          <cell r="E872">
            <v>-1113.5</v>
          </cell>
          <cell r="F872">
            <v>-692.625</v>
          </cell>
          <cell r="G872">
            <v>-2641.6000000000004</v>
          </cell>
          <cell r="K872">
            <v>0</v>
          </cell>
          <cell r="L872">
            <v>0</v>
          </cell>
          <cell r="M872">
            <v>0</v>
          </cell>
          <cell r="N872">
            <v>224</v>
          </cell>
          <cell r="O872">
            <v>177</v>
          </cell>
          <cell r="P872">
            <v>308</v>
          </cell>
          <cell r="T872">
            <v>906.59999999999945</v>
          </cell>
          <cell r="U872">
            <v>977.82499999999891</v>
          </cell>
          <cell r="V872">
            <v>906.59999999999945</v>
          </cell>
          <cell r="W872">
            <v>1066.3063073555777</v>
          </cell>
          <cell r="X872">
            <v>2281.3749999999991</v>
          </cell>
          <cell r="Y872">
            <v>1734.4353808139995</v>
          </cell>
        </row>
        <row r="873">
          <cell r="B873">
            <v>906.59999999999945</v>
          </cell>
          <cell r="C873">
            <v>984.29999999999927</v>
          </cell>
          <cell r="D873">
            <v>906.60000000000036</v>
          </cell>
          <cell r="E873">
            <v>-958.10000000000036</v>
          </cell>
          <cell r="F873">
            <v>-336.5</v>
          </cell>
          <cell r="G873">
            <v>-2693.4000000000005</v>
          </cell>
          <cell r="K873">
            <v>0</v>
          </cell>
          <cell r="L873">
            <v>0</v>
          </cell>
          <cell r="M873">
            <v>0</v>
          </cell>
          <cell r="N873">
            <v>244</v>
          </cell>
          <cell r="O873">
            <v>187</v>
          </cell>
          <cell r="P873">
            <v>325</v>
          </cell>
          <cell r="T873">
            <v>906.59999999999945</v>
          </cell>
          <cell r="U873">
            <v>958.39999999999964</v>
          </cell>
          <cell r="V873">
            <v>906.59999999999945</v>
          </cell>
          <cell r="W873">
            <v>2020.0151650278899</v>
          </cell>
          <cell r="X873">
            <v>2293.2749999999996</v>
          </cell>
          <cell r="Y873">
            <v>-1728.1315164011844</v>
          </cell>
        </row>
        <row r="874">
          <cell r="B874">
            <v>906.59999999999945</v>
          </cell>
          <cell r="C874">
            <v>990.77499999999964</v>
          </cell>
          <cell r="D874">
            <v>906.59999999999945</v>
          </cell>
          <cell r="E874">
            <v>-841.55000000000018</v>
          </cell>
          <cell r="F874">
            <v>-381.82500000000073</v>
          </cell>
          <cell r="G874">
            <v>-2369.6500000000005</v>
          </cell>
          <cell r="K874">
            <v>0</v>
          </cell>
          <cell r="L874">
            <v>0</v>
          </cell>
          <cell r="M874">
            <v>0</v>
          </cell>
          <cell r="N874">
            <v>232</v>
          </cell>
          <cell r="O874">
            <v>173</v>
          </cell>
          <cell r="P874">
            <v>316</v>
          </cell>
          <cell r="T874">
            <v>906.59999999999945</v>
          </cell>
          <cell r="U874">
            <v>951.92500000000018</v>
          </cell>
          <cell r="V874">
            <v>906.60000000000036</v>
          </cell>
          <cell r="W874">
            <v>1581.682117309279</v>
          </cell>
          <cell r="X874">
            <v>-576.07500000000073</v>
          </cell>
          <cell r="Y874">
            <v>2485.1999999999998</v>
          </cell>
        </row>
        <row r="875">
          <cell r="B875">
            <v>906.59999999999945</v>
          </cell>
          <cell r="C875">
            <v>977.82499999999982</v>
          </cell>
          <cell r="D875">
            <v>906.59999999999945</v>
          </cell>
          <cell r="E875">
            <v>-1191.2000000000007</v>
          </cell>
          <cell r="F875">
            <v>-537.22500000000036</v>
          </cell>
          <cell r="G875">
            <v>-1994.1000000000004</v>
          </cell>
          <cell r="K875">
            <v>0</v>
          </cell>
          <cell r="L875">
            <v>0</v>
          </cell>
          <cell r="M875">
            <v>0</v>
          </cell>
          <cell r="N875">
            <v>211</v>
          </cell>
          <cell r="O875">
            <v>193</v>
          </cell>
          <cell r="P875">
            <v>351</v>
          </cell>
          <cell r="T875">
            <v>906.59999999999945</v>
          </cell>
          <cell r="U875">
            <v>951.92499999999927</v>
          </cell>
          <cell r="V875">
            <v>906.59999999999945</v>
          </cell>
          <cell r="W875">
            <v>2245.1999999999998</v>
          </cell>
          <cell r="X875">
            <v>2292.3249999999998</v>
          </cell>
          <cell r="Y875">
            <v>172.90513316096849</v>
          </cell>
        </row>
        <row r="876">
          <cell r="B876">
            <v>906.59999999999945</v>
          </cell>
          <cell r="C876">
            <v>990.77499999999964</v>
          </cell>
          <cell r="D876">
            <v>906.59999999999945</v>
          </cell>
          <cell r="E876">
            <v>-867.45000000000073</v>
          </cell>
          <cell r="F876">
            <v>-524.27499999999964</v>
          </cell>
          <cell r="G876">
            <v>-2317.8500000000004</v>
          </cell>
          <cell r="K876">
            <v>0</v>
          </cell>
          <cell r="L876">
            <v>0</v>
          </cell>
          <cell r="M876">
            <v>0</v>
          </cell>
          <cell r="N876">
            <v>217</v>
          </cell>
          <cell r="O876">
            <v>171</v>
          </cell>
          <cell r="P876">
            <v>325</v>
          </cell>
          <cell r="T876">
            <v>906.59999999999945</v>
          </cell>
          <cell r="U876">
            <v>984.29999999999927</v>
          </cell>
          <cell r="V876">
            <v>906.59999999999945</v>
          </cell>
          <cell r="W876">
            <v>1552.6249771245916</v>
          </cell>
          <cell r="X876">
            <v>2215.474999999999</v>
          </cell>
          <cell r="Y876">
            <v>2069.1462435422836</v>
          </cell>
        </row>
        <row r="877">
          <cell r="B877">
            <v>906.59999999999945</v>
          </cell>
          <cell r="C877">
            <v>938.97500000000036</v>
          </cell>
          <cell r="D877">
            <v>906.60000000000036</v>
          </cell>
          <cell r="E877">
            <v>-1165.3000000000002</v>
          </cell>
          <cell r="F877">
            <v>-530.75</v>
          </cell>
          <cell r="G877">
            <v>-2291.9499999999998</v>
          </cell>
          <cell r="K877">
            <v>0</v>
          </cell>
          <cell r="L877">
            <v>0</v>
          </cell>
          <cell r="M877">
            <v>0</v>
          </cell>
          <cell r="N877">
            <v>234</v>
          </cell>
          <cell r="O877">
            <v>188</v>
          </cell>
          <cell r="P877">
            <v>330</v>
          </cell>
          <cell r="T877">
            <v>906.59999999999945</v>
          </cell>
          <cell r="U877">
            <v>1016.6749999999993</v>
          </cell>
          <cell r="V877">
            <v>906.59999999999945</v>
          </cell>
          <cell r="W877">
            <v>2243.1999999999998</v>
          </cell>
          <cell r="X877">
            <v>2237.4749999999999</v>
          </cell>
          <cell r="Y877">
            <v>2457.1999999999998</v>
          </cell>
        </row>
        <row r="878">
          <cell r="B878">
            <v>906.59999999999945</v>
          </cell>
          <cell r="C878">
            <v>977.82499999999982</v>
          </cell>
          <cell r="D878">
            <v>906.59999999999945</v>
          </cell>
          <cell r="E878">
            <v>-1113.5</v>
          </cell>
          <cell r="F878">
            <v>-414.20000000000073</v>
          </cell>
          <cell r="G878">
            <v>-2486.1999999999998</v>
          </cell>
          <cell r="K878">
            <v>0</v>
          </cell>
          <cell r="L878">
            <v>0</v>
          </cell>
          <cell r="M878">
            <v>0</v>
          </cell>
          <cell r="N878">
            <v>234</v>
          </cell>
          <cell r="O878">
            <v>168</v>
          </cell>
          <cell r="P878">
            <v>333</v>
          </cell>
          <cell r="T878">
            <v>906.59999999999945</v>
          </cell>
          <cell r="U878">
            <v>990.77499999999873</v>
          </cell>
          <cell r="V878">
            <v>914.60000000000014</v>
          </cell>
          <cell r="W878">
            <v>1911.9125977221051</v>
          </cell>
          <cell r="X878">
            <v>2205</v>
          </cell>
          <cell r="Y878">
            <v>-1467.4200309595783</v>
          </cell>
        </row>
        <row r="879">
          <cell r="B879">
            <v>906.59999999999945</v>
          </cell>
          <cell r="C879">
            <v>964.875</v>
          </cell>
          <cell r="D879">
            <v>906.59999999999945</v>
          </cell>
          <cell r="E879">
            <v>-919.25</v>
          </cell>
          <cell r="F879">
            <v>-517.80000000000109</v>
          </cell>
          <cell r="G879">
            <v>-2291.9499999999998</v>
          </cell>
          <cell r="K879">
            <v>0</v>
          </cell>
          <cell r="L879">
            <v>0</v>
          </cell>
          <cell r="M879">
            <v>0</v>
          </cell>
          <cell r="N879">
            <v>234</v>
          </cell>
          <cell r="O879">
            <v>180</v>
          </cell>
          <cell r="P879">
            <v>303</v>
          </cell>
          <cell r="T879">
            <v>906.59999999999945</v>
          </cell>
          <cell r="U879">
            <v>990.77499999999964</v>
          </cell>
          <cell r="V879">
            <v>906.60000000000036</v>
          </cell>
          <cell r="W879">
            <v>2056.8799702449587</v>
          </cell>
          <cell r="X879">
            <v>2206.5249999999992</v>
          </cell>
          <cell r="Y879">
            <v>2455.1999999999998</v>
          </cell>
        </row>
        <row r="880">
          <cell r="B880">
            <v>906.59999999999945</v>
          </cell>
          <cell r="C880">
            <v>977.82499999999982</v>
          </cell>
          <cell r="D880">
            <v>906.60000000000036</v>
          </cell>
          <cell r="E880">
            <v>-828.60000000000036</v>
          </cell>
          <cell r="F880">
            <v>-498.375</v>
          </cell>
          <cell r="G880">
            <v>-2395.5500000000002</v>
          </cell>
          <cell r="K880">
            <v>0</v>
          </cell>
          <cell r="L880">
            <v>0</v>
          </cell>
          <cell r="M880">
            <v>0</v>
          </cell>
          <cell r="N880">
            <v>218</v>
          </cell>
          <cell r="O880">
            <v>172</v>
          </cell>
          <cell r="P880">
            <v>309</v>
          </cell>
          <cell r="T880">
            <v>906.59999999999945</v>
          </cell>
          <cell r="U880">
            <v>1010.1999999999989</v>
          </cell>
          <cell r="V880">
            <v>906.59999999999945</v>
          </cell>
          <cell r="W880">
            <v>2255.1999999999998</v>
          </cell>
          <cell r="X880">
            <v>2258.0499999999988</v>
          </cell>
          <cell r="Y880">
            <v>477.20525553742527</v>
          </cell>
        </row>
        <row r="881">
          <cell r="B881">
            <v>906.59999999999945</v>
          </cell>
          <cell r="C881">
            <v>964.87499999999909</v>
          </cell>
          <cell r="D881">
            <v>906.59999999999945</v>
          </cell>
          <cell r="E881">
            <v>-945.15000000000055</v>
          </cell>
          <cell r="F881">
            <v>-569.60000000000036</v>
          </cell>
          <cell r="G881">
            <v>-2240.1500000000005</v>
          </cell>
          <cell r="K881">
            <v>0</v>
          </cell>
          <cell r="L881">
            <v>0</v>
          </cell>
          <cell r="M881">
            <v>0</v>
          </cell>
          <cell r="N881">
            <v>208</v>
          </cell>
          <cell r="O881">
            <v>173</v>
          </cell>
          <cell r="P881">
            <v>320</v>
          </cell>
          <cell r="T881">
            <v>906.59999999999945</v>
          </cell>
          <cell r="U881">
            <v>997.25</v>
          </cell>
          <cell r="V881">
            <v>906.60000000000036</v>
          </cell>
          <cell r="W881">
            <v>2235.1999999999998</v>
          </cell>
          <cell r="X881">
            <v>2219.474999999999</v>
          </cell>
          <cell r="Y881">
            <v>727.70601727647181</v>
          </cell>
        </row>
        <row r="882">
          <cell r="B882">
            <v>906.59999999999945</v>
          </cell>
          <cell r="C882">
            <v>945.44999999999891</v>
          </cell>
          <cell r="D882">
            <v>906.59999999999945</v>
          </cell>
          <cell r="E882">
            <v>-1359.5500000000002</v>
          </cell>
          <cell r="F882">
            <v>-822.125</v>
          </cell>
          <cell r="G882">
            <v>-2291.9499999999998</v>
          </cell>
          <cell r="K882">
            <v>0</v>
          </cell>
          <cell r="L882">
            <v>0</v>
          </cell>
          <cell r="M882">
            <v>0</v>
          </cell>
          <cell r="N882">
            <v>231</v>
          </cell>
          <cell r="O882">
            <v>189</v>
          </cell>
          <cell r="P882">
            <v>329</v>
          </cell>
          <cell r="T882">
            <v>906.59999999999945</v>
          </cell>
          <cell r="U882">
            <v>958.39999999999873</v>
          </cell>
          <cell r="V882">
            <v>906.59999999999945</v>
          </cell>
          <cell r="W882">
            <v>2237.1999999999989</v>
          </cell>
          <cell r="X882">
            <v>2188.0499999999988</v>
          </cell>
          <cell r="Y882">
            <v>2465.1999999999998</v>
          </cell>
        </row>
        <row r="883">
          <cell r="B883">
            <v>906.59999999999945</v>
          </cell>
          <cell r="C883">
            <v>971.34999999999945</v>
          </cell>
          <cell r="D883">
            <v>906.60000000000036</v>
          </cell>
          <cell r="E883">
            <v>-1126.4500000000007</v>
          </cell>
          <cell r="F883">
            <v>-381.82500000000073</v>
          </cell>
          <cell r="G883">
            <v>-2317.8500000000004</v>
          </cell>
          <cell r="K883">
            <v>0</v>
          </cell>
          <cell r="L883">
            <v>0</v>
          </cell>
          <cell r="M883">
            <v>0</v>
          </cell>
          <cell r="N883">
            <v>238</v>
          </cell>
          <cell r="O883">
            <v>188</v>
          </cell>
          <cell r="P883">
            <v>326</v>
          </cell>
          <cell r="T883">
            <v>906.59999999999945</v>
          </cell>
          <cell r="U883">
            <v>977.82499999999982</v>
          </cell>
          <cell r="V883">
            <v>906.59999999999945</v>
          </cell>
          <cell r="W883">
            <v>2323.1999999999998</v>
          </cell>
          <cell r="X883">
            <v>2294.6999999999998</v>
          </cell>
          <cell r="Y883">
            <v>2441.1999999999998</v>
          </cell>
        </row>
        <row r="884">
          <cell r="B884">
            <v>906.59999999999945</v>
          </cell>
          <cell r="C884">
            <v>964.87499999999909</v>
          </cell>
          <cell r="D884">
            <v>906.59999999999945</v>
          </cell>
          <cell r="E884">
            <v>-1009.9000000000005</v>
          </cell>
          <cell r="F884">
            <v>-459.52499999999964</v>
          </cell>
          <cell r="G884">
            <v>-2447.3500000000004</v>
          </cell>
          <cell r="K884">
            <v>0</v>
          </cell>
          <cell r="L884">
            <v>0</v>
          </cell>
          <cell r="M884">
            <v>0</v>
          </cell>
          <cell r="N884">
            <v>200</v>
          </cell>
          <cell r="O884">
            <v>182</v>
          </cell>
          <cell r="P884">
            <v>311</v>
          </cell>
          <cell r="T884">
            <v>906.59999999999945</v>
          </cell>
          <cell r="U884">
            <v>945.44999999999891</v>
          </cell>
          <cell r="V884">
            <v>906.60000000000036</v>
          </cell>
          <cell r="W884">
            <v>1035.7069359936629</v>
          </cell>
          <cell r="X884">
            <v>-459.52500000000055</v>
          </cell>
          <cell r="Y884">
            <v>2477.1999999999998</v>
          </cell>
        </row>
        <row r="885">
          <cell r="B885">
            <v>906.59999999999945</v>
          </cell>
          <cell r="C885">
            <v>971.35000000000036</v>
          </cell>
          <cell r="D885">
            <v>906.60000000000036</v>
          </cell>
          <cell r="E885">
            <v>-802.70000000000073</v>
          </cell>
          <cell r="F885">
            <v>-381.82500000000073</v>
          </cell>
          <cell r="G885">
            <v>-1994.1000000000004</v>
          </cell>
          <cell r="K885">
            <v>0</v>
          </cell>
          <cell r="L885">
            <v>0</v>
          </cell>
          <cell r="M885">
            <v>0</v>
          </cell>
          <cell r="N885">
            <v>217</v>
          </cell>
          <cell r="O885">
            <v>187</v>
          </cell>
          <cell r="P885">
            <v>339</v>
          </cell>
          <cell r="T885">
            <v>906.59999999999945</v>
          </cell>
          <cell r="U885">
            <v>938.97499999999945</v>
          </cell>
          <cell r="V885">
            <v>906.60000000000036</v>
          </cell>
          <cell r="W885">
            <v>-906.30000000000018</v>
          </cell>
          <cell r="X885">
            <v>2231.4750000000004</v>
          </cell>
          <cell r="Y885">
            <v>2442.1499999999987</v>
          </cell>
        </row>
        <row r="886">
          <cell r="B886">
            <v>906.59999999999945</v>
          </cell>
          <cell r="C886">
            <v>984.30000000000018</v>
          </cell>
          <cell r="D886">
            <v>906.59999999999945</v>
          </cell>
          <cell r="E886">
            <v>-1320.7000000000007</v>
          </cell>
          <cell r="F886">
            <v>-472.47500000000036</v>
          </cell>
          <cell r="G886">
            <v>-2628.6500000000005</v>
          </cell>
          <cell r="K886">
            <v>0</v>
          </cell>
          <cell r="L886">
            <v>0</v>
          </cell>
          <cell r="M886">
            <v>0</v>
          </cell>
          <cell r="N886">
            <v>210</v>
          </cell>
          <cell r="O886">
            <v>183</v>
          </cell>
          <cell r="P886">
            <v>344</v>
          </cell>
          <cell r="T886">
            <v>906.59999999999945</v>
          </cell>
          <cell r="U886">
            <v>964.87499999999909</v>
          </cell>
          <cell r="V886">
            <v>906.59999999999945</v>
          </cell>
          <cell r="W886">
            <v>2257.1999999999989</v>
          </cell>
          <cell r="X886">
            <v>2182.5250000000001</v>
          </cell>
          <cell r="Y886">
            <v>1958.3320679797152</v>
          </cell>
        </row>
        <row r="887">
          <cell r="B887">
            <v>906.59999999999945</v>
          </cell>
          <cell r="C887">
            <v>945.44999999999982</v>
          </cell>
          <cell r="D887">
            <v>906.60000000000036</v>
          </cell>
          <cell r="E887">
            <v>-1087.6000000000004</v>
          </cell>
          <cell r="F887">
            <v>-317.07500000000073</v>
          </cell>
          <cell r="G887">
            <v>-2279</v>
          </cell>
          <cell r="K887">
            <v>0</v>
          </cell>
          <cell r="L887">
            <v>0</v>
          </cell>
          <cell r="M887">
            <v>0</v>
          </cell>
          <cell r="N887">
            <v>240</v>
          </cell>
          <cell r="O887">
            <v>175</v>
          </cell>
          <cell r="P887">
            <v>322</v>
          </cell>
          <cell r="T887">
            <v>906.59999999999945</v>
          </cell>
          <cell r="U887">
            <v>984.29999999999927</v>
          </cell>
          <cell r="V887">
            <v>906.59999999999945</v>
          </cell>
          <cell r="W887">
            <v>2283.1999999999998</v>
          </cell>
          <cell r="X887">
            <v>1064.7791025447664</v>
          </cell>
          <cell r="Y887">
            <v>2449.1999999999989</v>
          </cell>
        </row>
        <row r="888">
          <cell r="B888">
            <v>906.59999999999945</v>
          </cell>
          <cell r="C888">
            <v>997.25</v>
          </cell>
          <cell r="D888">
            <v>906.59999999999945</v>
          </cell>
          <cell r="E888">
            <v>-815.65000000000055</v>
          </cell>
          <cell r="F888">
            <v>-485.42500000000109</v>
          </cell>
          <cell r="G888">
            <v>-2447.3500000000004</v>
          </cell>
          <cell r="K888">
            <v>0</v>
          </cell>
          <cell r="L888">
            <v>0</v>
          </cell>
          <cell r="M888">
            <v>0</v>
          </cell>
          <cell r="N888">
            <v>234</v>
          </cell>
          <cell r="O888">
            <v>193</v>
          </cell>
          <cell r="P888">
            <v>336</v>
          </cell>
          <cell r="T888">
            <v>906.59999999999945</v>
          </cell>
          <cell r="U888">
            <v>971.35000000000036</v>
          </cell>
          <cell r="V888">
            <v>906.60000000000036</v>
          </cell>
          <cell r="W888">
            <v>2040.291189161187</v>
          </cell>
          <cell r="X888">
            <v>2213.9499999999994</v>
          </cell>
          <cell r="Y888">
            <v>2481.1999999999998</v>
          </cell>
        </row>
        <row r="889">
          <cell r="B889">
            <v>906.59999999999945</v>
          </cell>
          <cell r="C889">
            <v>958.39999999999964</v>
          </cell>
          <cell r="D889">
            <v>906.59999999999945</v>
          </cell>
          <cell r="E889">
            <v>-1527.9000000000005</v>
          </cell>
          <cell r="F889">
            <v>-556.65000000000055</v>
          </cell>
          <cell r="G889">
            <v>-2421.4499999999998</v>
          </cell>
          <cell r="K889">
            <v>0</v>
          </cell>
          <cell r="L889">
            <v>0</v>
          </cell>
          <cell r="M889">
            <v>0</v>
          </cell>
          <cell r="N889">
            <v>238</v>
          </cell>
          <cell r="O889">
            <v>170</v>
          </cell>
          <cell r="P889">
            <v>311</v>
          </cell>
          <cell r="T889">
            <v>906.59999999999945</v>
          </cell>
          <cell r="U889">
            <v>1003.7249999999995</v>
          </cell>
          <cell r="V889">
            <v>906.59999999999945</v>
          </cell>
          <cell r="W889">
            <v>2281.1999999999994</v>
          </cell>
          <cell r="X889">
            <v>2323.4749999999995</v>
          </cell>
          <cell r="Y889">
            <v>2455.1999999999998</v>
          </cell>
        </row>
        <row r="890">
          <cell r="B890">
            <v>906.59999999999945</v>
          </cell>
          <cell r="C890">
            <v>984.29999999999927</v>
          </cell>
          <cell r="D890">
            <v>906.60000000000036</v>
          </cell>
          <cell r="E890">
            <v>-880.40000000000055</v>
          </cell>
          <cell r="F890">
            <v>-543.70000000000073</v>
          </cell>
          <cell r="G890">
            <v>-2291.9499999999998</v>
          </cell>
          <cell r="K890">
            <v>0</v>
          </cell>
          <cell r="L890">
            <v>0</v>
          </cell>
          <cell r="M890">
            <v>0</v>
          </cell>
          <cell r="N890">
            <v>210</v>
          </cell>
          <cell r="O890">
            <v>178</v>
          </cell>
          <cell r="P890">
            <v>325</v>
          </cell>
          <cell r="T890">
            <v>906.59999999999945</v>
          </cell>
          <cell r="U890">
            <v>938.97499999999945</v>
          </cell>
          <cell r="V890">
            <v>908.59999999999968</v>
          </cell>
          <cell r="W890">
            <v>1384.1909990703107</v>
          </cell>
          <cell r="X890">
            <v>2016.5564164682432</v>
          </cell>
          <cell r="Y890">
            <v>2477.1999999999998</v>
          </cell>
        </row>
        <row r="891">
          <cell r="B891">
            <v>906.59999999999945</v>
          </cell>
          <cell r="C891">
            <v>958.39999999999964</v>
          </cell>
          <cell r="D891">
            <v>906.60000000000036</v>
          </cell>
          <cell r="E891">
            <v>-971.05000000000018</v>
          </cell>
          <cell r="F891">
            <v>-336.5</v>
          </cell>
          <cell r="G891">
            <v>-2175.4000000000005</v>
          </cell>
          <cell r="K891">
            <v>0</v>
          </cell>
          <cell r="L891">
            <v>0</v>
          </cell>
          <cell r="M891">
            <v>0</v>
          </cell>
          <cell r="N891">
            <v>218</v>
          </cell>
          <cell r="O891">
            <v>186</v>
          </cell>
          <cell r="P891">
            <v>338</v>
          </cell>
          <cell r="T891">
            <v>906.59999999999945</v>
          </cell>
          <cell r="U891">
            <v>977.82499999999891</v>
          </cell>
          <cell r="V891">
            <v>906.59999999999945</v>
          </cell>
          <cell r="W891">
            <v>2208.1331625632547</v>
          </cell>
          <cell r="X891">
            <v>2150.6249999999995</v>
          </cell>
          <cell r="Y891">
            <v>467.48336743284426</v>
          </cell>
        </row>
        <row r="892">
          <cell r="B892">
            <v>906.59999999999945</v>
          </cell>
          <cell r="C892">
            <v>990.77499999999964</v>
          </cell>
          <cell r="D892">
            <v>906.60000000000036</v>
          </cell>
          <cell r="E892">
            <v>-828.60000000000036</v>
          </cell>
          <cell r="F892">
            <v>-699.10000000000036</v>
          </cell>
          <cell r="G892">
            <v>-2291.9499999999998</v>
          </cell>
          <cell r="K892">
            <v>0</v>
          </cell>
          <cell r="L892">
            <v>0</v>
          </cell>
          <cell r="M892">
            <v>0</v>
          </cell>
          <cell r="N892">
            <v>226</v>
          </cell>
          <cell r="O892">
            <v>173</v>
          </cell>
          <cell r="P892">
            <v>295</v>
          </cell>
          <cell r="T892">
            <v>906.59999999999945</v>
          </cell>
          <cell r="U892">
            <v>958.39999999999873</v>
          </cell>
          <cell r="V892">
            <v>906.60000000000036</v>
          </cell>
          <cell r="W892">
            <v>2245.1999999999998</v>
          </cell>
          <cell r="X892">
            <v>1072.520582615216</v>
          </cell>
          <cell r="Y892">
            <v>2441.1999999999998</v>
          </cell>
        </row>
        <row r="893">
          <cell r="B893">
            <v>906.59999999999945</v>
          </cell>
          <cell r="C893">
            <v>1023.1499999999987</v>
          </cell>
          <cell r="D893">
            <v>906.59999999999945</v>
          </cell>
          <cell r="E893">
            <v>-1100.5500000000002</v>
          </cell>
          <cell r="F893">
            <v>-271.75</v>
          </cell>
          <cell r="G893">
            <v>-2097.7000000000007</v>
          </cell>
          <cell r="K893">
            <v>0</v>
          </cell>
          <cell r="L893">
            <v>0</v>
          </cell>
          <cell r="M893">
            <v>0</v>
          </cell>
          <cell r="N893">
            <v>210</v>
          </cell>
          <cell r="O893">
            <v>174</v>
          </cell>
          <cell r="P893">
            <v>336</v>
          </cell>
          <cell r="T893">
            <v>906.59999999999945</v>
          </cell>
          <cell r="U893">
            <v>997.25</v>
          </cell>
          <cell r="V893">
            <v>906.59999999999945</v>
          </cell>
          <cell r="W893">
            <v>-563.59940805402971</v>
          </cell>
          <cell r="X893">
            <v>-388.30000000000018</v>
          </cell>
          <cell r="Y893">
            <v>-2421.4499999999998</v>
          </cell>
        </row>
        <row r="894">
          <cell r="B894">
            <v>906.59999999999945</v>
          </cell>
          <cell r="C894">
            <v>958.39999999999964</v>
          </cell>
          <cell r="D894">
            <v>906.59999999999945</v>
          </cell>
          <cell r="E894">
            <v>-1268.9000000000005</v>
          </cell>
          <cell r="F894">
            <v>-945.15000000000055</v>
          </cell>
          <cell r="G894">
            <v>-2304.9000000000005</v>
          </cell>
          <cell r="K894">
            <v>0</v>
          </cell>
          <cell r="L894">
            <v>0</v>
          </cell>
          <cell r="M894">
            <v>0</v>
          </cell>
          <cell r="N894">
            <v>229</v>
          </cell>
          <cell r="O894">
            <v>188</v>
          </cell>
          <cell r="P894">
            <v>312</v>
          </cell>
          <cell r="T894">
            <v>906.59999999999945</v>
          </cell>
          <cell r="U894">
            <v>1023.1499999999996</v>
          </cell>
          <cell r="V894">
            <v>906.59999999999945</v>
          </cell>
          <cell r="W894">
            <v>2285.1999999999998</v>
          </cell>
          <cell r="X894">
            <v>2195.9499999999994</v>
          </cell>
          <cell r="Y894">
            <v>2445.1999999999998</v>
          </cell>
        </row>
        <row r="895">
          <cell r="B895">
            <v>906.59999999999945</v>
          </cell>
          <cell r="C895">
            <v>997.25</v>
          </cell>
          <cell r="D895">
            <v>906.60000000000036</v>
          </cell>
          <cell r="E895">
            <v>-1385.4500000000007</v>
          </cell>
          <cell r="F895">
            <v>-19.225000000000364</v>
          </cell>
          <cell r="G895">
            <v>-2421.4499999999998</v>
          </cell>
          <cell r="K895">
            <v>0</v>
          </cell>
          <cell r="L895">
            <v>0</v>
          </cell>
          <cell r="M895">
            <v>0</v>
          </cell>
          <cell r="N895">
            <v>210</v>
          </cell>
          <cell r="O895">
            <v>178</v>
          </cell>
          <cell r="P895">
            <v>334</v>
          </cell>
          <cell r="T895">
            <v>906.59999999999945</v>
          </cell>
          <cell r="U895">
            <v>958.39999999999964</v>
          </cell>
          <cell r="V895">
            <v>906.60000000000036</v>
          </cell>
          <cell r="W895">
            <v>2030.9883062572612</v>
          </cell>
          <cell r="X895">
            <v>2237.4749999999999</v>
          </cell>
          <cell r="Y895">
            <v>2449.1999999999989</v>
          </cell>
        </row>
        <row r="896">
          <cell r="B896">
            <v>906.59999999999945</v>
          </cell>
          <cell r="C896">
            <v>958.39999999999873</v>
          </cell>
          <cell r="D896">
            <v>906.59999999999945</v>
          </cell>
          <cell r="E896">
            <v>-996.95000000000073</v>
          </cell>
          <cell r="F896">
            <v>-478.95000000000073</v>
          </cell>
          <cell r="G896">
            <v>-2032.9500000000007</v>
          </cell>
          <cell r="K896">
            <v>0</v>
          </cell>
          <cell r="L896">
            <v>0</v>
          </cell>
          <cell r="M896">
            <v>0</v>
          </cell>
          <cell r="N896">
            <v>233</v>
          </cell>
          <cell r="O896">
            <v>170</v>
          </cell>
          <cell r="P896">
            <v>295</v>
          </cell>
          <cell r="T896">
            <v>906.59999999999945</v>
          </cell>
          <cell r="U896">
            <v>958.39999999999964</v>
          </cell>
          <cell r="V896">
            <v>906.59999999999945</v>
          </cell>
          <cell r="W896">
            <v>759.92640978075951</v>
          </cell>
          <cell r="X896">
            <v>2188.8999999999992</v>
          </cell>
          <cell r="Y896">
            <v>2451.1999999999998</v>
          </cell>
        </row>
        <row r="897">
          <cell r="B897">
            <v>906.59999999999945</v>
          </cell>
          <cell r="C897">
            <v>1003.7249999999985</v>
          </cell>
          <cell r="D897">
            <v>919.55000000000018</v>
          </cell>
          <cell r="E897">
            <v>-1450.2000000000007</v>
          </cell>
          <cell r="F897">
            <v>-446.57500000000073</v>
          </cell>
          <cell r="G897">
            <v>-2615.6999999999998</v>
          </cell>
          <cell r="K897">
            <v>0</v>
          </cell>
          <cell r="L897">
            <v>0</v>
          </cell>
          <cell r="M897">
            <v>0</v>
          </cell>
          <cell r="N897">
            <v>223</v>
          </cell>
          <cell r="O897">
            <v>181</v>
          </cell>
          <cell r="P897">
            <v>341</v>
          </cell>
          <cell r="T897">
            <v>906.59999999999945</v>
          </cell>
          <cell r="U897">
            <v>958.39999999999964</v>
          </cell>
          <cell r="V897">
            <v>906.59999999999945</v>
          </cell>
          <cell r="W897">
            <v>880.46670080761419</v>
          </cell>
          <cell r="X897">
            <v>-511.32500000000073</v>
          </cell>
          <cell r="Y897">
            <v>-1899.5399836961167</v>
          </cell>
        </row>
        <row r="898">
          <cell r="B898">
            <v>906.59999999999945</v>
          </cell>
          <cell r="C898">
            <v>971.34999999999854</v>
          </cell>
          <cell r="D898">
            <v>906.60000000000036</v>
          </cell>
          <cell r="E898">
            <v>-984</v>
          </cell>
          <cell r="F898">
            <v>-239.375</v>
          </cell>
          <cell r="G898">
            <v>-2343.75</v>
          </cell>
          <cell r="K898">
            <v>0</v>
          </cell>
          <cell r="L898">
            <v>0</v>
          </cell>
          <cell r="M898">
            <v>0</v>
          </cell>
          <cell r="N898">
            <v>225</v>
          </cell>
          <cell r="O898">
            <v>182</v>
          </cell>
          <cell r="P898">
            <v>300</v>
          </cell>
          <cell r="T898">
            <v>906.59999999999945</v>
          </cell>
          <cell r="U898">
            <v>971.34999999999945</v>
          </cell>
          <cell r="V898">
            <v>906.59999999999945</v>
          </cell>
          <cell r="W898">
            <v>2263.1999999999998</v>
          </cell>
          <cell r="X898">
            <v>1395.3006210997485</v>
          </cell>
          <cell r="Y898">
            <v>2423.1999999999998</v>
          </cell>
        </row>
        <row r="899">
          <cell r="B899">
            <v>906.59999999999945</v>
          </cell>
          <cell r="C899">
            <v>964.875</v>
          </cell>
          <cell r="D899">
            <v>919.54999999999927</v>
          </cell>
          <cell r="E899">
            <v>-1035.8000000000002</v>
          </cell>
          <cell r="F899">
            <v>-776.80000000000018</v>
          </cell>
          <cell r="G899">
            <v>-2097.7000000000007</v>
          </cell>
          <cell r="K899">
            <v>0</v>
          </cell>
          <cell r="L899">
            <v>0</v>
          </cell>
          <cell r="M899">
            <v>0</v>
          </cell>
          <cell r="N899">
            <v>223</v>
          </cell>
          <cell r="O899">
            <v>167</v>
          </cell>
          <cell r="P899">
            <v>314</v>
          </cell>
          <cell r="T899">
            <v>906.59999999999945</v>
          </cell>
          <cell r="U899">
            <v>951.92500000000018</v>
          </cell>
          <cell r="V899">
            <v>906.59999999999945</v>
          </cell>
          <cell r="W899">
            <v>2255.1999999999998</v>
          </cell>
          <cell r="X899">
            <v>2091.2862505199837</v>
          </cell>
          <cell r="Y899">
            <v>1382.1872045021478</v>
          </cell>
        </row>
        <row r="900">
          <cell r="B900">
            <v>906.59999999999945</v>
          </cell>
          <cell r="C900">
            <v>951.92499999999927</v>
          </cell>
          <cell r="D900">
            <v>906.59999999999945</v>
          </cell>
          <cell r="E900">
            <v>-1204.1500000000005</v>
          </cell>
          <cell r="F900">
            <v>-498.375</v>
          </cell>
          <cell r="G900">
            <v>-2240.1500000000005</v>
          </cell>
          <cell r="K900">
            <v>0</v>
          </cell>
          <cell r="L900">
            <v>0</v>
          </cell>
          <cell r="M900">
            <v>0</v>
          </cell>
          <cell r="N900">
            <v>238</v>
          </cell>
          <cell r="O900">
            <v>161</v>
          </cell>
          <cell r="P900">
            <v>301</v>
          </cell>
          <cell r="T900">
            <v>906.59999999999945</v>
          </cell>
          <cell r="U900">
            <v>971.35000000000036</v>
          </cell>
          <cell r="V900">
            <v>906.59999999999945</v>
          </cell>
          <cell r="W900">
            <v>2295.1999999999998</v>
          </cell>
          <cell r="X900">
            <v>2250.8999999999996</v>
          </cell>
          <cell r="Y900">
            <v>2467.1999999999998</v>
          </cell>
        </row>
        <row r="901">
          <cell r="B901">
            <v>906.59999999999945</v>
          </cell>
          <cell r="C901">
            <v>964.875</v>
          </cell>
          <cell r="D901">
            <v>906.59999999999945</v>
          </cell>
          <cell r="E901">
            <v>-1087.6000000000004</v>
          </cell>
          <cell r="F901">
            <v>-712.05000000000018</v>
          </cell>
          <cell r="G901">
            <v>-2253.1000000000004</v>
          </cell>
          <cell r="K901">
            <v>0</v>
          </cell>
          <cell r="L901">
            <v>0</v>
          </cell>
          <cell r="M901">
            <v>0</v>
          </cell>
          <cell r="N901">
            <v>207</v>
          </cell>
          <cell r="O901">
            <v>172</v>
          </cell>
          <cell r="P901">
            <v>322</v>
          </cell>
          <cell r="T901">
            <v>906.59999999999945</v>
          </cell>
          <cell r="U901">
            <v>964.87499999999909</v>
          </cell>
          <cell r="V901">
            <v>906.60000000000036</v>
          </cell>
          <cell r="W901">
            <v>2229.1999999999994</v>
          </cell>
          <cell r="X901">
            <v>2212.9999999999995</v>
          </cell>
          <cell r="Y901">
            <v>2200.8838829645592</v>
          </cell>
        </row>
        <row r="902">
          <cell r="B902">
            <v>906.59999999999945</v>
          </cell>
          <cell r="C902">
            <v>958.39999999999964</v>
          </cell>
          <cell r="D902">
            <v>906.60000000000036</v>
          </cell>
          <cell r="E902">
            <v>-1204.1500000000005</v>
          </cell>
          <cell r="F902">
            <v>-317.07500000000073</v>
          </cell>
          <cell r="G902">
            <v>-2058.8500000000004</v>
          </cell>
          <cell r="K902">
            <v>0</v>
          </cell>
          <cell r="L902">
            <v>0</v>
          </cell>
          <cell r="M902">
            <v>0</v>
          </cell>
          <cell r="N902">
            <v>222</v>
          </cell>
          <cell r="O902">
            <v>162</v>
          </cell>
          <cell r="P902">
            <v>327</v>
          </cell>
          <cell r="T902">
            <v>906.59999999999945</v>
          </cell>
          <cell r="U902">
            <v>971.34999999999945</v>
          </cell>
          <cell r="V902">
            <v>906.59999999999945</v>
          </cell>
          <cell r="W902">
            <v>2229.1999999999994</v>
          </cell>
          <cell r="X902">
            <v>2279.85</v>
          </cell>
          <cell r="Y902">
            <v>2453.1999999999998</v>
          </cell>
        </row>
        <row r="903">
          <cell r="B903">
            <v>906.59999999999945</v>
          </cell>
          <cell r="C903">
            <v>958.39999999999964</v>
          </cell>
          <cell r="D903">
            <v>906.60000000000036</v>
          </cell>
          <cell r="E903">
            <v>-1022.8500000000004</v>
          </cell>
          <cell r="F903">
            <v>-498.375</v>
          </cell>
          <cell r="G903">
            <v>-2447.3500000000004</v>
          </cell>
          <cell r="K903">
            <v>0</v>
          </cell>
          <cell r="L903">
            <v>0</v>
          </cell>
          <cell r="M903">
            <v>0</v>
          </cell>
          <cell r="N903">
            <v>239</v>
          </cell>
          <cell r="O903">
            <v>181</v>
          </cell>
          <cell r="P903">
            <v>333</v>
          </cell>
          <cell r="T903">
            <v>906.59999999999945</v>
          </cell>
          <cell r="U903">
            <v>997.25</v>
          </cell>
          <cell r="V903">
            <v>906.60000000000036</v>
          </cell>
          <cell r="W903">
            <v>2269.1999999999994</v>
          </cell>
          <cell r="X903">
            <v>2258.4249999999997</v>
          </cell>
          <cell r="Y903">
            <v>2431.1999999999998</v>
          </cell>
        </row>
        <row r="904">
          <cell r="B904">
            <v>906.59999999999945</v>
          </cell>
          <cell r="C904">
            <v>945.44999999999982</v>
          </cell>
          <cell r="D904">
            <v>906.59999999999945</v>
          </cell>
          <cell r="E904">
            <v>-1346.6000000000004</v>
          </cell>
          <cell r="F904">
            <v>-342.97500000000036</v>
          </cell>
          <cell r="G904">
            <v>-2576.8500000000004</v>
          </cell>
          <cell r="K904">
            <v>0</v>
          </cell>
          <cell r="L904">
            <v>0</v>
          </cell>
          <cell r="M904">
            <v>6</v>
          </cell>
          <cell r="N904">
            <v>235</v>
          </cell>
          <cell r="O904">
            <v>167</v>
          </cell>
          <cell r="P904">
            <v>341</v>
          </cell>
          <cell r="T904">
            <v>906.59999999999945</v>
          </cell>
          <cell r="U904">
            <v>971.34999999999945</v>
          </cell>
          <cell r="V904">
            <v>906.59999999999945</v>
          </cell>
          <cell r="W904">
            <v>2257.1999999999989</v>
          </cell>
          <cell r="X904">
            <v>2255</v>
          </cell>
          <cell r="Y904">
            <v>-316.73047104307079</v>
          </cell>
        </row>
        <row r="905">
          <cell r="B905">
            <v>906.59999999999945</v>
          </cell>
          <cell r="C905">
            <v>938.97499999999945</v>
          </cell>
          <cell r="D905">
            <v>906.60000000000036</v>
          </cell>
          <cell r="E905">
            <v>-1074.6500000000005</v>
          </cell>
          <cell r="F905">
            <v>-511.32500000000073</v>
          </cell>
          <cell r="G905">
            <v>-2162.4500000000007</v>
          </cell>
          <cell r="K905">
            <v>0</v>
          </cell>
          <cell r="L905">
            <v>0</v>
          </cell>
          <cell r="M905">
            <v>0</v>
          </cell>
          <cell r="N905">
            <v>241</v>
          </cell>
          <cell r="O905">
            <v>192</v>
          </cell>
          <cell r="P905">
            <v>305</v>
          </cell>
          <cell r="T905">
            <v>906.59999999999945</v>
          </cell>
          <cell r="U905">
            <v>971.34999999999854</v>
          </cell>
          <cell r="V905">
            <v>906.59999999999945</v>
          </cell>
          <cell r="W905">
            <v>-115.62606109348621</v>
          </cell>
          <cell r="X905">
            <v>2184.0500000000002</v>
          </cell>
          <cell r="Y905">
            <v>-719.41457260992115</v>
          </cell>
        </row>
        <row r="906">
          <cell r="B906">
            <v>906.59999999999945</v>
          </cell>
          <cell r="C906">
            <v>958.39999999999873</v>
          </cell>
          <cell r="D906">
            <v>906.59999999999945</v>
          </cell>
          <cell r="E906">
            <v>-1126.4500000000007</v>
          </cell>
          <cell r="F906">
            <v>-381.82500000000073</v>
          </cell>
          <cell r="G906">
            <v>-2486.1999999999998</v>
          </cell>
          <cell r="K906">
            <v>0</v>
          </cell>
          <cell r="L906">
            <v>0</v>
          </cell>
          <cell r="M906">
            <v>0</v>
          </cell>
          <cell r="N906">
            <v>233</v>
          </cell>
          <cell r="O906">
            <v>211</v>
          </cell>
          <cell r="P906">
            <v>334</v>
          </cell>
          <cell r="T906">
            <v>906.59999999999945</v>
          </cell>
          <cell r="U906">
            <v>1003.7249999999985</v>
          </cell>
          <cell r="V906">
            <v>906.59999999999945</v>
          </cell>
          <cell r="W906">
            <v>2243.1999999999998</v>
          </cell>
          <cell r="X906">
            <v>2208.5249999999996</v>
          </cell>
          <cell r="Y906">
            <v>2467.1999999999998</v>
          </cell>
        </row>
        <row r="907">
          <cell r="B907">
            <v>906.59999999999945</v>
          </cell>
          <cell r="C907">
            <v>971.34999999999945</v>
          </cell>
          <cell r="D907">
            <v>906.60000000000036</v>
          </cell>
          <cell r="E907">
            <v>-971.05000000000018</v>
          </cell>
          <cell r="F907">
            <v>-453.05000000000018</v>
          </cell>
          <cell r="G907">
            <v>-2343.75</v>
          </cell>
          <cell r="K907">
            <v>0</v>
          </cell>
          <cell r="L907">
            <v>0</v>
          </cell>
          <cell r="M907">
            <v>0</v>
          </cell>
          <cell r="N907">
            <v>208</v>
          </cell>
          <cell r="O907">
            <v>194</v>
          </cell>
          <cell r="P907">
            <v>299</v>
          </cell>
          <cell r="T907">
            <v>906.59999999999945</v>
          </cell>
          <cell r="U907">
            <v>990.77499999999873</v>
          </cell>
          <cell r="V907">
            <v>906.60000000000036</v>
          </cell>
          <cell r="W907">
            <v>1367.1037214080425</v>
          </cell>
          <cell r="X907">
            <v>2206.8999999999992</v>
          </cell>
          <cell r="Y907">
            <v>-566.09841746068105</v>
          </cell>
        </row>
        <row r="908">
          <cell r="B908">
            <v>906.59999999999945</v>
          </cell>
          <cell r="C908">
            <v>990.77499999999964</v>
          </cell>
          <cell r="D908">
            <v>906.59999999999945</v>
          </cell>
          <cell r="E908">
            <v>-776.80000000000018</v>
          </cell>
          <cell r="F908">
            <v>-705.57500000000073</v>
          </cell>
          <cell r="G908">
            <v>-2097.7000000000007</v>
          </cell>
          <cell r="K908">
            <v>0</v>
          </cell>
          <cell r="L908">
            <v>0</v>
          </cell>
          <cell r="M908">
            <v>0</v>
          </cell>
          <cell r="N908">
            <v>199</v>
          </cell>
          <cell r="O908">
            <v>195</v>
          </cell>
          <cell r="P908">
            <v>347</v>
          </cell>
          <cell r="T908">
            <v>906.59999999999945</v>
          </cell>
          <cell r="U908">
            <v>971.34999999999945</v>
          </cell>
          <cell r="V908">
            <v>906.60000000000036</v>
          </cell>
          <cell r="W908">
            <v>2235.1999999999998</v>
          </cell>
          <cell r="X908">
            <v>2194.3023079819031</v>
          </cell>
          <cell r="Y908">
            <v>2451.1999999999998</v>
          </cell>
        </row>
        <row r="909">
          <cell r="B909">
            <v>906.59999999999945</v>
          </cell>
          <cell r="C909">
            <v>958.39999999999964</v>
          </cell>
          <cell r="D909">
            <v>906.59999999999945</v>
          </cell>
          <cell r="E909">
            <v>-828.60000000000036</v>
          </cell>
          <cell r="F909">
            <v>-330.02500000000055</v>
          </cell>
          <cell r="G909">
            <v>-2227.2000000000007</v>
          </cell>
          <cell r="K909">
            <v>0</v>
          </cell>
          <cell r="L909">
            <v>0</v>
          </cell>
          <cell r="M909">
            <v>0</v>
          </cell>
          <cell r="N909">
            <v>209</v>
          </cell>
          <cell r="O909">
            <v>188</v>
          </cell>
          <cell r="P909">
            <v>337</v>
          </cell>
          <cell r="T909">
            <v>906.59999999999945</v>
          </cell>
          <cell r="U909">
            <v>984.29999999999927</v>
          </cell>
          <cell r="V909">
            <v>906.59999999999945</v>
          </cell>
          <cell r="W909">
            <v>2277.1999999999989</v>
          </cell>
          <cell r="X909">
            <v>2231.9499999999994</v>
          </cell>
          <cell r="Y909">
            <v>1797.5038075784141</v>
          </cell>
        </row>
        <row r="910">
          <cell r="B910">
            <v>906.59999999999945</v>
          </cell>
          <cell r="C910">
            <v>938.97500000000036</v>
          </cell>
          <cell r="D910">
            <v>906.60000000000036</v>
          </cell>
          <cell r="E910">
            <v>-919.25</v>
          </cell>
          <cell r="F910">
            <v>-491.90000000000055</v>
          </cell>
          <cell r="G910">
            <v>-2032.9500000000007</v>
          </cell>
          <cell r="K910">
            <v>0</v>
          </cell>
          <cell r="L910">
            <v>0</v>
          </cell>
          <cell r="M910">
            <v>0</v>
          </cell>
          <cell r="N910">
            <v>218</v>
          </cell>
          <cell r="O910">
            <v>185</v>
          </cell>
          <cell r="P910">
            <v>308</v>
          </cell>
          <cell r="T910">
            <v>906.59999999999945</v>
          </cell>
          <cell r="U910">
            <v>964.87499999999909</v>
          </cell>
          <cell r="V910">
            <v>906.59999999999945</v>
          </cell>
          <cell r="W910">
            <v>2243.1999999999998</v>
          </cell>
          <cell r="X910">
            <v>2224.4249999999993</v>
          </cell>
          <cell r="Y910">
            <v>2443.1999999999998</v>
          </cell>
        </row>
        <row r="911">
          <cell r="B911">
            <v>906.59999999999945</v>
          </cell>
          <cell r="C911">
            <v>932.49999999999909</v>
          </cell>
          <cell r="D911">
            <v>906.60000000000036</v>
          </cell>
          <cell r="E911">
            <v>-1087.6000000000004</v>
          </cell>
          <cell r="F911">
            <v>-660.25</v>
          </cell>
          <cell r="G911">
            <v>-2589.8000000000002</v>
          </cell>
          <cell r="K911">
            <v>0</v>
          </cell>
          <cell r="L911">
            <v>0</v>
          </cell>
          <cell r="M911">
            <v>0</v>
          </cell>
          <cell r="N911">
            <v>230</v>
          </cell>
          <cell r="O911">
            <v>193</v>
          </cell>
          <cell r="P911">
            <v>316</v>
          </cell>
          <cell r="T911">
            <v>906.59999999999945</v>
          </cell>
          <cell r="U911">
            <v>958.39999999999873</v>
          </cell>
          <cell r="V911">
            <v>906.60000000000036</v>
          </cell>
          <cell r="W911">
            <v>2235.1999999999998</v>
          </cell>
          <cell r="X911">
            <v>1259.1114149698392</v>
          </cell>
          <cell r="Y911">
            <v>2417.1999999999989</v>
          </cell>
        </row>
        <row r="912">
          <cell r="B912">
            <v>906.59999999999945</v>
          </cell>
          <cell r="C912">
            <v>984.30000000000018</v>
          </cell>
          <cell r="D912">
            <v>906.59999999999945</v>
          </cell>
          <cell r="E912">
            <v>-984</v>
          </cell>
          <cell r="F912">
            <v>-362.39999999999964</v>
          </cell>
          <cell r="G912">
            <v>-2175.4000000000005</v>
          </cell>
          <cell r="K912">
            <v>0</v>
          </cell>
          <cell r="L912">
            <v>0</v>
          </cell>
          <cell r="M912">
            <v>0</v>
          </cell>
          <cell r="N912">
            <v>229</v>
          </cell>
          <cell r="O912">
            <v>170</v>
          </cell>
          <cell r="P912">
            <v>302</v>
          </cell>
          <cell r="T912">
            <v>906.59999999999945</v>
          </cell>
          <cell r="U912">
            <v>945.44999999999891</v>
          </cell>
          <cell r="V912">
            <v>906.60000000000036</v>
          </cell>
          <cell r="W912">
            <v>342.80986919302904</v>
          </cell>
          <cell r="X912">
            <v>2316.8999999999992</v>
          </cell>
          <cell r="Y912">
            <v>1488.555325030421</v>
          </cell>
        </row>
        <row r="913">
          <cell r="B913">
            <v>906.59999999999945</v>
          </cell>
          <cell r="C913">
            <v>997.25</v>
          </cell>
          <cell r="D913">
            <v>906.59999999999945</v>
          </cell>
          <cell r="E913">
            <v>-1217.1000000000004</v>
          </cell>
          <cell r="F913">
            <v>-330.02500000000055</v>
          </cell>
          <cell r="G913">
            <v>-2317.8500000000004</v>
          </cell>
          <cell r="K913">
            <v>0</v>
          </cell>
          <cell r="L913">
            <v>0</v>
          </cell>
          <cell r="M913">
            <v>0</v>
          </cell>
          <cell r="N913">
            <v>233</v>
          </cell>
          <cell r="O913">
            <v>195</v>
          </cell>
          <cell r="P913">
            <v>293</v>
          </cell>
          <cell r="T913">
            <v>906.59999999999945</v>
          </cell>
          <cell r="U913">
            <v>1003.7249999999995</v>
          </cell>
          <cell r="V913">
            <v>906.59999999999945</v>
          </cell>
          <cell r="W913">
            <v>2257.1999999999989</v>
          </cell>
          <cell r="X913">
            <v>2248.3249999999994</v>
          </cell>
          <cell r="Y913">
            <v>2423.1999999999998</v>
          </cell>
        </row>
        <row r="914">
          <cell r="B914">
            <v>906.59999999999945</v>
          </cell>
          <cell r="C914">
            <v>945.44999999999891</v>
          </cell>
          <cell r="D914">
            <v>906.60000000000036</v>
          </cell>
          <cell r="E914">
            <v>-996.95000000000073</v>
          </cell>
          <cell r="F914">
            <v>-161.67500000000109</v>
          </cell>
          <cell r="G914">
            <v>-2434.4000000000005</v>
          </cell>
          <cell r="K914">
            <v>0</v>
          </cell>
          <cell r="L914">
            <v>0</v>
          </cell>
          <cell r="M914">
            <v>0</v>
          </cell>
          <cell r="N914">
            <v>237</v>
          </cell>
          <cell r="O914">
            <v>178</v>
          </cell>
          <cell r="P914">
            <v>346</v>
          </cell>
          <cell r="T914">
            <v>906.59999999999945</v>
          </cell>
          <cell r="U914">
            <v>971.34999999999945</v>
          </cell>
          <cell r="V914">
            <v>919.54999999999927</v>
          </cell>
          <cell r="W914">
            <v>2285.1999999999998</v>
          </cell>
          <cell r="X914">
            <v>2260.4249999999988</v>
          </cell>
          <cell r="Y914">
            <v>-2266.0500000000002</v>
          </cell>
        </row>
        <row r="915">
          <cell r="B915">
            <v>906.59999999999945</v>
          </cell>
          <cell r="C915">
            <v>1010.1999999999998</v>
          </cell>
          <cell r="D915">
            <v>841.84999999999945</v>
          </cell>
          <cell r="E915">
            <v>-1074.6500000000005</v>
          </cell>
          <cell r="F915">
            <v>-737.95000000000073</v>
          </cell>
          <cell r="G915">
            <v>-2758.1500000000005</v>
          </cell>
          <cell r="K915">
            <v>0</v>
          </cell>
          <cell r="L915">
            <v>0</v>
          </cell>
          <cell r="M915">
            <v>0</v>
          </cell>
          <cell r="N915">
            <v>231</v>
          </cell>
          <cell r="O915">
            <v>184</v>
          </cell>
          <cell r="P915">
            <v>321</v>
          </cell>
          <cell r="T915">
            <v>906.59999999999945</v>
          </cell>
          <cell r="U915">
            <v>990.77499999999964</v>
          </cell>
          <cell r="V915">
            <v>906.59999999999945</v>
          </cell>
          <cell r="W915">
            <v>2247.1999999999989</v>
          </cell>
          <cell r="X915">
            <v>2235.3749999999995</v>
          </cell>
          <cell r="Y915">
            <v>2491.1999999999998</v>
          </cell>
        </row>
        <row r="916">
          <cell r="B916">
            <v>906.59999999999945</v>
          </cell>
          <cell r="C916">
            <v>997.25</v>
          </cell>
          <cell r="D916">
            <v>906.59999999999945</v>
          </cell>
          <cell r="E916">
            <v>-1243</v>
          </cell>
          <cell r="F916">
            <v>-750.90000000000055</v>
          </cell>
          <cell r="G916">
            <v>-2291.9499999999998</v>
          </cell>
          <cell r="K916">
            <v>0</v>
          </cell>
          <cell r="L916">
            <v>0</v>
          </cell>
          <cell r="M916">
            <v>0</v>
          </cell>
          <cell r="N916">
            <v>240</v>
          </cell>
          <cell r="O916">
            <v>194</v>
          </cell>
          <cell r="P916">
            <v>339</v>
          </cell>
          <cell r="T916">
            <v>906.59999999999945</v>
          </cell>
          <cell r="U916">
            <v>964.87499999999909</v>
          </cell>
          <cell r="V916">
            <v>906.59999999999945</v>
          </cell>
          <cell r="W916">
            <v>-678.77185308201854</v>
          </cell>
          <cell r="X916">
            <v>2289.474999999999</v>
          </cell>
          <cell r="Y916">
            <v>1434.3568237017012</v>
          </cell>
        </row>
        <row r="917">
          <cell r="B917">
            <v>906.59999999999945</v>
          </cell>
          <cell r="C917">
            <v>984.29999999999927</v>
          </cell>
          <cell r="D917">
            <v>906.59999999999945</v>
          </cell>
          <cell r="E917">
            <v>-1178.25</v>
          </cell>
          <cell r="F917">
            <v>-504.85000000000036</v>
          </cell>
          <cell r="G917">
            <v>-2848.8</v>
          </cell>
          <cell r="K917">
            <v>0</v>
          </cell>
          <cell r="L917">
            <v>0</v>
          </cell>
          <cell r="M917">
            <v>0</v>
          </cell>
          <cell r="N917">
            <v>241</v>
          </cell>
          <cell r="O917">
            <v>193</v>
          </cell>
          <cell r="P917">
            <v>344</v>
          </cell>
          <cell r="T917">
            <v>906.59999999999945</v>
          </cell>
          <cell r="U917">
            <v>964.875</v>
          </cell>
          <cell r="V917">
            <v>906.59999999999945</v>
          </cell>
          <cell r="W917">
            <v>2267.1999999999989</v>
          </cell>
          <cell r="X917">
            <v>2216.4250000000002</v>
          </cell>
          <cell r="Y917">
            <v>2429.1999999999989</v>
          </cell>
        </row>
        <row r="918">
          <cell r="B918">
            <v>906.59999999999945</v>
          </cell>
          <cell r="C918">
            <v>951.92499999999927</v>
          </cell>
          <cell r="D918">
            <v>906.59999999999945</v>
          </cell>
          <cell r="E918">
            <v>-867.45000000000073</v>
          </cell>
          <cell r="F918">
            <v>-498.375</v>
          </cell>
          <cell r="G918">
            <v>-2512.1000000000004</v>
          </cell>
          <cell r="K918">
            <v>0</v>
          </cell>
          <cell r="L918">
            <v>0</v>
          </cell>
          <cell r="M918">
            <v>6</v>
          </cell>
          <cell r="N918">
            <v>230</v>
          </cell>
          <cell r="O918">
            <v>178</v>
          </cell>
          <cell r="P918">
            <v>339</v>
          </cell>
          <cell r="T918">
            <v>906.59999999999945</v>
          </cell>
          <cell r="U918">
            <v>977.82499999999891</v>
          </cell>
          <cell r="V918">
            <v>906.59999999999945</v>
          </cell>
          <cell r="W918">
            <v>2255.1999999999998</v>
          </cell>
          <cell r="X918">
            <v>2301.849999999999</v>
          </cell>
          <cell r="Y918">
            <v>2477.1999999999998</v>
          </cell>
        </row>
        <row r="919">
          <cell r="B919">
            <v>906.59999999999945</v>
          </cell>
          <cell r="C919">
            <v>1029.6249999999991</v>
          </cell>
          <cell r="D919">
            <v>906.59999999999945</v>
          </cell>
          <cell r="E919">
            <v>-1087.6000000000004</v>
          </cell>
          <cell r="F919">
            <v>-530.75</v>
          </cell>
          <cell r="G919">
            <v>-2149.5</v>
          </cell>
          <cell r="K919">
            <v>0</v>
          </cell>
          <cell r="L919">
            <v>0</v>
          </cell>
          <cell r="M919">
            <v>0</v>
          </cell>
          <cell r="N919">
            <v>222</v>
          </cell>
          <cell r="O919">
            <v>183</v>
          </cell>
          <cell r="P919">
            <v>342</v>
          </cell>
          <cell r="T919">
            <v>906.59999999999945</v>
          </cell>
          <cell r="U919">
            <v>932.5</v>
          </cell>
          <cell r="V919">
            <v>906.59999999999945</v>
          </cell>
          <cell r="W919">
            <v>2267.1999999999989</v>
          </cell>
          <cell r="X919">
            <v>2294.8999999999996</v>
          </cell>
          <cell r="Y919">
            <v>2437.1999999999989</v>
          </cell>
        </row>
        <row r="920">
          <cell r="B920">
            <v>906.59999999999945</v>
          </cell>
          <cell r="C920">
            <v>971.35000000000036</v>
          </cell>
          <cell r="D920">
            <v>906.60000000000036</v>
          </cell>
          <cell r="E920">
            <v>-1217.1000000000004</v>
          </cell>
          <cell r="F920">
            <v>-414.20000000000073</v>
          </cell>
          <cell r="G920">
            <v>-2395.5500000000002</v>
          </cell>
          <cell r="K920">
            <v>0</v>
          </cell>
          <cell r="L920">
            <v>0</v>
          </cell>
          <cell r="M920">
            <v>0</v>
          </cell>
          <cell r="N920">
            <v>205</v>
          </cell>
          <cell r="O920">
            <v>187</v>
          </cell>
          <cell r="P920">
            <v>321</v>
          </cell>
          <cell r="T920">
            <v>906.59999999999945</v>
          </cell>
          <cell r="U920">
            <v>990.77499999999964</v>
          </cell>
          <cell r="V920">
            <v>906.59999999999945</v>
          </cell>
          <cell r="W920">
            <v>1322.5038543284754</v>
          </cell>
          <cell r="X920">
            <v>2172.3847818028312</v>
          </cell>
          <cell r="Y920">
            <v>-2227.2000000000007</v>
          </cell>
        </row>
        <row r="921">
          <cell r="B921">
            <v>906.59999999999945</v>
          </cell>
          <cell r="C921">
            <v>951.92499999999927</v>
          </cell>
          <cell r="D921">
            <v>906.60000000000036</v>
          </cell>
          <cell r="E921">
            <v>-996.95000000000073</v>
          </cell>
          <cell r="F921">
            <v>-349.45000000000073</v>
          </cell>
          <cell r="G921">
            <v>-2434.4000000000005</v>
          </cell>
          <cell r="K921">
            <v>0</v>
          </cell>
          <cell r="L921">
            <v>0</v>
          </cell>
          <cell r="M921">
            <v>0</v>
          </cell>
          <cell r="N921">
            <v>227</v>
          </cell>
          <cell r="O921">
            <v>209</v>
          </cell>
          <cell r="P921">
            <v>317</v>
          </cell>
          <cell r="T921">
            <v>906.59999999999945</v>
          </cell>
          <cell r="U921">
            <v>1003.7250000000004</v>
          </cell>
          <cell r="V921">
            <v>906.59999999999945</v>
          </cell>
          <cell r="W921">
            <v>2283.1999999999998</v>
          </cell>
          <cell r="X921">
            <v>2231.4750000000004</v>
          </cell>
          <cell r="Y921">
            <v>2439.1999999999989</v>
          </cell>
        </row>
        <row r="922">
          <cell r="B922">
            <v>906.59999999999945</v>
          </cell>
          <cell r="C922">
            <v>945.44999999999982</v>
          </cell>
          <cell r="D922">
            <v>906.60000000000036</v>
          </cell>
          <cell r="E922">
            <v>-1320.7000000000007</v>
          </cell>
          <cell r="F922">
            <v>-200.52500000000055</v>
          </cell>
          <cell r="G922">
            <v>-2434.4000000000005</v>
          </cell>
          <cell r="K922">
            <v>0</v>
          </cell>
          <cell r="L922">
            <v>0</v>
          </cell>
          <cell r="M922">
            <v>0</v>
          </cell>
          <cell r="N922">
            <v>205</v>
          </cell>
          <cell r="O922">
            <v>188</v>
          </cell>
          <cell r="P922">
            <v>324</v>
          </cell>
          <cell r="T922">
            <v>906.59999999999945</v>
          </cell>
          <cell r="U922">
            <v>958.39999999999964</v>
          </cell>
          <cell r="V922">
            <v>906.60000000000036</v>
          </cell>
          <cell r="W922">
            <v>70.287523287082195</v>
          </cell>
          <cell r="X922">
            <v>708.36150967204208</v>
          </cell>
          <cell r="Y922">
            <v>2511.1999999999998</v>
          </cell>
        </row>
        <row r="923">
          <cell r="B923">
            <v>906.59999999999945</v>
          </cell>
          <cell r="C923">
            <v>932.49999999999909</v>
          </cell>
          <cell r="D923">
            <v>906.59999999999945</v>
          </cell>
          <cell r="E923">
            <v>-1009.9000000000005</v>
          </cell>
          <cell r="F923">
            <v>-174.625</v>
          </cell>
          <cell r="G923">
            <v>-2369.6500000000005</v>
          </cell>
          <cell r="K923">
            <v>0</v>
          </cell>
          <cell r="L923">
            <v>0</v>
          </cell>
          <cell r="M923">
            <v>0</v>
          </cell>
          <cell r="N923">
            <v>230</v>
          </cell>
          <cell r="O923">
            <v>174</v>
          </cell>
          <cell r="P923">
            <v>319</v>
          </cell>
          <cell r="T923">
            <v>906.59999999999945</v>
          </cell>
          <cell r="U923">
            <v>964.87499999999909</v>
          </cell>
          <cell r="V923">
            <v>906.59999999999945</v>
          </cell>
          <cell r="W923">
            <v>1690.9060196653268</v>
          </cell>
          <cell r="X923">
            <v>2281.3749999999991</v>
          </cell>
          <cell r="Y923">
            <v>-1117.3346261214031</v>
          </cell>
        </row>
        <row r="924">
          <cell r="B924">
            <v>906.59999999999945</v>
          </cell>
          <cell r="C924">
            <v>958.39999999999964</v>
          </cell>
          <cell r="D924">
            <v>906.60000000000036</v>
          </cell>
          <cell r="E924">
            <v>-815.65000000000055</v>
          </cell>
          <cell r="F924">
            <v>-498.375</v>
          </cell>
          <cell r="G924">
            <v>-2615.6999999999998</v>
          </cell>
          <cell r="K924">
            <v>0</v>
          </cell>
          <cell r="L924">
            <v>0</v>
          </cell>
          <cell r="M924">
            <v>0</v>
          </cell>
          <cell r="N924">
            <v>243</v>
          </cell>
          <cell r="O924">
            <v>168</v>
          </cell>
          <cell r="P924">
            <v>318</v>
          </cell>
          <cell r="T924">
            <v>906.59999999999945</v>
          </cell>
          <cell r="U924">
            <v>984.30000000000018</v>
          </cell>
          <cell r="V924">
            <v>906.60000000000036</v>
          </cell>
          <cell r="W924">
            <v>-1359.5500000000002</v>
          </cell>
          <cell r="X924">
            <v>2237.9499999999998</v>
          </cell>
          <cell r="Y924">
            <v>2443.1999999999998</v>
          </cell>
        </row>
        <row r="925">
          <cell r="B925">
            <v>906.59999999999945</v>
          </cell>
          <cell r="C925">
            <v>1042.5749999999998</v>
          </cell>
          <cell r="D925">
            <v>906.60000000000036</v>
          </cell>
          <cell r="E925">
            <v>-647.30000000000018</v>
          </cell>
          <cell r="F925">
            <v>-517.80000000000018</v>
          </cell>
          <cell r="G925">
            <v>-2162.4500000000007</v>
          </cell>
          <cell r="K925">
            <v>0</v>
          </cell>
          <cell r="L925">
            <v>0</v>
          </cell>
          <cell r="M925">
            <v>0</v>
          </cell>
          <cell r="N925">
            <v>228</v>
          </cell>
          <cell r="O925">
            <v>186</v>
          </cell>
          <cell r="P925">
            <v>336</v>
          </cell>
          <cell r="T925">
            <v>906.59999999999945</v>
          </cell>
          <cell r="U925">
            <v>951.92499999999927</v>
          </cell>
          <cell r="V925">
            <v>906.60000000000036</v>
          </cell>
          <cell r="W925">
            <v>-1204.1500000000005</v>
          </cell>
          <cell r="X925">
            <v>2266.8999999999992</v>
          </cell>
          <cell r="Y925">
            <v>2076.6158956981453</v>
          </cell>
        </row>
        <row r="926">
          <cell r="B926">
            <v>906.59999999999945</v>
          </cell>
          <cell r="C926">
            <v>1036.1000000000004</v>
          </cell>
          <cell r="D926">
            <v>906.59999999999945</v>
          </cell>
          <cell r="E926">
            <v>-1268.9000000000005</v>
          </cell>
          <cell r="F926">
            <v>-453.05000000000018</v>
          </cell>
          <cell r="G926">
            <v>-2382.6000000000004</v>
          </cell>
          <cell r="K926">
            <v>0</v>
          </cell>
          <cell r="L926">
            <v>0</v>
          </cell>
          <cell r="M926">
            <v>0</v>
          </cell>
          <cell r="N926">
            <v>219</v>
          </cell>
          <cell r="O926">
            <v>179</v>
          </cell>
          <cell r="P926">
            <v>313</v>
          </cell>
          <cell r="T926">
            <v>906.59999999999945</v>
          </cell>
          <cell r="U926">
            <v>971.34999999999854</v>
          </cell>
          <cell r="V926">
            <v>906.59999999999945</v>
          </cell>
          <cell r="W926">
            <v>62.880231221987401</v>
          </cell>
          <cell r="X926">
            <v>2210.9999999999995</v>
          </cell>
          <cell r="Y926">
            <v>215.68038270440366</v>
          </cell>
        </row>
        <row r="927">
          <cell r="B927">
            <v>906.59999999999945</v>
          </cell>
          <cell r="C927">
            <v>945.44999999999982</v>
          </cell>
          <cell r="D927">
            <v>906.59999999999945</v>
          </cell>
          <cell r="E927">
            <v>-1139.4000000000005</v>
          </cell>
          <cell r="F927">
            <v>-589.02499999999964</v>
          </cell>
          <cell r="G927">
            <v>-2356.6999999999998</v>
          </cell>
          <cell r="K927">
            <v>0</v>
          </cell>
          <cell r="L927">
            <v>0</v>
          </cell>
          <cell r="M927">
            <v>0</v>
          </cell>
          <cell r="N927">
            <v>220</v>
          </cell>
          <cell r="O927">
            <v>168</v>
          </cell>
          <cell r="P927">
            <v>323</v>
          </cell>
          <cell r="T927">
            <v>906.59999999999945</v>
          </cell>
          <cell r="U927">
            <v>926.02499999999964</v>
          </cell>
          <cell r="V927">
            <v>906.59999999999945</v>
          </cell>
          <cell r="W927">
            <v>538.88086875674844</v>
          </cell>
          <cell r="X927">
            <v>2250.4249999999988</v>
          </cell>
          <cell r="Y927">
            <v>410.81418947258453</v>
          </cell>
        </row>
        <row r="928">
          <cell r="B928">
            <v>906.59999999999945</v>
          </cell>
          <cell r="C928">
            <v>951.92500000000018</v>
          </cell>
          <cell r="D928">
            <v>906.60000000000036</v>
          </cell>
          <cell r="E928">
            <v>-1281.8500000000004</v>
          </cell>
          <cell r="F928">
            <v>-427.15000000000055</v>
          </cell>
          <cell r="G928">
            <v>-2706.3500000000004</v>
          </cell>
          <cell r="K928">
            <v>0</v>
          </cell>
          <cell r="L928">
            <v>0</v>
          </cell>
          <cell r="M928">
            <v>0</v>
          </cell>
          <cell r="N928">
            <v>233</v>
          </cell>
          <cell r="O928">
            <v>189</v>
          </cell>
          <cell r="P928">
            <v>307</v>
          </cell>
          <cell r="T928">
            <v>906.59999999999945</v>
          </cell>
          <cell r="U928">
            <v>971.34999999999945</v>
          </cell>
          <cell r="V928">
            <v>906.60000000000036</v>
          </cell>
          <cell r="W928">
            <v>1943.5120589397811</v>
          </cell>
          <cell r="X928">
            <v>717.73042061577371</v>
          </cell>
          <cell r="Y928">
            <v>454.16232804771562</v>
          </cell>
        </row>
        <row r="929">
          <cell r="B929">
            <v>906.59999999999945</v>
          </cell>
          <cell r="C929">
            <v>951.92499999999927</v>
          </cell>
          <cell r="D929">
            <v>906.59999999999945</v>
          </cell>
          <cell r="E929">
            <v>-1243</v>
          </cell>
          <cell r="F929">
            <v>-491.90000000000055</v>
          </cell>
          <cell r="G929">
            <v>-2848.8</v>
          </cell>
          <cell r="K929">
            <v>0</v>
          </cell>
          <cell r="L929">
            <v>0</v>
          </cell>
          <cell r="M929">
            <v>0</v>
          </cell>
          <cell r="N929">
            <v>243</v>
          </cell>
          <cell r="O929">
            <v>168</v>
          </cell>
          <cell r="P929">
            <v>311</v>
          </cell>
          <cell r="T929">
            <v>906.59999999999945</v>
          </cell>
          <cell r="U929">
            <v>958.39999999999964</v>
          </cell>
          <cell r="V929">
            <v>906.59999999999945</v>
          </cell>
          <cell r="W929">
            <v>2281.1999999999994</v>
          </cell>
          <cell r="X929">
            <v>2115.5959057267823</v>
          </cell>
          <cell r="Y929">
            <v>2431.1999999999998</v>
          </cell>
        </row>
        <row r="930">
          <cell r="B930">
            <v>906.59999999999945</v>
          </cell>
          <cell r="C930">
            <v>997.25</v>
          </cell>
          <cell r="D930">
            <v>906.60000000000036</v>
          </cell>
          <cell r="E930">
            <v>-1165.3000000000002</v>
          </cell>
          <cell r="F930">
            <v>-517.80000000000018</v>
          </cell>
          <cell r="G930">
            <v>-2758.1500000000005</v>
          </cell>
          <cell r="K930">
            <v>0</v>
          </cell>
          <cell r="L930">
            <v>0</v>
          </cell>
          <cell r="M930">
            <v>0</v>
          </cell>
          <cell r="N930">
            <v>233</v>
          </cell>
          <cell r="O930">
            <v>213</v>
          </cell>
          <cell r="P930">
            <v>324</v>
          </cell>
          <cell r="T930">
            <v>906.59999999999945</v>
          </cell>
          <cell r="U930">
            <v>958.39999999999964</v>
          </cell>
          <cell r="V930">
            <v>906.60000000000036</v>
          </cell>
          <cell r="W930">
            <v>1573.7972430458299</v>
          </cell>
          <cell r="X930">
            <v>2205.9499999999994</v>
          </cell>
          <cell r="Y930">
            <v>1935.4791714060111</v>
          </cell>
        </row>
        <row r="931">
          <cell r="B931">
            <v>906.59999999999945</v>
          </cell>
          <cell r="C931">
            <v>971.34999999999945</v>
          </cell>
          <cell r="D931">
            <v>906.59999999999945</v>
          </cell>
          <cell r="E931">
            <v>-1165.3000000000002</v>
          </cell>
          <cell r="F931">
            <v>-433.625</v>
          </cell>
          <cell r="G931">
            <v>-2499.1500000000005</v>
          </cell>
          <cell r="K931">
            <v>0</v>
          </cell>
          <cell r="L931">
            <v>0</v>
          </cell>
          <cell r="M931">
            <v>0</v>
          </cell>
          <cell r="N931">
            <v>221</v>
          </cell>
          <cell r="O931">
            <v>138</v>
          </cell>
          <cell r="P931">
            <v>326</v>
          </cell>
          <cell r="T931">
            <v>906.59999999999945</v>
          </cell>
          <cell r="U931">
            <v>977.82499999999982</v>
          </cell>
          <cell r="V931">
            <v>906.59999999999945</v>
          </cell>
          <cell r="W931">
            <v>2267.1999999999989</v>
          </cell>
          <cell r="X931">
            <v>1489.9492456388239</v>
          </cell>
          <cell r="Y931">
            <v>2471.1999999999998</v>
          </cell>
        </row>
        <row r="932">
          <cell r="B932">
            <v>906.59999999999945</v>
          </cell>
          <cell r="C932">
            <v>1003.7250000000004</v>
          </cell>
          <cell r="D932">
            <v>906.60000000000036</v>
          </cell>
          <cell r="E932">
            <v>-1035.8000000000002</v>
          </cell>
          <cell r="F932">
            <v>-297.64999999999964</v>
          </cell>
          <cell r="G932">
            <v>-2615.6999999999998</v>
          </cell>
          <cell r="K932">
            <v>0</v>
          </cell>
          <cell r="L932">
            <v>0</v>
          </cell>
          <cell r="M932">
            <v>0</v>
          </cell>
          <cell r="N932">
            <v>214</v>
          </cell>
          <cell r="O932">
            <v>200</v>
          </cell>
          <cell r="P932">
            <v>323</v>
          </cell>
          <cell r="T932">
            <v>906.59999999999945</v>
          </cell>
          <cell r="U932">
            <v>997.25</v>
          </cell>
          <cell r="V932">
            <v>906.59999999999945</v>
          </cell>
          <cell r="W932">
            <v>-933.06921191144954</v>
          </cell>
          <cell r="X932">
            <v>2247.849999999999</v>
          </cell>
          <cell r="Y932">
            <v>744.35824213322076</v>
          </cell>
        </row>
        <row r="933">
          <cell r="B933">
            <v>906.59999999999945</v>
          </cell>
          <cell r="C933">
            <v>990.77499999999873</v>
          </cell>
          <cell r="D933">
            <v>906.59999999999945</v>
          </cell>
          <cell r="E933">
            <v>-1398.4000000000005</v>
          </cell>
          <cell r="F933">
            <v>-666.72500000000036</v>
          </cell>
          <cell r="G933">
            <v>-2227.2000000000007</v>
          </cell>
          <cell r="K933">
            <v>0</v>
          </cell>
          <cell r="L933">
            <v>0</v>
          </cell>
          <cell r="M933">
            <v>0</v>
          </cell>
          <cell r="N933">
            <v>239</v>
          </cell>
          <cell r="O933">
            <v>169</v>
          </cell>
          <cell r="P933">
            <v>311</v>
          </cell>
          <cell r="T933">
            <v>906.59999999999945</v>
          </cell>
          <cell r="U933">
            <v>984.29999999999927</v>
          </cell>
          <cell r="V933">
            <v>906.59999999999945</v>
          </cell>
          <cell r="W933">
            <v>2255.1999999999998</v>
          </cell>
          <cell r="X933">
            <v>2231.4750000000004</v>
          </cell>
          <cell r="Y933">
            <v>2423.4825988525272</v>
          </cell>
        </row>
        <row r="934">
          <cell r="B934">
            <v>906.59999999999945</v>
          </cell>
          <cell r="C934">
            <v>1010.1999999999998</v>
          </cell>
          <cell r="D934">
            <v>906.60000000000036</v>
          </cell>
          <cell r="E934">
            <v>-1320.7000000000007</v>
          </cell>
          <cell r="F934">
            <v>-640.82500000000073</v>
          </cell>
          <cell r="G934">
            <v>-2719.3</v>
          </cell>
          <cell r="K934">
            <v>0</v>
          </cell>
          <cell r="L934">
            <v>0</v>
          </cell>
          <cell r="M934">
            <v>0</v>
          </cell>
          <cell r="N934">
            <v>216</v>
          </cell>
          <cell r="O934">
            <v>180</v>
          </cell>
          <cell r="P934">
            <v>332</v>
          </cell>
          <cell r="T934">
            <v>906.59999999999945</v>
          </cell>
          <cell r="U934">
            <v>977.82499999999891</v>
          </cell>
          <cell r="V934">
            <v>906.59999999999945</v>
          </cell>
          <cell r="W934">
            <v>2319.1999999999994</v>
          </cell>
          <cell r="X934">
            <v>1603.2599783975884</v>
          </cell>
          <cell r="Y934">
            <v>2449.1999999999989</v>
          </cell>
        </row>
        <row r="935">
          <cell r="B935">
            <v>906.59999999999945</v>
          </cell>
          <cell r="C935">
            <v>1003.7249999999995</v>
          </cell>
          <cell r="D935">
            <v>906.60000000000036</v>
          </cell>
          <cell r="E935">
            <v>-1255.9500000000007</v>
          </cell>
          <cell r="F935">
            <v>-349.45000000000073</v>
          </cell>
          <cell r="G935">
            <v>-2512.1000000000004</v>
          </cell>
          <cell r="K935">
            <v>0</v>
          </cell>
          <cell r="L935">
            <v>0</v>
          </cell>
          <cell r="M935">
            <v>0</v>
          </cell>
          <cell r="N935">
            <v>221</v>
          </cell>
          <cell r="O935">
            <v>174</v>
          </cell>
          <cell r="P935">
            <v>347</v>
          </cell>
          <cell r="T935">
            <v>906.59999999999945</v>
          </cell>
          <cell r="U935">
            <v>984.30000000000018</v>
          </cell>
          <cell r="V935">
            <v>906.59999999999945</v>
          </cell>
          <cell r="W935">
            <v>2259.1999999999994</v>
          </cell>
          <cell r="X935">
            <v>2266.8999999999992</v>
          </cell>
          <cell r="Y935">
            <v>-123.51141730950258</v>
          </cell>
        </row>
        <row r="936">
          <cell r="B936">
            <v>906.59999999999945</v>
          </cell>
          <cell r="C936">
            <v>977.82499999999982</v>
          </cell>
          <cell r="D936">
            <v>906.59999999999945</v>
          </cell>
          <cell r="E936">
            <v>-854.5</v>
          </cell>
          <cell r="F936">
            <v>-472.47500000000036</v>
          </cell>
          <cell r="G936">
            <v>-2447.3500000000004</v>
          </cell>
          <cell r="K936">
            <v>0</v>
          </cell>
          <cell r="L936">
            <v>0</v>
          </cell>
          <cell r="M936">
            <v>0</v>
          </cell>
          <cell r="N936">
            <v>236</v>
          </cell>
          <cell r="O936">
            <v>179</v>
          </cell>
          <cell r="P936">
            <v>324</v>
          </cell>
          <cell r="T936">
            <v>906.59999999999945</v>
          </cell>
          <cell r="U936">
            <v>1010.1999999999998</v>
          </cell>
          <cell r="V936">
            <v>906.59999999999945</v>
          </cell>
          <cell r="W936">
            <v>2227.1999999999989</v>
          </cell>
          <cell r="X936">
            <v>2158.0499999999988</v>
          </cell>
          <cell r="Y936">
            <v>-2246.326472746789</v>
          </cell>
        </row>
        <row r="937">
          <cell r="B937">
            <v>906.59999999999945</v>
          </cell>
          <cell r="C937">
            <v>997.24999999999909</v>
          </cell>
          <cell r="D937">
            <v>906.59999999999945</v>
          </cell>
          <cell r="E937">
            <v>-880.40000000000055</v>
          </cell>
          <cell r="F937">
            <v>-232.90000000000055</v>
          </cell>
          <cell r="G937">
            <v>-2253.1000000000004</v>
          </cell>
          <cell r="K937">
            <v>0</v>
          </cell>
          <cell r="L937">
            <v>0</v>
          </cell>
          <cell r="M937">
            <v>0</v>
          </cell>
          <cell r="N937">
            <v>214</v>
          </cell>
          <cell r="O937">
            <v>195</v>
          </cell>
          <cell r="P937">
            <v>322</v>
          </cell>
          <cell r="T937">
            <v>906.59999999999945</v>
          </cell>
          <cell r="U937">
            <v>1003.7249999999995</v>
          </cell>
          <cell r="V937">
            <v>906.60000000000036</v>
          </cell>
          <cell r="W937">
            <v>-851.5202839644445</v>
          </cell>
          <cell r="X937">
            <v>1890.4255635882791</v>
          </cell>
          <cell r="Y937">
            <v>2465.1999999999998</v>
          </cell>
        </row>
        <row r="938">
          <cell r="B938">
            <v>906.59999999999945</v>
          </cell>
          <cell r="C938">
            <v>977.82499999999891</v>
          </cell>
          <cell r="D938">
            <v>919.55000000000018</v>
          </cell>
          <cell r="E938">
            <v>-1320.7000000000007</v>
          </cell>
          <cell r="F938">
            <v>-245.85000000000036</v>
          </cell>
          <cell r="G938">
            <v>-2175.4000000000005</v>
          </cell>
          <cell r="K938">
            <v>0</v>
          </cell>
          <cell r="L938">
            <v>0</v>
          </cell>
          <cell r="M938">
            <v>0</v>
          </cell>
          <cell r="N938">
            <v>217</v>
          </cell>
          <cell r="O938">
            <v>198</v>
          </cell>
          <cell r="P938">
            <v>338</v>
          </cell>
          <cell r="T938">
            <v>906.59999999999945</v>
          </cell>
          <cell r="U938">
            <v>964.875</v>
          </cell>
          <cell r="V938">
            <v>906.60000000000036</v>
          </cell>
          <cell r="W938">
            <v>2231.1999999999994</v>
          </cell>
          <cell r="X938">
            <v>2304.7999999999997</v>
          </cell>
          <cell r="Y938">
            <v>2453.1999999999998</v>
          </cell>
        </row>
        <row r="939">
          <cell r="B939">
            <v>906.59999999999945</v>
          </cell>
          <cell r="C939">
            <v>958.39999999999964</v>
          </cell>
          <cell r="D939">
            <v>906.59999999999945</v>
          </cell>
          <cell r="E939">
            <v>-854.5</v>
          </cell>
          <cell r="F939">
            <v>-459.52499999999964</v>
          </cell>
          <cell r="G939">
            <v>-2382.6000000000004</v>
          </cell>
          <cell r="K939">
            <v>0</v>
          </cell>
          <cell r="L939">
            <v>0</v>
          </cell>
          <cell r="M939">
            <v>0</v>
          </cell>
          <cell r="N939">
            <v>225</v>
          </cell>
          <cell r="O939">
            <v>176</v>
          </cell>
          <cell r="P939">
            <v>297</v>
          </cell>
          <cell r="T939">
            <v>906.59999999999945</v>
          </cell>
          <cell r="U939">
            <v>971.34999999999945</v>
          </cell>
          <cell r="V939">
            <v>906.60000000000036</v>
          </cell>
          <cell r="W939">
            <v>2203.1999999999998</v>
          </cell>
          <cell r="X939">
            <v>774.58022545593758</v>
          </cell>
          <cell r="Y939">
            <v>-2279</v>
          </cell>
        </row>
        <row r="940">
          <cell r="B940">
            <v>906.59999999999945</v>
          </cell>
          <cell r="C940">
            <v>971.34999999999945</v>
          </cell>
          <cell r="D940">
            <v>906.59999999999945</v>
          </cell>
          <cell r="E940">
            <v>-1126.4500000000007</v>
          </cell>
          <cell r="F940">
            <v>-414.20000000000073</v>
          </cell>
          <cell r="G940">
            <v>-2291.9499999999998</v>
          </cell>
          <cell r="K940">
            <v>0</v>
          </cell>
          <cell r="L940">
            <v>0</v>
          </cell>
          <cell r="M940">
            <v>0</v>
          </cell>
          <cell r="N940">
            <v>222</v>
          </cell>
          <cell r="O940">
            <v>180</v>
          </cell>
          <cell r="P940">
            <v>318</v>
          </cell>
          <cell r="T940">
            <v>906.59999999999945</v>
          </cell>
          <cell r="U940">
            <v>971.34999999999854</v>
          </cell>
          <cell r="V940">
            <v>906.59999999999945</v>
          </cell>
          <cell r="W940">
            <v>2241.1999999999994</v>
          </cell>
          <cell r="X940">
            <v>2196.9999999999991</v>
          </cell>
          <cell r="Y940">
            <v>-717.19333624500177</v>
          </cell>
        </row>
        <row r="941">
          <cell r="B941">
            <v>906.59999999999945</v>
          </cell>
          <cell r="C941">
            <v>932.49999999999909</v>
          </cell>
          <cell r="D941">
            <v>906.59999999999945</v>
          </cell>
          <cell r="E941">
            <v>-1346.6000000000004</v>
          </cell>
          <cell r="F941">
            <v>-472.47500000000036</v>
          </cell>
          <cell r="G941">
            <v>-2266.0500000000002</v>
          </cell>
          <cell r="K941">
            <v>0</v>
          </cell>
          <cell r="L941">
            <v>0</v>
          </cell>
          <cell r="M941">
            <v>0</v>
          </cell>
          <cell r="N941">
            <v>211</v>
          </cell>
          <cell r="O941">
            <v>181</v>
          </cell>
          <cell r="P941">
            <v>334</v>
          </cell>
          <cell r="T941">
            <v>906.59999999999945</v>
          </cell>
          <cell r="U941">
            <v>984.29999999999927</v>
          </cell>
          <cell r="V941">
            <v>906.59999999999945</v>
          </cell>
          <cell r="W941">
            <v>2225.1999999999998</v>
          </cell>
          <cell r="X941">
            <v>2295.9499999999994</v>
          </cell>
          <cell r="Y941">
            <v>2465.1999999999998</v>
          </cell>
        </row>
        <row r="942">
          <cell r="B942">
            <v>906.59999999999945</v>
          </cell>
          <cell r="C942">
            <v>958.39999999999873</v>
          </cell>
          <cell r="D942">
            <v>906.59999999999945</v>
          </cell>
          <cell r="E942">
            <v>-1061.7000000000007</v>
          </cell>
          <cell r="F942">
            <v>-582.55000000000109</v>
          </cell>
          <cell r="G942">
            <v>-2421.4499999999998</v>
          </cell>
          <cell r="K942">
            <v>0</v>
          </cell>
          <cell r="L942">
            <v>0</v>
          </cell>
          <cell r="M942">
            <v>0</v>
          </cell>
          <cell r="N942">
            <v>214</v>
          </cell>
          <cell r="O942">
            <v>184</v>
          </cell>
          <cell r="P942">
            <v>328</v>
          </cell>
          <cell r="T942">
            <v>906.59999999999945</v>
          </cell>
          <cell r="U942">
            <v>971.34999999999945</v>
          </cell>
          <cell r="V942">
            <v>919.55000000000018</v>
          </cell>
          <cell r="W942">
            <v>2237.1999999999989</v>
          </cell>
          <cell r="X942">
            <v>-537.22500000000036</v>
          </cell>
          <cell r="Y942">
            <v>2445.1999999999998</v>
          </cell>
        </row>
        <row r="943">
          <cell r="B943">
            <v>906.59999999999945</v>
          </cell>
          <cell r="C943">
            <v>1016.6750000000002</v>
          </cell>
          <cell r="D943">
            <v>906.59999999999945</v>
          </cell>
          <cell r="E943">
            <v>-945.15000000000055</v>
          </cell>
          <cell r="F943">
            <v>-284.70000000000073</v>
          </cell>
          <cell r="G943">
            <v>-2460.3000000000002</v>
          </cell>
          <cell r="K943">
            <v>0</v>
          </cell>
          <cell r="L943">
            <v>0</v>
          </cell>
          <cell r="M943">
            <v>0</v>
          </cell>
          <cell r="N943">
            <v>199</v>
          </cell>
          <cell r="O943">
            <v>204</v>
          </cell>
          <cell r="P943">
            <v>330</v>
          </cell>
          <cell r="T943">
            <v>906.59999999999945</v>
          </cell>
          <cell r="U943">
            <v>977.82499999999982</v>
          </cell>
          <cell r="V943">
            <v>906.59999999999945</v>
          </cell>
          <cell r="W943">
            <v>1766.3918989180561</v>
          </cell>
          <cell r="X943">
            <v>2257.4749999999999</v>
          </cell>
          <cell r="Y943">
            <v>-145.27927689419948</v>
          </cell>
        </row>
        <row r="944">
          <cell r="B944">
            <v>906.59999999999945</v>
          </cell>
          <cell r="C944">
            <v>938.97500000000036</v>
          </cell>
          <cell r="D944">
            <v>906.60000000000036</v>
          </cell>
          <cell r="E944">
            <v>-1281.8500000000004</v>
          </cell>
          <cell r="F944">
            <v>-401.25</v>
          </cell>
          <cell r="G944">
            <v>-2343.75</v>
          </cell>
          <cell r="K944">
            <v>0</v>
          </cell>
          <cell r="L944">
            <v>0</v>
          </cell>
          <cell r="M944">
            <v>0</v>
          </cell>
          <cell r="N944">
            <v>219</v>
          </cell>
          <cell r="O944">
            <v>186</v>
          </cell>
          <cell r="P944">
            <v>314</v>
          </cell>
          <cell r="T944">
            <v>906.59999999999945</v>
          </cell>
          <cell r="U944">
            <v>926.02499999999964</v>
          </cell>
          <cell r="V944">
            <v>906.60000000000036</v>
          </cell>
          <cell r="W944">
            <v>-723.78016944606338</v>
          </cell>
          <cell r="X944">
            <v>2226.4250000000002</v>
          </cell>
          <cell r="Y944">
            <v>505.82050133448774</v>
          </cell>
        </row>
        <row r="945">
          <cell r="B945">
            <v>906.59999999999945</v>
          </cell>
          <cell r="C945">
            <v>971.35000000000036</v>
          </cell>
          <cell r="D945">
            <v>906.60000000000036</v>
          </cell>
          <cell r="E945">
            <v>-1100.5500000000002</v>
          </cell>
          <cell r="F945">
            <v>-517.80000000000109</v>
          </cell>
          <cell r="G945">
            <v>-2317.8500000000004</v>
          </cell>
          <cell r="K945">
            <v>0</v>
          </cell>
          <cell r="L945">
            <v>0</v>
          </cell>
          <cell r="M945">
            <v>0</v>
          </cell>
          <cell r="N945">
            <v>210</v>
          </cell>
          <cell r="O945">
            <v>187</v>
          </cell>
          <cell r="P945">
            <v>349</v>
          </cell>
          <cell r="T945">
            <v>906.59999999999945</v>
          </cell>
          <cell r="U945">
            <v>964.87499999999909</v>
          </cell>
          <cell r="V945">
            <v>906.60000000000036</v>
          </cell>
          <cell r="W945">
            <v>-802.64944979627546</v>
          </cell>
          <cell r="X945">
            <v>2208.5249999999996</v>
          </cell>
          <cell r="Y945">
            <v>2473.1999999999998</v>
          </cell>
        </row>
        <row r="946">
          <cell r="B946">
            <v>906.59999999999945</v>
          </cell>
          <cell r="C946">
            <v>984.29999999999927</v>
          </cell>
          <cell r="D946">
            <v>906.60000000000036</v>
          </cell>
          <cell r="E946">
            <v>-712.05000000000018</v>
          </cell>
          <cell r="F946">
            <v>-485.42500000000018</v>
          </cell>
          <cell r="G946">
            <v>-2227.2000000000007</v>
          </cell>
          <cell r="K946">
            <v>0</v>
          </cell>
          <cell r="L946">
            <v>0</v>
          </cell>
          <cell r="M946">
            <v>0</v>
          </cell>
          <cell r="N946">
            <v>208</v>
          </cell>
          <cell r="O946">
            <v>187</v>
          </cell>
          <cell r="P946">
            <v>326</v>
          </cell>
          <cell r="T946">
            <v>906.59999999999945</v>
          </cell>
          <cell r="U946">
            <v>990.77499999999964</v>
          </cell>
          <cell r="V946">
            <v>906.59999999999945</v>
          </cell>
          <cell r="W946">
            <v>2281.1999999999994</v>
          </cell>
          <cell r="X946">
            <v>2185.474999999999</v>
          </cell>
          <cell r="Y946">
            <v>2459.1999999999989</v>
          </cell>
        </row>
        <row r="947">
          <cell r="B947">
            <v>906.59999999999945</v>
          </cell>
          <cell r="C947">
            <v>958.39999999999964</v>
          </cell>
          <cell r="D947">
            <v>906.59999999999945</v>
          </cell>
          <cell r="E947">
            <v>-776.80000000000018</v>
          </cell>
          <cell r="F947">
            <v>-511.32500000000073</v>
          </cell>
          <cell r="G947">
            <v>-2317.8500000000004</v>
          </cell>
          <cell r="K947">
            <v>0</v>
          </cell>
          <cell r="L947">
            <v>0</v>
          </cell>
          <cell r="M947">
            <v>0</v>
          </cell>
          <cell r="N947">
            <v>224</v>
          </cell>
          <cell r="O947">
            <v>193</v>
          </cell>
          <cell r="P947">
            <v>294</v>
          </cell>
          <cell r="T947">
            <v>906.59999999999945</v>
          </cell>
          <cell r="U947">
            <v>977.82499999999891</v>
          </cell>
          <cell r="V947">
            <v>906.59999999999945</v>
          </cell>
          <cell r="W947">
            <v>2237.1999999999989</v>
          </cell>
          <cell r="X947">
            <v>2237.4749999999999</v>
          </cell>
          <cell r="Y947">
            <v>-1841.3331641313309</v>
          </cell>
        </row>
        <row r="948">
          <cell r="B948">
            <v>906.59999999999945</v>
          </cell>
          <cell r="C948">
            <v>951.92499999999927</v>
          </cell>
          <cell r="D948">
            <v>906.60000000000036</v>
          </cell>
          <cell r="E948">
            <v>-1178.25</v>
          </cell>
          <cell r="F948">
            <v>-627.875</v>
          </cell>
          <cell r="G948">
            <v>-2563.9000000000005</v>
          </cell>
          <cell r="K948">
            <v>0</v>
          </cell>
          <cell r="L948">
            <v>0</v>
          </cell>
          <cell r="M948">
            <v>0</v>
          </cell>
          <cell r="N948">
            <v>209</v>
          </cell>
          <cell r="O948">
            <v>201</v>
          </cell>
          <cell r="P948">
            <v>335</v>
          </cell>
          <cell r="T948">
            <v>906.59999999999945</v>
          </cell>
          <cell r="U948">
            <v>977.82499999999982</v>
          </cell>
          <cell r="V948">
            <v>906.60000000000036</v>
          </cell>
          <cell r="W948">
            <v>2225.1999999999998</v>
          </cell>
          <cell r="X948">
            <v>2020.3822990854396</v>
          </cell>
          <cell r="Y948">
            <v>257.5662617428452</v>
          </cell>
        </row>
        <row r="949">
          <cell r="B949">
            <v>906.59999999999945</v>
          </cell>
          <cell r="C949">
            <v>1003.7250000000004</v>
          </cell>
          <cell r="D949">
            <v>906.60000000000036</v>
          </cell>
          <cell r="E949">
            <v>-1139.4000000000005</v>
          </cell>
          <cell r="F949">
            <v>-524.27499999999964</v>
          </cell>
          <cell r="G949">
            <v>-2525.0500000000002</v>
          </cell>
          <cell r="K949">
            <v>0</v>
          </cell>
          <cell r="L949">
            <v>0</v>
          </cell>
          <cell r="M949">
            <v>0</v>
          </cell>
          <cell r="N949">
            <v>197</v>
          </cell>
          <cell r="O949">
            <v>182</v>
          </cell>
          <cell r="P949">
            <v>321</v>
          </cell>
          <cell r="T949">
            <v>906.59999999999945</v>
          </cell>
          <cell r="U949">
            <v>964.87499999999909</v>
          </cell>
          <cell r="V949">
            <v>906.59999999999945</v>
          </cell>
          <cell r="W949">
            <v>2243.1999999999998</v>
          </cell>
          <cell r="X949">
            <v>-608.45000000000073</v>
          </cell>
          <cell r="Y949">
            <v>2459.1999999999989</v>
          </cell>
        </row>
        <row r="950">
          <cell r="B950">
            <v>906.59999999999945</v>
          </cell>
          <cell r="C950">
            <v>971.35000000000036</v>
          </cell>
          <cell r="D950">
            <v>906.59999999999945</v>
          </cell>
          <cell r="E950">
            <v>-1126.4500000000007</v>
          </cell>
          <cell r="F950">
            <v>-440.10000000000036</v>
          </cell>
          <cell r="G950">
            <v>-2214.25</v>
          </cell>
          <cell r="K950">
            <v>0</v>
          </cell>
          <cell r="L950">
            <v>0</v>
          </cell>
          <cell r="M950">
            <v>0</v>
          </cell>
          <cell r="N950">
            <v>236</v>
          </cell>
          <cell r="O950">
            <v>173</v>
          </cell>
          <cell r="P950">
            <v>348</v>
          </cell>
          <cell r="T950">
            <v>906.59999999999945</v>
          </cell>
          <cell r="U950">
            <v>964.87499999999909</v>
          </cell>
          <cell r="V950">
            <v>906.59999999999945</v>
          </cell>
          <cell r="W950">
            <v>-1074.6500000000005</v>
          </cell>
          <cell r="X950">
            <v>1647.6727915197562</v>
          </cell>
          <cell r="Y950">
            <v>2403.1999999999998</v>
          </cell>
        </row>
        <row r="951">
          <cell r="B951">
            <v>906.59999999999945</v>
          </cell>
          <cell r="C951">
            <v>1010.1999999999998</v>
          </cell>
          <cell r="D951">
            <v>906.59999999999945</v>
          </cell>
          <cell r="E951">
            <v>-1022.8500000000004</v>
          </cell>
          <cell r="F951">
            <v>-530.75</v>
          </cell>
          <cell r="G951">
            <v>-2382.6000000000004</v>
          </cell>
          <cell r="K951">
            <v>0</v>
          </cell>
          <cell r="L951">
            <v>0</v>
          </cell>
          <cell r="M951">
            <v>0</v>
          </cell>
          <cell r="N951">
            <v>207</v>
          </cell>
          <cell r="O951">
            <v>167</v>
          </cell>
          <cell r="P951">
            <v>335</v>
          </cell>
          <cell r="T951">
            <v>906.59999999999945</v>
          </cell>
          <cell r="U951">
            <v>951.92499999999927</v>
          </cell>
          <cell r="V951">
            <v>906.60000000000036</v>
          </cell>
          <cell r="W951">
            <v>2259.1999999999994</v>
          </cell>
          <cell r="X951">
            <v>2212.8999999999996</v>
          </cell>
          <cell r="Y951">
            <v>2399.1999999999989</v>
          </cell>
        </row>
        <row r="952">
          <cell r="B952">
            <v>906.59999999999945</v>
          </cell>
          <cell r="C952">
            <v>971.34999999999945</v>
          </cell>
          <cell r="D952">
            <v>906.59999999999945</v>
          </cell>
          <cell r="E952">
            <v>-867.45000000000073</v>
          </cell>
          <cell r="F952">
            <v>-453.05000000000109</v>
          </cell>
          <cell r="G952">
            <v>-2097.7000000000007</v>
          </cell>
          <cell r="K952">
            <v>0</v>
          </cell>
          <cell r="L952">
            <v>0</v>
          </cell>
          <cell r="M952">
            <v>0</v>
          </cell>
          <cell r="N952">
            <v>232</v>
          </cell>
          <cell r="O952">
            <v>184</v>
          </cell>
          <cell r="P952">
            <v>292</v>
          </cell>
          <cell r="T952">
            <v>906.59999999999945</v>
          </cell>
          <cell r="U952">
            <v>990.77499999999964</v>
          </cell>
          <cell r="V952">
            <v>906.59999999999945</v>
          </cell>
          <cell r="W952">
            <v>2253.1999999999998</v>
          </cell>
          <cell r="X952">
            <v>2300.7999999999993</v>
          </cell>
          <cell r="Y952">
            <v>2373.639554910299</v>
          </cell>
        </row>
        <row r="953">
          <cell r="B953">
            <v>906.59999999999945</v>
          </cell>
          <cell r="C953">
            <v>997.24999999999909</v>
          </cell>
          <cell r="D953">
            <v>906.59999999999945</v>
          </cell>
          <cell r="E953">
            <v>-971.05000000000018</v>
          </cell>
          <cell r="F953">
            <v>-355.92500000000109</v>
          </cell>
          <cell r="G953">
            <v>-2369.6500000000005</v>
          </cell>
          <cell r="K953">
            <v>0</v>
          </cell>
          <cell r="L953">
            <v>0</v>
          </cell>
          <cell r="M953">
            <v>0</v>
          </cell>
          <cell r="N953">
            <v>245</v>
          </cell>
          <cell r="O953">
            <v>180</v>
          </cell>
          <cell r="P953">
            <v>313</v>
          </cell>
          <cell r="T953">
            <v>906.59999999999945</v>
          </cell>
          <cell r="U953">
            <v>945.44999999999891</v>
          </cell>
          <cell r="V953">
            <v>906.59999999999945</v>
          </cell>
          <cell r="W953">
            <v>2269.1999999999994</v>
          </cell>
          <cell r="X953">
            <v>2278.9999999999991</v>
          </cell>
          <cell r="Y953">
            <v>-2317.8500000000004</v>
          </cell>
        </row>
        <row r="954">
          <cell r="B954">
            <v>906.59999999999945</v>
          </cell>
          <cell r="C954">
            <v>977.82499999999891</v>
          </cell>
          <cell r="D954">
            <v>906.59999999999945</v>
          </cell>
          <cell r="E954">
            <v>-1178.25</v>
          </cell>
          <cell r="F954">
            <v>-608.45000000000073</v>
          </cell>
          <cell r="G954">
            <v>-2732.25</v>
          </cell>
          <cell r="K954">
            <v>0</v>
          </cell>
          <cell r="L954">
            <v>0</v>
          </cell>
          <cell r="M954">
            <v>0</v>
          </cell>
          <cell r="N954">
            <v>220</v>
          </cell>
          <cell r="O954">
            <v>186</v>
          </cell>
          <cell r="P954">
            <v>317</v>
          </cell>
          <cell r="T954">
            <v>906.59999999999945</v>
          </cell>
          <cell r="U954">
            <v>971.34999999999945</v>
          </cell>
          <cell r="V954">
            <v>906.59999999999945</v>
          </cell>
          <cell r="W954">
            <v>1311.2956863950271</v>
          </cell>
          <cell r="X954">
            <v>-342.97500000000036</v>
          </cell>
          <cell r="Y954">
            <v>2121.7710579306786</v>
          </cell>
        </row>
        <row r="955">
          <cell r="B955">
            <v>906.59999999999945</v>
          </cell>
          <cell r="C955">
            <v>945.44999999999891</v>
          </cell>
          <cell r="D955">
            <v>906.60000000000036</v>
          </cell>
          <cell r="E955">
            <v>-1281.8500000000004</v>
          </cell>
          <cell r="F955">
            <v>-511.32500000000073</v>
          </cell>
          <cell r="G955">
            <v>-2227.2000000000007</v>
          </cell>
          <cell r="K955">
            <v>0</v>
          </cell>
          <cell r="L955">
            <v>0</v>
          </cell>
          <cell r="M955">
            <v>0</v>
          </cell>
          <cell r="N955">
            <v>218</v>
          </cell>
          <cell r="O955">
            <v>193</v>
          </cell>
          <cell r="P955">
            <v>315</v>
          </cell>
          <cell r="T955">
            <v>906.59999999999945</v>
          </cell>
          <cell r="U955">
            <v>977.82499999999891</v>
          </cell>
          <cell r="V955">
            <v>906.60000000000036</v>
          </cell>
          <cell r="W955">
            <v>74.972353343634495</v>
          </cell>
          <cell r="X955">
            <v>2211.9499999999994</v>
          </cell>
          <cell r="Y955">
            <v>2449.1999999999989</v>
          </cell>
        </row>
        <row r="956">
          <cell r="B956">
            <v>906.59999999999945</v>
          </cell>
          <cell r="C956">
            <v>1010.1999999999998</v>
          </cell>
          <cell r="D956">
            <v>906.59999999999945</v>
          </cell>
          <cell r="E956">
            <v>-1022.8500000000004</v>
          </cell>
          <cell r="F956">
            <v>-446.57500000000073</v>
          </cell>
          <cell r="G956">
            <v>-2525.0500000000002</v>
          </cell>
          <cell r="K956">
            <v>0</v>
          </cell>
          <cell r="L956">
            <v>0</v>
          </cell>
          <cell r="M956">
            <v>0</v>
          </cell>
          <cell r="N956">
            <v>224</v>
          </cell>
          <cell r="O956">
            <v>158</v>
          </cell>
          <cell r="P956">
            <v>322</v>
          </cell>
          <cell r="T956">
            <v>906.59999999999945</v>
          </cell>
          <cell r="U956">
            <v>964.875</v>
          </cell>
          <cell r="V956">
            <v>906.60000000000036</v>
          </cell>
          <cell r="W956">
            <v>2265.1999999999998</v>
          </cell>
          <cell r="X956">
            <v>2209.3749999999991</v>
          </cell>
          <cell r="Y956">
            <v>998.22677044391912</v>
          </cell>
        </row>
        <row r="957">
          <cell r="B957">
            <v>906.59999999999945</v>
          </cell>
          <cell r="C957">
            <v>1003.7249999999995</v>
          </cell>
          <cell r="D957">
            <v>906.59999999999945</v>
          </cell>
          <cell r="E957">
            <v>-1281.8500000000004</v>
          </cell>
          <cell r="F957">
            <v>-291.17500000000109</v>
          </cell>
          <cell r="G957">
            <v>-2356.6999999999998</v>
          </cell>
          <cell r="K957">
            <v>0</v>
          </cell>
          <cell r="L957">
            <v>0</v>
          </cell>
          <cell r="M957">
            <v>0</v>
          </cell>
          <cell r="N957">
            <v>232</v>
          </cell>
          <cell r="O957">
            <v>183</v>
          </cell>
          <cell r="P957">
            <v>294</v>
          </cell>
          <cell r="T957">
            <v>906.59999999999945</v>
          </cell>
          <cell r="U957">
            <v>984.29999999999927</v>
          </cell>
          <cell r="V957">
            <v>906.59999999999945</v>
          </cell>
          <cell r="W957">
            <v>2257.1999999999989</v>
          </cell>
          <cell r="X957">
            <v>2180.5249999999996</v>
          </cell>
          <cell r="Y957">
            <v>2471.1999999999998</v>
          </cell>
        </row>
        <row r="958">
          <cell r="B958">
            <v>906.59999999999945</v>
          </cell>
          <cell r="C958">
            <v>977.82499999999891</v>
          </cell>
          <cell r="D958">
            <v>906.59999999999945</v>
          </cell>
          <cell r="E958">
            <v>-971.05000000000018</v>
          </cell>
          <cell r="F958">
            <v>-427.15000000000055</v>
          </cell>
          <cell r="G958">
            <v>-2486.1999999999998</v>
          </cell>
          <cell r="K958">
            <v>0</v>
          </cell>
          <cell r="L958">
            <v>0</v>
          </cell>
          <cell r="M958">
            <v>0</v>
          </cell>
          <cell r="N958">
            <v>235</v>
          </cell>
          <cell r="O958">
            <v>204</v>
          </cell>
          <cell r="P958">
            <v>323</v>
          </cell>
          <cell r="T958">
            <v>906.59999999999945</v>
          </cell>
          <cell r="U958">
            <v>938.97499999999945</v>
          </cell>
          <cell r="V958">
            <v>906.59999999999945</v>
          </cell>
          <cell r="W958">
            <v>2269.1999999999994</v>
          </cell>
          <cell r="X958">
            <v>2207.5749999999998</v>
          </cell>
          <cell r="Y958">
            <v>-520.38223936877012</v>
          </cell>
        </row>
        <row r="959">
          <cell r="B959">
            <v>906.59999999999945</v>
          </cell>
          <cell r="C959">
            <v>971.34999999999945</v>
          </cell>
          <cell r="D959">
            <v>906.60000000000036</v>
          </cell>
          <cell r="E959">
            <v>-958.10000000000036</v>
          </cell>
          <cell r="F959">
            <v>-278.22500000000036</v>
          </cell>
          <cell r="G959">
            <v>-2382.6000000000004</v>
          </cell>
          <cell r="K959">
            <v>0</v>
          </cell>
          <cell r="L959">
            <v>0</v>
          </cell>
          <cell r="M959">
            <v>0</v>
          </cell>
          <cell r="N959">
            <v>227</v>
          </cell>
          <cell r="O959">
            <v>181</v>
          </cell>
          <cell r="P959">
            <v>323</v>
          </cell>
          <cell r="T959">
            <v>906.59999999999945</v>
          </cell>
          <cell r="U959">
            <v>964.875</v>
          </cell>
          <cell r="V959">
            <v>906.59999999999945</v>
          </cell>
          <cell r="W959">
            <v>2251.1999999999994</v>
          </cell>
          <cell r="X959">
            <v>2211.4750000000004</v>
          </cell>
          <cell r="Y959">
            <v>2109.4073406103507</v>
          </cell>
        </row>
        <row r="960">
          <cell r="B960">
            <v>906.59999999999945</v>
          </cell>
          <cell r="C960">
            <v>984.29999999999927</v>
          </cell>
          <cell r="D960">
            <v>880.69999999999982</v>
          </cell>
          <cell r="E960">
            <v>-1204.1500000000005</v>
          </cell>
          <cell r="F960">
            <v>-155.20000000000073</v>
          </cell>
          <cell r="G960">
            <v>-2382.6000000000004</v>
          </cell>
          <cell r="K960">
            <v>0</v>
          </cell>
          <cell r="L960">
            <v>0</v>
          </cell>
          <cell r="M960">
            <v>0</v>
          </cell>
          <cell r="N960">
            <v>226</v>
          </cell>
          <cell r="O960">
            <v>199</v>
          </cell>
          <cell r="P960">
            <v>324</v>
          </cell>
          <cell r="T960">
            <v>906.59999999999945</v>
          </cell>
          <cell r="U960">
            <v>984.29999999999927</v>
          </cell>
          <cell r="V960">
            <v>906.60000000000036</v>
          </cell>
          <cell r="W960">
            <v>-27.901724424794338</v>
          </cell>
          <cell r="X960">
            <v>2227.375</v>
          </cell>
          <cell r="Y960">
            <v>-2364.2967690974533</v>
          </cell>
        </row>
        <row r="961">
          <cell r="B961">
            <v>906.59999999999945</v>
          </cell>
          <cell r="C961">
            <v>945.44999999999982</v>
          </cell>
          <cell r="D961">
            <v>906.59999999999945</v>
          </cell>
          <cell r="E961">
            <v>-971.05000000000018</v>
          </cell>
          <cell r="F961">
            <v>-634.35000000000036</v>
          </cell>
          <cell r="G961">
            <v>-2784.05</v>
          </cell>
          <cell r="K961">
            <v>0</v>
          </cell>
          <cell r="L961">
            <v>0</v>
          </cell>
          <cell r="M961">
            <v>0</v>
          </cell>
          <cell r="N961">
            <v>220</v>
          </cell>
          <cell r="O961">
            <v>184</v>
          </cell>
          <cell r="P961">
            <v>333</v>
          </cell>
          <cell r="T961">
            <v>906.59999999999945</v>
          </cell>
          <cell r="U961">
            <v>958.39999999999964</v>
          </cell>
          <cell r="V961">
            <v>906.60000000000036</v>
          </cell>
          <cell r="W961">
            <v>2249.1999999999994</v>
          </cell>
          <cell r="X961">
            <v>2304.4249999999993</v>
          </cell>
          <cell r="Y961">
            <v>2311.8138478302762</v>
          </cell>
        </row>
        <row r="962">
          <cell r="B962">
            <v>906.59999999999945</v>
          </cell>
          <cell r="C962">
            <v>977.82499999999891</v>
          </cell>
          <cell r="D962">
            <v>906.59999999999945</v>
          </cell>
          <cell r="E962">
            <v>-1255.9500000000007</v>
          </cell>
          <cell r="F962">
            <v>-459.52500000000055</v>
          </cell>
          <cell r="G962">
            <v>-2719.3</v>
          </cell>
          <cell r="K962">
            <v>0</v>
          </cell>
          <cell r="L962">
            <v>0</v>
          </cell>
          <cell r="M962">
            <v>0</v>
          </cell>
          <cell r="N962">
            <v>232</v>
          </cell>
          <cell r="O962">
            <v>178</v>
          </cell>
          <cell r="P962">
            <v>318</v>
          </cell>
          <cell r="T962">
            <v>906.59999999999945</v>
          </cell>
          <cell r="U962">
            <v>945.44999999999891</v>
          </cell>
          <cell r="V962">
            <v>906.60000000000036</v>
          </cell>
          <cell r="W962">
            <v>2275.1999999999998</v>
          </cell>
          <cell r="X962">
            <v>587.07188846941278</v>
          </cell>
          <cell r="Y962">
            <v>1271.0545760240602</v>
          </cell>
        </row>
        <row r="963">
          <cell r="B963">
            <v>906.59999999999945</v>
          </cell>
          <cell r="C963">
            <v>951.92499999999927</v>
          </cell>
          <cell r="D963">
            <v>906.60000000000036</v>
          </cell>
          <cell r="E963">
            <v>-1061.7000000000007</v>
          </cell>
          <cell r="F963">
            <v>-595.5</v>
          </cell>
          <cell r="G963">
            <v>-2032.9500000000007</v>
          </cell>
          <cell r="K963">
            <v>0</v>
          </cell>
          <cell r="L963">
            <v>0</v>
          </cell>
          <cell r="M963">
            <v>0</v>
          </cell>
          <cell r="N963">
            <v>196</v>
          </cell>
          <cell r="O963">
            <v>185</v>
          </cell>
          <cell r="P963">
            <v>334</v>
          </cell>
          <cell r="T963">
            <v>906.59999999999945</v>
          </cell>
          <cell r="U963">
            <v>990.77499999999873</v>
          </cell>
          <cell r="V963">
            <v>906.59999999999945</v>
          </cell>
          <cell r="W963">
            <v>2259.1999999999994</v>
          </cell>
          <cell r="X963">
            <v>2239.9499999999998</v>
          </cell>
          <cell r="Y963">
            <v>409.23165613560377</v>
          </cell>
        </row>
        <row r="964">
          <cell r="B964">
            <v>906.59999999999945</v>
          </cell>
          <cell r="C964">
            <v>984.29999999999927</v>
          </cell>
          <cell r="D964">
            <v>906.60000000000036</v>
          </cell>
          <cell r="E964">
            <v>-854.5</v>
          </cell>
          <cell r="F964">
            <v>-304.125</v>
          </cell>
          <cell r="G964">
            <v>-2227.2000000000007</v>
          </cell>
          <cell r="K964">
            <v>0</v>
          </cell>
          <cell r="L964">
            <v>0</v>
          </cell>
          <cell r="M964">
            <v>0</v>
          </cell>
          <cell r="N964">
            <v>227</v>
          </cell>
          <cell r="O964">
            <v>153</v>
          </cell>
          <cell r="P964">
            <v>293</v>
          </cell>
          <cell r="T964">
            <v>906.59999999999945</v>
          </cell>
          <cell r="U964">
            <v>964.875</v>
          </cell>
          <cell r="V964">
            <v>906.60000000000036</v>
          </cell>
          <cell r="W964">
            <v>2267.1999999999989</v>
          </cell>
          <cell r="X964">
            <v>2256.8999999999992</v>
          </cell>
          <cell r="Y964">
            <v>-100.78975356402907</v>
          </cell>
        </row>
        <row r="965">
          <cell r="B965">
            <v>906.59999999999945</v>
          </cell>
          <cell r="C965">
            <v>945.44999999999982</v>
          </cell>
          <cell r="D965">
            <v>906.59999999999945</v>
          </cell>
          <cell r="E965">
            <v>-1061.7000000000007</v>
          </cell>
          <cell r="F965">
            <v>-200.52499999999964</v>
          </cell>
          <cell r="G965">
            <v>-2279</v>
          </cell>
          <cell r="K965">
            <v>0</v>
          </cell>
          <cell r="L965">
            <v>0</v>
          </cell>
          <cell r="M965">
            <v>0</v>
          </cell>
          <cell r="N965">
            <v>228</v>
          </cell>
          <cell r="O965">
            <v>187</v>
          </cell>
          <cell r="P965">
            <v>320</v>
          </cell>
          <cell r="T965">
            <v>906.59999999999945</v>
          </cell>
          <cell r="U965">
            <v>990.77499999999873</v>
          </cell>
          <cell r="V965">
            <v>906.59999999999945</v>
          </cell>
          <cell r="W965">
            <v>2225.1999999999998</v>
          </cell>
          <cell r="X965">
            <v>2304.3249999999989</v>
          </cell>
          <cell r="Y965">
            <v>2471.1999999999998</v>
          </cell>
        </row>
        <row r="966">
          <cell r="B966">
            <v>906.59999999999945</v>
          </cell>
          <cell r="C966">
            <v>1023.1499999999996</v>
          </cell>
          <cell r="D966">
            <v>828.89999999999964</v>
          </cell>
          <cell r="E966">
            <v>-1061.7000000000007</v>
          </cell>
          <cell r="F966">
            <v>-368.875</v>
          </cell>
          <cell r="G966">
            <v>-2201.3000000000002</v>
          </cell>
          <cell r="K966">
            <v>0</v>
          </cell>
          <cell r="L966">
            <v>0</v>
          </cell>
          <cell r="M966">
            <v>0</v>
          </cell>
          <cell r="N966">
            <v>224</v>
          </cell>
          <cell r="O966">
            <v>184</v>
          </cell>
          <cell r="P966">
            <v>330</v>
          </cell>
          <cell r="T966">
            <v>906.59999999999945</v>
          </cell>
          <cell r="U966">
            <v>971.34999999999945</v>
          </cell>
          <cell r="V966">
            <v>906.59999999999945</v>
          </cell>
          <cell r="W966">
            <v>2241.1999999999994</v>
          </cell>
          <cell r="X966">
            <v>2271.849999999999</v>
          </cell>
          <cell r="Y966">
            <v>736.57279892357838</v>
          </cell>
        </row>
        <row r="967">
          <cell r="B967">
            <v>906.59999999999945</v>
          </cell>
          <cell r="C967">
            <v>977.82499999999982</v>
          </cell>
          <cell r="D967">
            <v>906.59999999999945</v>
          </cell>
          <cell r="E967">
            <v>-906.30000000000018</v>
          </cell>
          <cell r="F967">
            <v>-660.25</v>
          </cell>
          <cell r="G967">
            <v>-2058.8500000000004</v>
          </cell>
          <cell r="K967">
            <v>0</v>
          </cell>
          <cell r="L967">
            <v>0</v>
          </cell>
          <cell r="M967">
            <v>0</v>
          </cell>
          <cell r="N967">
            <v>238</v>
          </cell>
          <cell r="O967">
            <v>157</v>
          </cell>
          <cell r="P967">
            <v>326</v>
          </cell>
          <cell r="T967">
            <v>906.59999999999945</v>
          </cell>
          <cell r="U967">
            <v>964.875</v>
          </cell>
          <cell r="V967">
            <v>906.59999999999945</v>
          </cell>
          <cell r="W967">
            <v>937.74878258940748</v>
          </cell>
          <cell r="X967">
            <v>2231.4750000000004</v>
          </cell>
          <cell r="Y967">
            <v>2485.1999999999998</v>
          </cell>
        </row>
        <row r="968">
          <cell r="B968">
            <v>906.59999999999945</v>
          </cell>
          <cell r="C968">
            <v>990.77499999999964</v>
          </cell>
          <cell r="D968">
            <v>906.59999999999945</v>
          </cell>
          <cell r="E968">
            <v>-1139.4000000000005</v>
          </cell>
          <cell r="F968">
            <v>-342.97500000000036</v>
          </cell>
          <cell r="G968">
            <v>-2123.6000000000004</v>
          </cell>
          <cell r="K968">
            <v>0</v>
          </cell>
          <cell r="L968">
            <v>0</v>
          </cell>
          <cell r="M968">
            <v>0</v>
          </cell>
          <cell r="N968">
            <v>216</v>
          </cell>
          <cell r="O968">
            <v>184</v>
          </cell>
          <cell r="P968">
            <v>336</v>
          </cell>
          <cell r="T968">
            <v>906.59999999999945</v>
          </cell>
          <cell r="U968">
            <v>964.875</v>
          </cell>
          <cell r="V968">
            <v>906.59999999999945</v>
          </cell>
          <cell r="W968">
            <v>2237.1999999999989</v>
          </cell>
          <cell r="X968">
            <v>2218.0499999999988</v>
          </cell>
          <cell r="Y968">
            <v>-428.74644481379892</v>
          </cell>
        </row>
        <row r="969">
          <cell r="B969">
            <v>906.59999999999945</v>
          </cell>
          <cell r="C969">
            <v>958.39999999999964</v>
          </cell>
          <cell r="D969">
            <v>906.60000000000036</v>
          </cell>
          <cell r="E969">
            <v>-1074.6500000000005</v>
          </cell>
          <cell r="F969">
            <v>-401.25</v>
          </cell>
          <cell r="G969">
            <v>-2330.8000000000002</v>
          </cell>
          <cell r="K969">
            <v>0</v>
          </cell>
          <cell r="L969">
            <v>0</v>
          </cell>
          <cell r="M969">
            <v>0</v>
          </cell>
          <cell r="N969">
            <v>207</v>
          </cell>
          <cell r="O969">
            <v>161</v>
          </cell>
          <cell r="P969">
            <v>311</v>
          </cell>
          <cell r="T969">
            <v>906.59999999999945</v>
          </cell>
          <cell r="U969">
            <v>964.875</v>
          </cell>
          <cell r="V969">
            <v>906.60000000000036</v>
          </cell>
          <cell r="W969">
            <v>-1294.8000000000002</v>
          </cell>
          <cell r="X969">
            <v>2237.849999999999</v>
          </cell>
          <cell r="Y969">
            <v>2433.1999999999998</v>
          </cell>
        </row>
        <row r="970">
          <cell r="B970">
            <v>906.59999999999945</v>
          </cell>
          <cell r="C970">
            <v>951.92499999999927</v>
          </cell>
          <cell r="D970">
            <v>906.59999999999945</v>
          </cell>
          <cell r="E970">
            <v>-958.10000000000036</v>
          </cell>
          <cell r="F970">
            <v>-129.30000000000018</v>
          </cell>
          <cell r="G970">
            <v>-2434.4000000000005</v>
          </cell>
          <cell r="K970">
            <v>0</v>
          </cell>
          <cell r="L970">
            <v>0</v>
          </cell>
          <cell r="M970">
            <v>0</v>
          </cell>
          <cell r="N970">
            <v>251</v>
          </cell>
          <cell r="O970">
            <v>203</v>
          </cell>
          <cell r="P970">
            <v>303</v>
          </cell>
          <cell r="T970">
            <v>906.59999999999945</v>
          </cell>
          <cell r="U970">
            <v>990.77499999999964</v>
          </cell>
          <cell r="V970">
            <v>906.59999999999945</v>
          </cell>
          <cell r="W970">
            <v>2241.1999999999994</v>
          </cell>
          <cell r="X970">
            <v>2248.8999999999992</v>
          </cell>
          <cell r="Y970">
            <v>130.94523069692013</v>
          </cell>
        </row>
        <row r="971">
          <cell r="B971">
            <v>906.59999999999945</v>
          </cell>
          <cell r="C971">
            <v>997.24999999999909</v>
          </cell>
          <cell r="D971">
            <v>906.59999999999945</v>
          </cell>
          <cell r="E971">
            <v>-1204.1500000000005</v>
          </cell>
          <cell r="F971">
            <v>-394.77500000000055</v>
          </cell>
          <cell r="G971">
            <v>-2045.9000000000005</v>
          </cell>
          <cell r="K971">
            <v>0</v>
          </cell>
          <cell r="L971">
            <v>0</v>
          </cell>
          <cell r="M971">
            <v>0</v>
          </cell>
          <cell r="N971">
            <v>212</v>
          </cell>
          <cell r="O971">
            <v>192</v>
          </cell>
          <cell r="P971">
            <v>329</v>
          </cell>
          <cell r="T971">
            <v>906.59999999999945</v>
          </cell>
          <cell r="U971">
            <v>971.35000000000036</v>
          </cell>
          <cell r="V971">
            <v>906.59999999999945</v>
          </cell>
          <cell r="W971">
            <v>1486.2655893411243</v>
          </cell>
          <cell r="X971">
            <v>2220.4249999999988</v>
          </cell>
          <cell r="Y971">
            <v>765.94253971512035</v>
          </cell>
        </row>
        <row r="972">
          <cell r="B972">
            <v>906.59999999999945</v>
          </cell>
          <cell r="C972">
            <v>951.92499999999927</v>
          </cell>
          <cell r="D972">
            <v>906.60000000000036</v>
          </cell>
          <cell r="E972">
            <v>-763.85000000000036</v>
          </cell>
          <cell r="F972">
            <v>-466</v>
          </cell>
          <cell r="G972">
            <v>-2343.75</v>
          </cell>
          <cell r="K972">
            <v>0</v>
          </cell>
          <cell r="L972">
            <v>0</v>
          </cell>
          <cell r="M972">
            <v>0</v>
          </cell>
          <cell r="N972">
            <v>210</v>
          </cell>
          <cell r="O972">
            <v>166</v>
          </cell>
          <cell r="P972">
            <v>316</v>
          </cell>
          <cell r="T972">
            <v>906.59999999999945</v>
          </cell>
          <cell r="U972">
            <v>984.29999999999927</v>
          </cell>
          <cell r="V972">
            <v>906.59999999999945</v>
          </cell>
          <cell r="W972">
            <v>1505.2362679713292</v>
          </cell>
          <cell r="X972">
            <v>2196.9999999999991</v>
          </cell>
          <cell r="Y972">
            <v>-210.44067618805093</v>
          </cell>
        </row>
        <row r="973">
          <cell r="B973">
            <v>906.59999999999945</v>
          </cell>
          <cell r="C973">
            <v>984.29999999999927</v>
          </cell>
          <cell r="D973">
            <v>906.60000000000036</v>
          </cell>
          <cell r="E973">
            <v>-1243</v>
          </cell>
          <cell r="F973">
            <v>-368.875</v>
          </cell>
          <cell r="G973">
            <v>-2317.8500000000004</v>
          </cell>
          <cell r="K973">
            <v>0</v>
          </cell>
          <cell r="L973">
            <v>0</v>
          </cell>
          <cell r="M973">
            <v>0</v>
          </cell>
          <cell r="N973">
            <v>206</v>
          </cell>
          <cell r="O973">
            <v>173</v>
          </cell>
          <cell r="P973">
            <v>326</v>
          </cell>
          <cell r="T973">
            <v>906.59999999999945</v>
          </cell>
          <cell r="U973">
            <v>971.34999999999945</v>
          </cell>
          <cell r="V973">
            <v>906.59999999999945</v>
          </cell>
          <cell r="W973">
            <v>2265.1999999999998</v>
          </cell>
          <cell r="X973">
            <v>2184.5249999999992</v>
          </cell>
          <cell r="Y973">
            <v>637.85780164184871</v>
          </cell>
        </row>
        <row r="974">
          <cell r="B974">
            <v>906.59999999999945</v>
          </cell>
          <cell r="C974">
            <v>1010.1999999999998</v>
          </cell>
          <cell r="D974">
            <v>906.59999999999945</v>
          </cell>
          <cell r="E974">
            <v>-906.30000000000018</v>
          </cell>
          <cell r="F974">
            <v>-433.625</v>
          </cell>
          <cell r="G974">
            <v>-2550.9499999999998</v>
          </cell>
          <cell r="K974">
            <v>0</v>
          </cell>
          <cell r="L974">
            <v>0</v>
          </cell>
          <cell r="M974">
            <v>0</v>
          </cell>
          <cell r="N974">
            <v>240</v>
          </cell>
          <cell r="O974">
            <v>202</v>
          </cell>
          <cell r="P974">
            <v>313</v>
          </cell>
          <cell r="T974">
            <v>906.59999999999945</v>
          </cell>
          <cell r="U974">
            <v>990.77499999999964</v>
          </cell>
          <cell r="V974">
            <v>918.59999999999968</v>
          </cell>
          <cell r="W974">
            <v>2257.1999999999989</v>
          </cell>
          <cell r="X974">
            <v>-406.78442505362625</v>
          </cell>
          <cell r="Y974">
            <v>2479.1999999999989</v>
          </cell>
        </row>
        <row r="975">
          <cell r="B975">
            <v>906.59999999999945</v>
          </cell>
          <cell r="C975">
            <v>971.35000000000036</v>
          </cell>
          <cell r="D975">
            <v>906.59999999999945</v>
          </cell>
          <cell r="E975">
            <v>-1139.4000000000005</v>
          </cell>
          <cell r="F975">
            <v>-427.15000000000055</v>
          </cell>
          <cell r="G975">
            <v>-2240.1500000000005</v>
          </cell>
          <cell r="K975">
            <v>0</v>
          </cell>
          <cell r="L975">
            <v>0</v>
          </cell>
          <cell r="M975">
            <v>0</v>
          </cell>
          <cell r="N975">
            <v>218</v>
          </cell>
          <cell r="O975">
            <v>185</v>
          </cell>
          <cell r="P975">
            <v>336</v>
          </cell>
          <cell r="T975">
            <v>906.59999999999945</v>
          </cell>
          <cell r="U975">
            <v>1023.1499999999996</v>
          </cell>
          <cell r="V975">
            <v>906.59999999999945</v>
          </cell>
          <cell r="W975">
            <v>1961.1915105142971</v>
          </cell>
          <cell r="X975">
            <v>2265.4749999999985</v>
          </cell>
          <cell r="Y975">
            <v>332.23370587761701</v>
          </cell>
        </row>
        <row r="976">
          <cell r="B976">
            <v>906.59999999999945</v>
          </cell>
          <cell r="C976">
            <v>990.77499999999873</v>
          </cell>
          <cell r="D976">
            <v>906.59999999999945</v>
          </cell>
          <cell r="E976">
            <v>-1074.6500000000005</v>
          </cell>
          <cell r="F976">
            <v>-485.42500000000018</v>
          </cell>
          <cell r="G976">
            <v>-2576.8500000000004</v>
          </cell>
          <cell r="K976">
            <v>0</v>
          </cell>
          <cell r="L976">
            <v>0</v>
          </cell>
          <cell r="M976">
            <v>0</v>
          </cell>
          <cell r="N976">
            <v>199</v>
          </cell>
          <cell r="O976">
            <v>176</v>
          </cell>
          <cell r="P976">
            <v>339</v>
          </cell>
          <cell r="T976">
            <v>906.59999999999945</v>
          </cell>
          <cell r="U976">
            <v>945.44999999999891</v>
          </cell>
          <cell r="V976">
            <v>906.59999999999945</v>
          </cell>
          <cell r="W976">
            <v>22.675312609359253</v>
          </cell>
          <cell r="X976">
            <v>2219.9499999999998</v>
          </cell>
          <cell r="Y976">
            <v>815.56559800927971</v>
          </cell>
        </row>
        <row r="977">
          <cell r="B977">
            <v>906.59999999999945</v>
          </cell>
          <cell r="C977">
            <v>997.25</v>
          </cell>
          <cell r="D977">
            <v>906.59999999999945</v>
          </cell>
          <cell r="E977">
            <v>-1100.5500000000002</v>
          </cell>
          <cell r="F977">
            <v>-556.64999999999964</v>
          </cell>
          <cell r="G977">
            <v>-2576.8500000000004</v>
          </cell>
          <cell r="K977">
            <v>0</v>
          </cell>
          <cell r="L977">
            <v>0</v>
          </cell>
          <cell r="M977">
            <v>0</v>
          </cell>
          <cell r="N977">
            <v>233</v>
          </cell>
          <cell r="O977">
            <v>178</v>
          </cell>
          <cell r="P977">
            <v>295</v>
          </cell>
          <cell r="T977">
            <v>906.59999999999945</v>
          </cell>
          <cell r="U977">
            <v>971.34999999999945</v>
          </cell>
          <cell r="V977">
            <v>906.60000000000036</v>
          </cell>
          <cell r="W977">
            <v>2257.1999999999989</v>
          </cell>
          <cell r="X977">
            <v>2207.9499999999998</v>
          </cell>
          <cell r="Y977">
            <v>2439.1999999999989</v>
          </cell>
        </row>
        <row r="978">
          <cell r="B978">
            <v>906.59999999999945</v>
          </cell>
          <cell r="C978">
            <v>1003.7249999999995</v>
          </cell>
          <cell r="D978">
            <v>906.60000000000036</v>
          </cell>
          <cell r="E978">
            <v>-971.05000000000018</v>
          </cell>
          <cell r="F978">
            <v>-614.92500000000018</v>
          </cell>
          <cell r="G978">
            <v>-2369.6500000000005</v>
          </cell>
          <cell r="K978">
            <v>0</v>
          </cell>
          <cell r="L978">
            <v>0</v>
          </cell>
          <cell r="M978">
            <v>0</v>
          </cell>
          <cell r="N978">
            <v>224</v>
          </cell>
          <cell r="O978">
            <v>178</v>
          </cell>
          <cell r="P978">
            <v>335</v>
          </cell>
          <cell r="T978">
            <v>906.59999999999945</v>
          </cell>
          <cell r="U978">
            <v>951.92499999999927</v>
          </cell>
          <cell r="V978">
            <v>906.59999999999945</v>
          </cell>
          <cell r="W978">
            <v>2295.1999999999998</v>
          </cell>
          <cell r="X978">
            <v>2254.5249999999992</v>
          </cell>
          <cell r="Y978">
            <v>2457.1999999999998</v>
          </cell>
        </row>
        <row r="979">
          <cell r="B979">
            <v>906.59999999999945</v>
          </cell>
          <cell r="C979">
            <v>1003.7249999999985</v>
          </cell>
          <cell r="D979">
            <v>906.59999999999945</v>
          </cell>
          <cell r="E979">
            <v>-945.15000000000055</v>
          </cell>
          <cell r="F979">
            <v>-401.25</v>
          </cell>
          <cell r="G979">
            <v>-2084.75</v>
          </cell>
          <cell r="K979">
            <v>0</v>
          </cell>
          <cell r="L979">
            <v>0</v>
          </cell>
          <cell r="M979">
            <v>0</v>
          </cell>
          <cell r="N979">
            <v>231</v>
          </cell>
          <cell r="O979">
            <v>201</v>
          </cell>
          <cell r="P979">
            <v>336</v>
          </cell>
          <cell r="T979">
            <v>906.59999999999945</v>
          </cell>
          <cell r="U979">
            <v>977.82499999999891</v>
          </cell>
          <cell r="V979">
            <v>906.59999999999945</v>
          </cell>
          <cell r="W979">
            <v>-802.70000000000073</v>
          </cell>
          <cell r="X979">
            <v>2217.4749999999999</v>
          </cell>
          <cell r="Y979">
            <v>-986.23182189325144</v>
          </cell>
        </row>
        <row r="980">
          <cell r="B980">
            <v>906.59999999999945</v>
          </cell>
          <cell r="C980">
            <v>964.875</v>
          </cell>
          <cell r="D980">
            <v>906.59999999999945</v>
          </cell>
          <cell r="E980">
            <v>-1424.3000000000002</v>
          </cell>
          <cell r="F980">
            <v>-440.10000000000036</v>
          </cell>
          <cell r="G980">
            <v>-2343.75</v>
          </cell>
          <cell r="K980">
            <v>0</v>
          </cell>
          <cell r="L980">
            <v>0</v>
          </cell>
          <cell r="M980">
            <v>0</v>
          </cell>
          <cell r="N980">
            <v>219</v>
          </cell>
          <cell r="O980">
            <v>180</v>
          </cell>
          <cell r="P980">
            <v>328</v>
          </cell>
          <cell r="T980">
            <v>906.59999999999945</v>
          </cell>
          <cell r="U980">
            <v>938.97499999999854</v>
          </cell>
          <cell r="V980">
            <v>906.59999999999945</v>
          </cell>
          <cell r="W980">
            <v>2237.1999999999989</v>
          </cell>
          <cell r="X980">
            <v>2207.4749999999999</v>
          </cell>
          <cell r="Y980">
            <v>2425.1999999999998</v>
          </cell>
        </row>
        <row r="981">
          <cell r="B981">
            <v>906.59999999999945</v>
          </cell>
          <cell r="C981">
            <v>958.39999999999964</v>
          </cell>
          <cell r="D981">
            <v>906.60000000000036</v>
          </cell>
          <cell r="E981">
            <v>-1022.8500000000004</v>
          </cell>
          <cell r="F981">
            <v>-219.95000000000073</v>
          </cell>
          <cell r="G981">
            <v>-2240.1500000000005</v>
          </cell>
          <cell r="K981">
            <v>0</v>
          </cell>
          <cell r="L981">
            <v>0</v>
          </cell>
          <cell r="M981">
            <v>0</v>
          </cell>
          <cell r="N981">
            <v>219</v>
          </cell>
          <cell r="O981">
            <v>168</v>
          </cell>
          <cell r="P981">
            <v>304</v>
          </cell>
          <cell r="T981">
            <v>906.59999999999945</v>
          </cell>
          <cell r="U981">
            <v>958.39999999999964</v>
          </cell>
          <cell r="V981">
            <v>906.60000000000036</v>
          </cell>
          <cell r="W981">
            <v>2233.1999999999998</v>
          </cell>
          <cell r="X981">
            <v>2305.8499999999995</v>
          </cell>
          <cell r="Y981">
            <v>2479.1999999999989</v>
          </cell>
        </row>
        <row r="982">
          <cell r="B982">
            <v>906.59999999999945</v>
          </cell>
          <cell r="C982">
            <v>964.875</v>
          </cell>
          <cell r="D982">
            <v>906.59999999999945</v>
          </cell>
          <cell r="E982">
            <v>-996.95000000000073</v>
          </cell>
          <cell r="F982">
            <v>-129.30000000000018</v>
          </cell>
          <cell r="G982">
            <v>-2525.0500000000002</v>
          </cell>
          <cell r="K982">
            <v>0</v>
          </cell>
          <cell r="L982">
            <v>0</v>
          </cell>
          <cell r="M982">
            <v>0</v>
          </cell>
          <cell r="N982">
            <v>228</v>
          </cell>
          <cell r="O982">
            <v>199</v>
          </cell>
          <cell r="P982">
            <v>324</v>
          </cell>
          <cell r="T982">
            <v>906.59999999999945</v>
          </cell>
          <cell r="U982">
            <v>951.92500000000018</v>
          </cell>
          <cell r="V982">
            <v>906.59999999999945</v>
          </cell>
          <cell r="W982">
            <v>2273.1999999999998</v>
          </cell>
          <cell r="X982">
            <v>2250.4249999999988</v>
          </cell>
          <cell r="Y982">
            <v>126.77554767358652</v>
          </cell>
        </row>
        <row r="983">
          <cell r="B983">
            <v>906.59999999999945</v>
          </cell>
          <cell r="C983">
            <v>951.92499999999927</v>
          </cell>
          <cell r="D983">
            <v>906.60000000000036</v>
          </cell>
          <cell r="E983">
            <v>-1178.25</v>
          </cell>
          <cell r="F983">
            <v>-517.80000000000018</v>
          </cell>
          <cell r="G983">
            <v>-2460.3000000000002</v>
          </cell>
          <cell r="K983">
            <v>0</v>
          </cell>
          <cell r="L983">
            <v>0</v>
          </cell>
          <cell r="M983">
            <v>0</v>
          </cell>
          <cell r="N983">
            <v>236</v>
          </cell>
          <cell r="O983">
            <v>192</v>
          </cell>
          <cell r="P983">
            <v>325</v>
          </cell>
          <cell r="T983">
            <v>906.59999999999945</v>
          </cell>
          <cell r="U983">
            <v>997.25</v>
          </cell>
          <cell r="V983">
            <v>906.59999999999945</v>
          </cell>
          <cell r="W983">
            <v>2233.1999999999998</v>
          </cell>
          <cell r="X983">
            <v>2279.5749999999989</v>
          </cell>
          <cell r="Y983">
            <v>2467.1999999999998</v>
          </cell>
        </row>
        <row r="984">
          <cell r="B984">
            <v>906.59999999999945</v>
          </cell>
          <cell r="C984">
            <v>990.77499999999964</v>
          </cell>
          <cell r="D984">
            <v>906.60000000000036</v>
          </cell>
          <cell r="E984">
            <v>-1022.8500000000004</v>
          </cell>
          <cell r="F984">
            <v>-744.42500000000109</v>
          </cell>
          <cell r="G984">
            <v>-2343.75</v>
          </cell>
          <cell r="K984">
            <v>0</v>
          </cell>
          <cell r="L984">
            <v>0</v>
          </cell>
          <cell r="M984">
            <v>0</v>
          </cell>
          <cell r="N984">
            <v>217</v>
          </cell>
          <cell r="O984">
            <v>189</v>
          </cell>
          <cell r="P984">
            <v>328</v>
          </cell>
          <cell r="T984">
            <v>906.59999999999945</v>
          </cell>
          <cell r="U984">
            <v>1003.7250000000004</v>
          </cell>
          <cell r="V984">
            <v>906.60000000000036</v>
          </cell>
          <cell r="W984">
            <v>2285.1999999999998</v>
          </cell>
          <cell r="X984">
            <v>2265.9499999999994</v>
          </cell>
          <cell r="Y984">
            <v>2496.1499999999996</v>
          </cell>
        </row>
        <row r="985">
          <cell r="B985">
            <v>906.59999999999945</v>
          </cell>
          <cell r="C985">
            <v>990.77499999999964</v>
          </cell>
          <cell r="D985">
            <v>906.60000000000036</v>
          </cell>
          <cell r="E985">
            <v>-880.40000000000055</v>
          </cell>
          <cell r="F985">
            <v>-491.90000000000055</v>
          </cell>
          <cell r="G985">
            <v>-2434.4000000000005</v>
          </cell>
          <cell r="K985">
            <v>0</v>
          </cell>
          <cell r="L985">
            <v>0</v>
          </cell>
          <cell r="M985">
            <v>0</v>
          </cell>
          <cell r="N985">
            <v>220</v>
          </cell>
          <cell r="O985">
            <v>178</v>
          </cell>
          <cell r="P985">
            <v>294</v>
          </cell>
          <cell r="T985">
            <v>906.59999999999945</v>
          </cell>
          <cell r="U985">
            <v>984.29999999999927</v>
          </cell>
          <cell r="V985">
            <v>906.60000000000036</v>
          </cell>
          <cell r="W985">
            <v>1527.840003313986</v>
          </cell>
          <cell r="X985">
            <v>-556.65000000000055</v>
          </cell>
          <cell r="Y985">
            <v>-90.514487809548882</v>
          </cell>
        </row>
        <row r="986">
          <cell r="B986">
            <v>906.59999999999945</v>
          </cell>
          <cell r="C986">
            <v>964.87499999999909</v>
          </cell>
          <cell r="D986">
            <v>906.59999999999945</v>
          </cell>
          <cell r="E986">
            <v>-1126.4500000000007</v>
          </cell>
          <cell r="F986">
            <v>-420.67500000000018</v>
          </cell>
          <cell r="G986">
            <v>-2382.6000000000004</v>
          </cell>
          <cell r="K986">
            <v>0</v>
          </cell>
          <cell r="L986">
            <v>0</v>
          </cell>
          <cell r="M986">
            <v>0</v>
          </cell>
          <cell r="N986">
            <v>219</v>
          </cell>
          <cell r="O986">
            <v>170</v>
          </cell>
          <cell r="P986">
            <v>302</v>
          </cell>
          <cell r="T986">
            <v>906.59999999999945</v>
          </cell>
          <cell r="U986">
            <v>1003.7250000000004</v>
          </cell>
          <cell r="V986">
            <v>906.59999999999945</v>
          </cell>
          <cell r="W986">
            <v>2241.1999999999994</v>
          </cell>
          <cell r="X986">
            <v>917.10676658849252</v>
          </cell>
          <cell r="Y986">
            <v>2455.1999999999998</v>
          </cell>
        </row>
        <row r="987">
          <cell r="B987">
            <v>906.59999999999945</v>
          </cell>
          <cell r="C987">
            <v>990.77499999999964</v>
          </cell>
          <cell r="D987">
            <v>906.59999999999945</v>
          </cell>
          <cell r="E987">
            <v>-1100.5500000000002</v>
          </cell>
          <cell r="F987">
            <v>-323.55000000000018</v>
          </cell>
          <cell r="G987">
            <v>-2304.9000000000005</v>
          </cell>
          <cell r="K987">
            <v>0</v>
          </cell>
          <cell r="L987">
            <v>0</v>
          </cell>
          <cell r="M987">
            <v>0</v>
          </cell>
          <cell r="N987">
            <v>194</v>
          </cell>
          <cell r="O987">
            <v>210</v>
          </cell>
          <cell r="P987">
            <v>331</v>
          </cell>
          <cell r="T987">
            <v>906.59999999999945</v>
          </cell>
          <cell r="U987">
            <v>945.44999999999891</v>
          </cell>
          <cell r="V987">
            <v>906.59999999999945</v>
          </cell>
          <cell r="W987">
            <v>2233.1999999999998</v>
          </cell>
          <cell r="X987">
            <v>2057.5141383455675</v>
          </cell>
          <cell r="Y987">
            <v>-2266.0500000000002</v>
          </cell>
        </row>
        <row r="988">
          <cell r="B988">
            <v>906.59999999999945</v>
          </cell>
          <cell r="C988">
            <v>990.77499999999964</v>
          </cell>
          <cell r="D988">
            <v>906.60000000000036</v>
          </cell>
          <cell r="E988">
            <v>-1074.6500000000005</v>
          </cell>
          <cell r="F988">
            <v>-627.875</v>
          </cell>
          <cell r="G988">
            <v>-2654.55</v>
          </cell>
          <cell r="K988">
            <v>0</v>
          </cell>
          <cell r="L988">
            <v>0</v>
          </cell>
          <cell r="M988">
            <v>0</v>
          </cell>
          <cell r="N988">
            <v>207</v>
          </cell>
          <cell r="O988">
            <v>172</v>
          </cell>
          <cell r="P988">
            <v>309</v>
          </cell>
          <cell r="T988">
            <v>906.59999999999945</v>
          </cell>
          <cell r="U988">
            <v>964.875</v>
          </cell>
          <cell r="V988">
            <v>906.60000000000036</v>
          </cell>
          <cell r="W988">
            <v>2281.1999999999994</v>
          </cell>
          <cell r="X988">
            <v>1361.1013707932648</v>
          </cell>
          <cell r="Y988">
            <v>1017.9581632500649</v>
          </cell>
        </row>
        <row r="989">
          <cell r="B989">
            <v>906.59999999999945</v>
          </cell>
          <cell r="C989">
            <v>1016.6750000000002</v>
          </cell>
          <cell r="D989">
            <v>906.59999999999945</v>
          </cell>
          <cell r="E989">
            <v>-1217.1000000000004</v>
          </cell>
          <cell r="F989">
            <v>-524.27500000000055</v>
          </cell>
          <cell r="G989">
            <v>-2460.3000000000002</v>
          </cell>
          <cell r="K989">
            <v>0</v>
          </cell>
          <cell r="L989">
            <v>0</v>
          </cell>
          <cell r="M989">
            <v>0</v>
          </cell>
          <cell r="N989">
            <v>219</v>
          </cell>
          <cell r="O989">
            <v>166</v>
          </cell>
          <cell r="P989">
            <v>319</v>
          </cell>
          <cell r="T989">
            <v>906.59999999999945</v>
          </cell>
          <cell r="U989">
            <v>984.29999999999927</v>
          </cell>
          <cell r="V989">
            <v>906.59999999999945</v>
          </cell>
          <cell r="W989">
            <v>2301.1999999999994</v>
          </cell>
          <cell r="X989">
            <v>1216.911346090563</v>
          </cell>
          <cell r="Y989">
            <v>1340.3832297495746</v>
          </cell>
        </row>
        <row r="990">
          <cell r="B990">
            <v>906.59999999999945</v>
          </cell>
          <cell r="C990">
            <v>984.29999999999927</v>
          </cell>
          <cell r="D990">
            <v>906.59999999999945</v>
          </cell>
          <cell r="E990">
            <v>-1061.7000000000007</v>
          </cell>
          <cell r="F990">
            <v>-466</v>
          </cell>
          <cell r="G990">
            <v>-2188.3500000000004</v>
          </cell>
          <cell r="K990">
            <v>0</v>
          </cell>
          <cell r="L990">
            <v>0</v>
          </cell>
          <cell r="M990">
            <v>0</v>
          </cell>
          <cell r="N990">
            <v>231</v>
          </cell>
          <cell r="O990">
            <v>183</v>
          </cell>
          <cell r="P990">
            <v>325</v>
          </cell>
          <cell r="T990">
            <v>906.59999999999945</v>
          </cell>
          <cell r="U990">
            <v>951.92499999999927</v>
          </cell>
          <cell r="V990">
            <v>906.59999999999945</v>
          </cell>
          <cell r="W990">
            <v>2317.1999999999989</v>
          </cell>
          <cell r="X990">
            <v>2246.9999999999991</v>
          </cell>
          <cell r="Y990">
            <v>2065.7368170808213</v>
          </cell>
        </row>
        <row r="991">
          <cell r="B991">
            <v>906.59999999999945</v>
          </cell>
          <cell r="C991">
            <v>990.77499999999964</v>
          </cell>
          <cell r="D991">
            <v>906.60000000000036</v>
          </cell>
          <cell r="E991">
            <v>-1139.4000000000005</v>
          </cell>
          <cell r="F991">
            <v>-245.85000000000036</v>
          </cell>
          <cell r="G991">
            <v>-2343.75</v>
          </cell>
          <cell r="K991">
            <v>0</v>
          </cell>
          <cell r="L991">
            <v>0</v>
          </cell>
          <cell r="M991">
            <v>0</v>
          </cell>
          <cell r="N991">
            <v>234</v>
          </cell>
          <cell r="O991">
            <v>175</v>
          </cell>
          <cell r="P991">
            <v>326</v>
          </cell>
          <cell r="T991">
            <v>906.59999999999945</v>
          </cell>
          <cell r="U991">
            <v>964.875</v>
          </cell>
          <cell r="V991">
            <v>906.59999999999945</v>
          </cell>
          <cell r="W991">
            <v>2263.1999999999998</v>
          </cell>
          <cell r="X991">
            <v>2217.9499999999998</v>
          </cell>
          <cell r="Y991">
            <v>2443.1999999999998</v>
          </cell>
        </row>
        <row r="992">
          <cell r="B992">
            <v>906.59999999999945</v>
          </cell>
          <cell r="C992">
            <v>1036.1000000000004</v>
          </cell>
          <cell r="D992">
            <v>906.59999999999945</v>
          </cell>
          <cell r="E992">
            <v>-1139.4000000000005</v>
          </cell>
          <cell r="F992">
            <v>-394.77499999999964</v>
          </cell>
          <cell r="G992">
            <v>-2512.1000000000004</v>
          </cell>
          <cell r="K992">
            <v>0</v>
          </cell>
          <cell r="L992">
            <v>0</v>
          </cell>
          <cell r="M992">
            <v>0</v>
          </cell>
          <cell r="N992">
            <v>230</v>
          </cell>
          <cell r="O992">
            <v>185</v>
          </cell>
          <cell r="P992">
            <v>332</v>
          </cell>
          <cell r="T992">
            <v>906.59999999999945</v>
          </cell>
          <cell r="U992">
            <v>958.39999999999964</v>
          </cell>
          <cell r="V992">
            <v>906.59999999999945</v>
          </cell>
          <cell r="W992">
            <v>2285.1999999999998</v>
          </cell>
          <cell r="X992">
            <v>2248.9999999999991</v>
          </cell>
          <cell r="Y992">
            <v>2481.1999999999998</v>
          </cell>
        </row>
        <row r="993">
          <cell r="B993">
            <v>906.59999999999945</v>
          </cell>
          <cell r="C993">
            <v>997.25</v>
          </cell>
          <cell r="D993">
            <v>906.59999999999945</v>
          </cell>
          <cell r="E993">
            <v>-815.65000000000055</v>
          </cell>
          <cell r="F993">
            <v>-550.17500000000109</v>
          </cell>
          <cell r="G993">
            <v>-2304.9000000000005</v>
          </cell>
          <cell r="K993">
            <v>0</v>
          </cell>
          <cell r="L993">
            <v>0</v>
          </cell>
          <cell r="M993">
            <v>0</v>
          </cell>
          <cell r="N993">
            <v>227</v>
          </cell>
          <cell r="O993">
            <v>192</v>
          </cell>
          <cell r="P993">
            <v>341</v>
          </cell>
          <cell r="T993">
            <v>906.59999999999945</v>
          </cell>
          <cell r="U993">
            <v>990.77499999999873</v>
          </cell>
          <cell r="V993">
            <v>919.54999999999927</v>
          </cell>
          <cell r="W993">
            <v>2289.1999999999994</v>
          </cell>
          <cell r="X993">
            <v>1753.9239549463719</v>
          </cell>
          <cell r="Y993">
            <v>2433.1999999999998</v>
          </cell>
        </row>
        <row r="994">
          <cell r="B994">
            <v>906.59999999999945</v>
          </cell>
          <cell r="C994">
            <v>990.77499999999964</v>
          </cell>
          <cell r="D994">
            <v>919.54999999999927</v>
          </cell>
          <cell r="E994">
            <v>-1100.5500000000002</v>
          </cell>
          <cell r="F994">
            <v>-692.625</v>
          </cell>
          <cell r="G994">
            <v>-2369.6500000000005</v>
          </cell>
          <cell r="K994">
            <v>0</v>
          </cell>
          <cell r="L994">
            <v>0</v>
          </cell>
          <cell r="M994">
            <v>0</v>
          </cell>
          <cell r="N994">
            <v>225</v>
          </cell>
          <cell r="O994">
            <v>186</v>
          </cell>
          <cell r="P994">
            <v>336</v>
          </cell>
          <cell r="T994">
            <v>906.59999999999945</v>
          </cell>
          <cell r="U994">
            <v>964.875</v>
          </cell>
          <cell r="V994">
            <v>906.59999999999945</v>
          </cell>
          <cell r="W994">
            <v>2239.1999999999994</v>
          </cell>
          <cell r="X994">
            <v>2238.4249999999997</v>
          </cell>
          <cell r="Y994">
            <v>2421.1999999999998</v>
          </cell>
        </row>
        <row r="995">
          <cell r="B995">
            <v>906.59999999999945</v>
          </cell>
          <cell r="C995">
            <v>971.34999999999945</v>
          </cell>
          <cell r="D995">
            <v>906.59999999999945</v>
          </cell>
          <cell r="E995">
            <v>-1618.5500000000002</v>
          </cell>
          <cell r="F995">
            <v>-342.97500000000036</v>
          </cell>
          <cell r="G995">
            <v>-2304.9000000000005</v>
          </cell>
          <cell r="K995">
            <v>0</v>
          </cell>
          <cell r="L995">
            <v>0</v>
          </cell>
          <cell r="M995">
            <v>0</v>
          </cell>
          <cell r="N995">
            <v>214</v>
          </cell>
          <cell r="O995">
            <v>159</v>
          </cell>
          <cell r="P995">
            <v>324</v>
          </cell>
          <cell r="T995">
            <v>906.59999999999945</v>
          </cell>
          <cell r="U995">
            <v>951.92499999999927</v>
          </cell>
          <cell r="V995">
            <v>906.59999999999945</v>
          </cell>
          <cell r="W995">
            <v>2307.1999999999989</v>
          </cell>
          <cell r="X995">
            <v>2224.5249999999992</v>
          </cell>
          <cell r="Y995">
            <v>770.21626462081576</v>
          </cell>
        </row>
        <row r="996">
          <cell r="B996">
            <v>906.59999999999945</v>
          </cell>
          <cell r="C996">
            <v>990.77499999999964</v>
          </cell>
          <cell r="D996">
            <v>906.59999999999945</v>
          </cell>
          <cell r="E996">
            <v>-971.05000000000018</v>
          </cell>
          <cell r="F996">
            <v>-543.70000000000073</v>
          </cell>
          <cell r="G996">
            <v>-2317.8500000000004</v>
          </cell>
          <cell r="K996">
            <v>0</v>
          </cell>
          <cell r="L996">
            <v>0</v>
          </cell>
          <cell r="M996">
            <v>0</v>
          </cell>
          <cell r="N996">
            <v>231</v>
          </cell>
          <cell r="O996">
            <v>176</v>
          </cell>
          <cell r="P996">
            <v>308</v>
          </cell>
          <cell r="T996">
            <v>906.59999999999945</v>
          </cell>
          <cell r="U996">
            <v>958.39999999999964</v>
          </cell>
          <cell r="V996">
            <v>906.59999999999945</v>
          </cell>
          <cell r="W996">
            <v>2261.1999999999994</v>
          </cell>
          <cell r="X996">
            <v>2228.9999999999995</v>
          </cell>
          <cell r="Y996">
            <v>-2274.9536263620666</v>
          </cell>
        </row>
        <row r="997">
          <cell r="B997">
            <v>906.59999999999945</v>
          </cell>
          <cell r="C997">
            <v>990.77499999999964</v>
          </cell>
          <cell r="D997">
            <v>906.59999999999945</v>
          </cell>
          <cell r="E997">
            <v>-1074.6500000000005</v>
          </cell>
          <cell r="F997">
            <v>-601.97500000000036</v>
          </cell>
          <cell r="G997">
            <v>-2369.6500000000005</v>
          </cell>
          <cell r="K997">
            <v>0</v>
          </cell>
          <cell r="L997">
            <v>0</v>
          </cell>
          <cell r="M997">
            <v>0</v>
          </cell>
          <cell r="N997">
            <v>237</v>
          </cell>
          <cell r="O997">
            <v>202</v>
          </cell>
          <cell r="P997">
            <v>319</v>
          </cell>
          <cell r="T997">
            <v>906.59999999999945</v>
          </cell>
          <cell r="U997">
            <v>958.39999999999964</v>
          </cell>
          <cell r="V997">
            <v>906.59999999999945</v>
          </cell>
          <cell r="W997">
            <v>2255.1999999999998</v>
          </cell>
          <cell r="X997">
            <v>2262.8999999999996</v>
          </cell>
          <cell r="Y997">
            <v>2401.1999999999998</v>
          </cell>
        </row>
        <row r="998">
          <cell r="B998">
            <v>906.59999999999945</v>
          </cell>
          <cell r="C998">
            <v>984.29999999999927</v>
          </cell>
          <cell r="D998">
            <v>919.55000000000018</v>
          </cell>
          <cell r="E998">
            <v>-1268.9000000000005</v>
          </cell>
          <cell r="F998">
            <v>-550.17500000000018</v>
          </cell>
          <cell r="G998">
            <v>-2097.7000000000007</v>
          </cell>
          <cell r="K998">
            <v>0</v>
          </cell>
          <cell r="L998">
            <v>0</v>
          </cell>
          <cell r="M998">
            <v>0</v>
          </cell>
          <cell r="N998">
            <v>211</v>
          </cell>
          <cell r="O998">
            <v>203</v>
          </cell>
          <cell r="P998">
            <v>327</v>
          </cell>
          <cell r="T998">
            <v>906.59999999999945</v>
          </cell>
          <cell r="U998">
            <v>945.44999999999891</v>
          </cell>
          <cell r="V998">
            <v>906.60000000000036</v>
          </cell>
          <cell r="W998">
            <v>865.80973289983058</v>
          </cell>
          <cell r="X998">
            <v>2215.474999999999</v>
          </cell>
          <cell r="Y998">
            <v>2451.1999999999998</v>
          </cell>
        </row>
        <row r="999">
          <cell r="B999">
            <v>906.59999999999945</v>
          </cell>
          <cell r="C999">
            <v>958.39999999999873</v>
          </cell>
          <cell r="D999">
            <v>906.59999999999945</v>
          </cell>
          <cell r="E999">
            <v>-1346.6000000000004</v>
          </cell>
          <cell r="F999">
            <v>-660.25</v>
          </cell>
          <cell r="G999">
            <v>-2499.1500000000005</v>
          </cell>
          <cell r="K999">
            <v>0</v>
          </cell>
          <cell r="L999">
            <v>0</v>
          </cell>
          <cell r="M999">
            <v>0</v>
          </cell>
          <cell r="N999">
            <v>225</v>
          </cell>
          <cell r="O999">
            <v>175</v>
          </cell>
          <cell r="P999">
            <v>316</v>
          </cell>
          <cell r="T999">
            <v>906.59999999999945</v>
          </cell>
          <cell r="U999">
            <v>951.92500000000018</v>
          </cell>
          <cell r="V999">
            <v>906.59999999999945</v>
          </cell>
          <cell r="W999">
            <v>2247.1999999999989</v>
          </cell>
          <cell r="X999">
            <v>2222.9999999999995</v>
          </cell>
          <cell r="Y999">
            <v>2429.1999999999989</v>
          </cell>
        </row>
        <row r="1000">
          <cell r="B1000">
            <v>906.59999999999945</v>
          </cell>
          <cell r="C1000">
            <v>964.875</v>
          </cell>
          <cell r="D1000">
            <v>906.59999999999945</v>
          </cell>
          <cell r="E1000">
            <v>-1100.5500000000002</v>
          </cell>
          <cell r="F1000">
            <v>-317.07500000000073</v>
          </cell>
          <cell r="G1000">
            <v>-2071.8000000000002</v>
          </cell>
          <cell r="K1000">
            <v>0</v>
          </cell>
          <cell r="L1000">
            <v>0</v>
          </cell>
          <cell r="M1000">
            <v>0</v>
          </cell>
          <cell r="N1000">
            <v>222</v>
          </cell>
          <cell r="O1000">
            <v>168</v>
          </cell>
          <cell r="P1000">
            <v>321</v>
          </cell>
          <cell r="T1000">
            <v>906.59999999999945</v>
          </cell>
          <cell r="U1000">
            <v>964.87499999999909</v>
          </cell>
          <cell r="V1000">
            <v>906.59999999999945</v>
          </cell>
          <cell r="W1000">
            <v>2247.1999999999989</v>
          </cell>
          <cell r="X1000">
            <v>2220.9999999999995</v>
          </cell>
          <cell r="Y1000">
            <v>2295.9858490192955</v>
          </cell>
        </row>
        <row r="1001">
          <cell r="B1001">
            <v>906.59999999999945</v>
          </cell>
          <cell r="C1001">
            <v>990.77499999999964</v>
          </cell>
          <cell r="D1001">
            <v>906.59999999999945</v>
          </cell>
          <cell r="E1001">
            <v>-1061.7000000000007</v>
          </cell>
          <cell r="F1001">
            <v>-265.27499999999964</v>
          </cell>
          <cell r="G1001">
            <v>-2900.6000000000004</v>
          </cell>
          <cell r="K1001">
            <v>0</v>
          </cell>
          <cell r="L1001">
            <v>0</v>
          </cell>
          <cell r="M1001">
            <v>0</v>
          </cell>
          <cell r="N1001">
            <v>246</v>
          </cell>
          <cell r="O1001">
            <v>177</v>
          </cell>
          <cell r="P1001">
            <v>322</v>
          </cell>
          <cell r="T1001">
            <v>906.59999999999945</v>
          </cell>
          <cell r="U1001">
            <v>964.87499999999909</v>
          </cell>
          <cell r="V1001">
            <v>906.60000000000036</v>
          </cell>
          <cell r="W1001">
            <v>2287.1999999999989</v>
          </cell>
          <cell r="X1001">
            <v>850.28596253715136</v>
          </cell>
          <cell r="Y1001">
            <v>2441.1999999999998</v>
          </cell>
        </row>
        <row r="1002">
          <cell r="B1002">
            <v>906.59999999999945</v>
          </cell>
          <cell r="C1002">
            <v>977.82499999999891</v>
          </cell>
          <cell r="D1002">
            <v>906.59999999999945</v>
          </cell>
          <cell r="E1002">
            <v>-1476.1000000000004</v>
          </cell>
          <cell r="F1002">
            <v>-511.32500000000073</v>
          </cell>
          <cell r="G1002">
            <v>-2291.9499999999998</v>
          </cell>
          <cell r="K1002">
            <v>0</v>
          </cell>
          <cell r="L1002">
            <v>0</v>
          </cell>
          <cell r="M1002">
            <v>0</v>
          </cell>
          <cell r="N1002">
            <v>204</v>
          </cell>
          <cell r="O1002">
            <v>196</v>
          </cell>
          <cell r="P1002">
            <v>328</v>
          </cell>
          <cell r="T1002">
            <v>906.59999999999945</v>
          </cell>
          <cell r="U1002">
            <v>964.87499999999909</v>
          </cell>
          <cell r="V1002">
            <v>906.59999999999945</v>
          </cell>
          <cell r="W1002">
            <v>2253.1999999999998</v>
          </cell>
          <cell r="X1002">
            <v>2274.3249999999994</v>
          </cell>
          <cell r="Y1002">
            <v>2407.1999999999989</v>
          </cell>
        </row>
        <row r="1003">
          <cell r="B1003">
            <v>906.59999999999945</v>
          </cell>
          <cell r="C1003">
            <v>958.39999999999964</v>
          </cell>
          <cell r="D1003">
            <v>906.60000000000036</v>
          </cell>
          <cell r="E1003">
            <v>-1061.7000000000007</v>
          </cell>
          <cell r="F1003">
            <v>-239.375</v>
          </cell>
          <cell r="G1003">
            <v>-2007.0500000000002</v>
          </cell>
          <cell r="K1003">
            <v>0</v>
          </cell>
          <cell r="L1003">
            <v>0</v>
          </cell>
          <cell r="M1003">
            <v>0</v>
          </cell>
          <cell r="N1003">
            <v>217</v>
          </cell>
          <cell r="O1003">
            <v>173</v>
          </cell>
          <cell r="P1003">
            <v>324</v>
          </cell>
          <cell r="T1003">
            <v>906.59999999999945</v>
          </cell>
          <cell r="U1003">
            <v>971.34999999999854</v>
          </cell>
          <cell r="V1003">
            <v>906.59999999999945</v>
          </cell>
          <cell r="W1003">
            <v>2217.1999999999989</v>
          </cell>
          <cell r="X1003">
            <v>2208.0499999999988</v>
          </cell>
          <cell r="Y1003">
            <v>2449.1999999999989</v>
          </cell>
        </row>
        <row r="1004">
          <cell r="B1004">
            <v>906.59999999999945</v>
          </cell>
          <cell r="C1004">
            <v>971.34999999999945</v>
          </cell>
          <cell r="D1004">
            <v>906.59999999999945</v>
          </cell>
          <cell r="E1004">
            <v>-1152.3500000000004</v>
          </cell>
          <cell r="F1004">
            <v>-478.95000000000073</v>
          </cell>
          <cell r="G1004">
            <v>-2343.75</v>
          </cell>
          <cell r="K1004">
            <v>0</v>
          </cell>
          <cell r="L1004">
            <v>0</v>
          </cell>
          <cell r="M1004">
            <v>0</v>
          </cell>
          <cell r="N1004">
            <v>224</v>
          </cell>
          <cell r="O1004">
            <v>164</v>
          </cell>
          <cell r="P1004">
            <v>340</v>
          </cell>
          <cell r="T1004">
            <v>906.59999999999945</v>
          </cell>
          <cell r="U1004">
            <v>964.87499999999909</v>
          </cell>
          <cell r="V1004">
            <v>906.59999999999945</v>
          </cell>
          <cell r="W1004">
            <v>927.90224188933485</v>
          </cell>
          <cell r="X1004">
            <v>2230.0499999999997</v>
          </cell>
          <cell r="Y1004">
            <v>2441.1999999999998</v>
          </cell>
        </row>
        <row r="1005">
          <cell r="B1005">
            <v>906.59999999999945</v>
          </cell>
          <cell r="C1005">
            <v>971.35000000000036</v>
          </cell>
          <cell r="D1005">
            <v>906.60000000000036</v>
          </cell>
          <cell r="E1005">
            <v>-1204.1500000000005</v>
          </cell>
          <cell r="F1005">
            <v>-608.45000000000073</v>
          </cell>
          <cell r="G1005">
            <v>-2343.75</v>
          </cell>
          <cell r="K1005">
            <v>0</v>
          </cell>
          <cell r="L1005">
            <v>0</v>
          </cell>
          <cell r="M1005">
            <v>0</v>
          </cell>
          <cell r="N1005">
            <v>225</v>
          </cell>
          <cell r="O1005">
            <v>170</v>
          </cell>
          <cell r="P1005">
            <v>298</v>
          </cell>
          <cell r="T1005">
            <v>906.59999999999945</v>
          </cell>
          <cell r="U1005">
            <v>997.25</v>
          </cell>
          <cell r="V1005">
            <v>906.59999999999945</v>
          </cell>
          <cell r="W1005">
            <v>2289.1999999999994</v>
          </cell>
          <cell r="X1005">
            <v>2245</v>
          </cell>
          <cell r="Y1005">
            <v>2451.1999999999998</v>
          </cell>
        </row>
        <row r="1006">
          <cell r="B1006">
            <v>906.59999999999945</v>
          </cell>
          <cell r="C1006">
            <v>997.25</v>
          </cell>
          <cell r="D1006">
            <v>906.59999999999945</v>
          </cell>
          <cell r="E1006">
            <v>-971.05000000000018</v>
          </cell>
          <cell r="F1006">
            <v>-427.15000000000055</v>
          </cell>
          <cell r="G1006">
            <v>-2615.6999999999998</v>
          </cell>
          <cell r="K1006">
            <v>0</v>
          </cell>
          <cell r="L1006">
            <v>0</v>
          </cell>
          <cell r="M1006">
            <v>0</v>
          </cell>
          <cell r="N1006">
            <v>227</v>
          </cell>
          <cell r="O1006">
            <v>151</v>
          </cell>
          <cell r="P1006">
            <v>319</v>
          </cell>
          <cell r="T1006">
            <v>906.59999999999945</v>
          </cell>
          <cell r="U1006">
            <v>958.39999999999964</v>
          </cell>
          <cell r="V1006">
            <v>906.59999999999945</v>
          </cell>
          <cell r="W1006">
            <v>2223.1999999999998</v>
          </cell>
          <cell r="X1006">
            <v>493.41863257442105</v>
          </cell>
          <cell r="Y1006">
            <v>2465.1999999999998</v>
          </cell>
        </row>
        <row r="1007">
          <cell r="B1007">
            <v>906.59999999999945</v>
          </cell>
          <cell r="C1007">
            <v>951.92500000000018</v>
          </cell>
          <cell r="D1007">
            <v>906.60000000000036</v>
          </cell>
          <cell r="E1007">
            <v>-984</v>
          </cell>
          <cell r="F1007">
            <v>-239.375</v>
          </cell>
          <cell r="G1007">
            <v>-2486.1999999999998</v>
          </cell>
          <cell r="K1007">
            <v>0</v>
          </cell>
          <cell r="L1007">
            <v>0</v>
          </cell>
          <cell r="M1007">
            <v>0</v>
          </cell>
          <cell r="N1007">
            <v>215</v>
          </cell>
          <cell r="O1007">
            <v>178</v>
          </cell>
          <cell r="P1007">
            <v>352</v>
          </cell>
          <cell r="T1007">
            <v>906.59999999999945</v>
          </cell>
          <cell r="U1007">
            <v>971.34999999999945</v>
          </cell>
          <cell r="V1007">
            <v>906.60000000000036</v>
          </cell>
          <cell r="W1007">
            <v>2249.1999999999994</v>
          </cell>
          <cell r="X1007">
            <v>2227.4749999999999</v>
          </cell>
          <cell r="Y1007">
            <v>2443.1999999999998</v>
          </cell>
        </row>
        <row r="1008">
          <cell r="B1008">
            <v>906.59999999999945</v>
          </cell>
          <cell r="C1008">
            <v>984.29999999999927</v>
          </cell>
          <cell r="D1008">
            <v>906.60000000000036</v>
          </cell>
          <cell r="E1008">
            <v>-867.45000000000073</v>
          </cell>
          <cell r="F1008">
            <v>-446.57500000000073</v>
          </cell>
          <cell r="G1008">
            <v>-2408.5</v>
          </cell>
          <cell r="K1008">
            <v>0</v>
          </cell>
          <cell r="L1008">
            <v>0</v>
          </cell>
          <cell r="M1008">
            <v>0</v>
          </cell>
          <cell r="N1008">
            <v>211</v>
          </cell>
          <cell r="O1008">
            <v>192</v>
          </cell>
          <cell r="P1008">
            <v>324</v>
          </cell>
          <cell r="T1008">
            <v>906.59999999999945</v>
          </cell>
          <cell r="U1008">
            <v>977.82499999999982</v>
          </cell>
          <cell r="V1008">
            <v>906.59999999999945</v>
          </cell>
          <cell r="W1008">
            <v>2253.1999999999998</v>
          </cell>
          <cell r="X1008">
            <v>1799.4043549452272</v>
          </cell>
          <cell r="Y1008">
            <v>775.16067450881383</v>
          </cell>
        </row>
        <row r="1009">
          <cell r="B1009">
            <v>906.59999999999945</v>
          </cell>
          <cell r="C1009">
            <v>997.25</v>
          </cell>
          <cell r="D1009">
            <v>906.59999999999945</v>
          </cell>
          <cell r="E1009">
            <v>-893.35000000000036</v>
          </cell>
          <cell r="F1009">
            <v>-712.05000000000109</v>
          </cell>
          <cell r="G1009">
            <v>-2667.5</v>
          </cell>
          <cell r="K1009">
            <v>0</v>
          </cell>
          <cell r="L1009">
            <v>0</v>
          </cell>
          <cell r="M1009">
            <v>0</v>
          </cell>
          <cell r="N1009">
            <v>227</v>
          </cell>
          <cell r="O1009">
            <v>185</v>
          </cell>
          <cell r="P1009">
            <v>341</v>
          </cell>
          <cell r="T1009">
            <v>906.59999999999945</v>
          </cell>
          <cell r="U1009">
            <v>997.25</v>
          </cell>
          <cell r="V1009">
            <v>906.60000000000036</v>
          </cell>
          <cell r="W1009">
            <v>2231.1999999999994</v>
          </cell>
          <cell r="X1009">
            <v>2223.9499999999994</v>
          </cell>
          <cell r="Y1009">
            <v>2485.1999999999998</v>
          </cell>
        </row>
        <row r="1010">
          <cell r="B1010">
            <v>906.59999999999945</v>
          </cell>
          <cell r="C1010">
            <v>964.875</v>
          </cell>
          <cell r="D1010">
            <v>906.59999999999945</v>
          </cell>
          <cell r="E1010">
            <v>-1048.75</v>
          </cell>
          <cell r="F1010">
            <v>-226.42500000000109</v>
          </cell>
          <cell r="G1010">
            <v>-2576.8500000000004</v>
          </cell>
          <cell r="K1010">
            <v>0</v>
          </cell>
          <cell r="L1010">
            <v>0</v>
          </cell>
          <cell r="M1010">
            <v>0</v>
          </cell>
          <cell r="N1010">
            <v>207</v>
          </cell>
          <cell r="O1010">
            <v>176</v>
          </cell>
          <cell r="P1010">
            <v>314</v>
          </cell>
          <cell r="T1010">
            <v>906.59999999999945</v>
          </cell>
          <cell r="U1010">
            <v>990.77499999999964</v>
          </cell>
          <cell r="V1010">
            <v>906.59999999999945</v>
          </cell>
          <cell r="W1010">
            <v>2259.1999999999994</v>
          </cell>
          <cell r="X1010">
            <v>2287.4749999999999</v>
          </cell>
          <cell r="Y1010">
            <v>-817.1510863642543</v>
          </cell>
        </row>
        <row r="1011">
          <cell r="B1011">
            <v>906.59999999999945</v>
          </cell>
          <cell r="C1011">
            <v>964.875</v>
          </cell>
          <cell r="D1011">
            <v>906.60000000000036</v>
          </cell>
          <cell r="E1011">
            <v>-1204.1500000000005</v>
          </cell>
          <cell r="F1011">
            <v>-381.82500000000073</v>
          </cell>
          <cell r="G1011">
            <v>-2421.4499999999998</v>
          </cell>
          <cell r="K1011">
            <v>0</v>
          </cell>
          <cell r="L1011">
            <v>0</v>
          </cell>
          <cell r="M1011">
            <v>0</v>
          </cell>
          <cell r="N1011">
            <v>209</v>
          </cell>
          <cell r="O1011">
            <v>173</v>
          </cell>
          <cell r="P1011">
            <v>311</v>
          </cell>
          <cell r="T1011">
            <v>906.59999999999945</v>
          </cell>
          <cell r="U1011">
            <v>997.25</v>
          </cell>
          <cell r="V1011">
            <v>906.59999999999945</v>
          </cell>
          <cell r="W1011">
            <v>-54.743221842512867</v>
          </cell>
          <cell r="X1011">
            <v>2263.9499999999994</v>
          </cell>
          <cell r="Y1011">
            <v>2499.1999999999989</v>
          </cell>
        </row>
        <row r="1012">
          <cell r="B1012">
            <v>906.59999999999945</v>
          </cell>
          <cell r="C1012">
            <v>984.29999999999927</v>
          </cell>
          <cell r="D1012">
            <v>906.59999999999945</v>
          </cell>
          <cell r="E1012">
            <v>-763.85000000000036</v>
          </cell>
          <cell r="F1012">
            <v>-194.05000000000018</v>
          </cell>
          <cell r="G1012">
            <v>-2563.9000000000005</v>
          </cell>
          <cell r="K1012">
            <v>0</v>
          </cell>
          <cell r="L1012">
            <v>0</v>
          </cell>
          <cell r="M1012">
            <v>0</v>
          </cell>
          <cell r="N1012">
            <v>199</v>
          </cell>
          <cell r="O1012">
            <v>195</v>
          </cell>
          <cell r="P1012">
            <v>323</v>
          </cell>
          <cell r="T1012">
            <v>906.59999999999945</v>
          </cell>
          <cell r="U1012">
            <v>971.34999999999945</v>
          </cell>
          <cell r="V1012">
            <v>906.59999999999945</v>
          </cell>
          <cell r="W1012">
            <v>2247.1999999999989</v>
          </cell>
          <cell r="X1012">
            <v>2236.0499999999993</v>
          </cell>
          <cell r="Y1012">
            <v>2417.1999999999989</v>
          </cell>
        </row>
        <row r="1013">
          <cell r="B1013">
            <v>906.59999999999945</v>
          </cell>
          <cell r="C1013">
            <v>971.34999999999945</v>
          </cell>
          <cell r="D1013">
            <v>906.60000000000036</v>
          </cell>
          <cell r="E1013">
            <v>-1217.1000000000004</v>
          </cell>
          <cell r="F1013">
            <v>-569.60000000000036</v>
          </cell>
          <cell r="G1013">
            <v>-2369.6500000000005</v>
          </cell>
          <cell r="K1013">
            <v>0</v>
          </cell>
          <cell r="L1013">
            <v>0</v>
          </cell>
          <cell r="M1013">
            <v>0</v>
          </cell>
          <cell r="N1013">
            <v>222</v>
          </cell>
          <cell r="O1013">
            <v>185</v>
          </cell>
          <cell r="P1013">
            <v>339</v>
          </cell>
          <cell r="T1013">
            <v>906.59999999999945</v>
          </cell>
          <cell r="U1013">
            <v>945.44999999999982</v>
          </cell>
          <cell r="V1013">
            <v>906.59999999999945</v>
          </cell>
          <cell r="W1013">
            <v>2273.1999999999998</v>
          </cell>
          <cell r="X1013">
            <v>2276.8999999999992</v>
          </cell>
          <cell r="Y1013">
            <v>2421.1999999999998</v>
          </cell>
        </row>
        <row r="1014">
          <cell r="B1014">
            <v>906.59999999999945</v>
          </cell>
          <cell r="C1014">
            <v>990.77499999999964</v>
          </cell>
          <cell r="D1014">
            <v>906.59999999999945</v>
          </cell>
          <cell r="E1014">
            <v>-945.15000000000055</v>
          </cell>
          <cell r="F1014">
            <v>-809.17500000000018</v>
          </cell>
          <cell r="G1014">
            <v>-2175.4000000000005</v>
          </cell>
          <cell r="K1014">
            <v>0</v>
          </cell>
          <cell r="L1014">
            <v>0</v>
          </cell>
          <cell r="M1014">
            <v>0</v>
          </cell>
          <cell r="N1014">
            <v>248</v>
          </cell>
          <cell r="O1014">
            <v>180</v>
          </cell>
          <cell r="P1014">
            <v>339</v>
          </cell>
          <cell r="T1014">
            <v>906.59999999999945</v>
          </cell>
          <cell r="U1014">
            <v>945.44999999999982</v>
          </cell>
          <cell r="V1014">
            <v>906.60000000000036</v>
          </cell>
          <cell r="W1014">
            <v>-1152.3500000000004</v>
          </cell>
          <cell r="X1014">
            <v>2247.9499999999998</v>
          </cell>
          <cell r="Y1014">
            <v>2453.1999999999998</v>
          </cell>
        </row>
        <row r="1015">
          <cell r="B1015">
            <v>906.59999999999945</v>
          </cell>
          <cell r="C1015">
            <v>997.25</v>
          </cell>
          <cell r="D1015">
            <v>906.59999999999945</v>
          </cell>
          <cell r="E1015">
            <v>-1022.8500000000004</v>
          </cell>
          <cell r="F1015">
            <v>-414.20000000000073</v>
          </cell>
          <cell r="G1015">
            <v>-2499.1500000000005</v>
          </cell>
          <cell r="K1015">
            <v>0</v>
          </cell>
          <cell r="L1015">
            <v>0</v>
          </cell>
          <cell r="M1015">
            <v>0</v>
          </cell>
          <cell r="N1015">
            <v>217</v>
          </cell>
          <cell r="O1015">
            <v>199</v>
          </cell>
          <cell r="P1015">
            <v>346</v>
          </cell>
          <cell r="T1015">
            <v>906.59999999999945</v>
          </cell>
          <cell r="U1015">
            <v>971.34999999999945</v>
          </cell>
          <cell r="V1015">
            <v>906.59999999999945</v>
          </cell>
          <cell r="W1015">
            <v>174.25789260194028</v>
          </cell>
          <cell r="X1015">
            <v>2121.1567859704596</v>
          </cell>
          <cell r="Y1015">
            <v>2403.1999999999998</v>
          </cell>
        </row>
        <row r="1016">
          <cell r="B1016">
            <v>906.59999999999945</v>
          </cell>
          <cell r="C1016">
            <v>971.34999999999854</v>
          </cell>
          <cell r="D1016">
            <v>906.60000000000036</v>
          </cell>
          <cell r="E1016">
            <v>-996.95000000000073</v>
          </cell>
          <cell r="F1016">
            <v>-815.65000000000055</v>
          </cell>
          <cell r="G1016">
            <v>-2201.3000000000002</v>
          </cell>
          <cell r="K1016">
            <v>0</v>
          </cell>
          <cell r="L1016">
            <v>0</v>
          </cell>
          <cell r="M1016">
            <v>0</v>
          </cell>
          <cell r="N1016">
            <v>271</v>
          </cell>
          <cell r="O1016">
            <v>162</v>
          </cell>
          <cell r="P1016">
            <v>318</v>
          </cell>
          <cell r="T1016">
            <v>906.59999999999945</v>
          </cell>
          <cell r="U1016">
            <v>971.34999999999854</v>
          </cell>
          <cell r="V1016">
            <v>906.59999999999945</v>
          </cell>
          <cell r="W1016">
            <v>-971.05000000000018</v>
          </cell>
          <cell r="X1016">
            <v>2240.4249999999988</v>
          </cell>
          <cell r="Y1016">
            <v>-2416.1389922881631</v>
          </cell>
        </row>
        <row r="1017">
          <cell r="B1017">
            <v>906.59999999999945</v>
          </cell>
          <cell r="C1017">
            <v>945.44999999999982</v>
          </cell>
          <cell r="D1017">
            <v>906.59999999999945</v>
          </cell>
          <cell r="E1017">
            <v>-1009.9000000000005</v>
          </cell>
          <cell r="F1017">
            <v>-427.15000000000055</v>
          </cell>
          <cell r="G1017">
            <v>-2499.1500000000005</v>
          </cell>
          <cell r="K1017">
            <v>0</v>
          </cell>
          <cell r="L1017">
            <v>0</v>
          </cell>
          <cell r="M1017">
            <v>0</v>
          </cell>
          <cell r="N1017">
            <v>211</v>
          </cell>
          <cell r="O1017">
            <v>174</v>
          </cell>
          <cell r="P1017">
            <v>332</v>
          </cell>
          <cell r="T1017">
            <v>906.59999999999945</v>
          </cell>
          <cell r="U1017">
            <v>958.39999999999964</v>
          </cell>
          <cell r="V1017">
            <v>906.59999999999945</v>
          </cell>
          <cell r="W1017">
            <v>2155.2722940816011</v>
          </cell>
          <cell r="X1017">
            <v>2226.8999999999992</v>
          </cell>
          <cell r="Y1017">
            <v>2249.7810064217001</v>
          </cell>
        </row>
        <row r="1018">
          <cell r="B1018">
            <v>906.59999999999945</v>
          </cell>
          <cell r="C1018">
            <v>913.07499999999982</v>
          </cell>
          <cell r="D1018">
            <v>906.59999999999945</v>
          </cell>
          <cell r="E1018">
            <v>-1372.5</v>
          </cell>
          <cell r="F1018">
            <v>-304.125</v>
          </cell>
          <cell r="G1018">
            <v>-2434.4000000000005</v>
          </cell>
          <cell r="K1018">
            <v>0</v>
          </cell>
          <cell r="L1018">
            <v>0</v>
          </cell>
          <cell r="M1018">
            <v>0</v>
          </cell>
          <cell r="N1018">
            <v>217</v>
          </cell>
          <cell r="O1018">
            <v>177</v>
          </cell>
          <cell r="P1018">
            <v>322</v>
          </cell>
          <cell r="T1018">
            <v>906.59999999999945</v>
          </cell>
          <cell r="U1018">
            <v>938.97499999999854</v>
          </cell>
          <cell r="V1018">
            <v>906.60000000000036</v>
          </cell>
          <cell r="W1018">
            <v>2255.1999999999998</v>
          </cell>
          <cell r="X1018">
            <v>2283.8500000000004</v>
          </cell>
          <cell r="Y1018">
            <v>-2848.8</v>
          </cell>
        </row>
        <row r="1019">
          <cell r="B1019">
            <v>906.59999999999945</v>
          </cell>
          <cell r="C1019">
            <v>977.82499999999982</v>
          </cell>
          <cell r="D1019">
            <v>906.60000000000036</v>
          </cell>
          <cell r="E1019">
            <v>-1113.5</v>
          </cell>
          <cell r="F1019">
            <v>-498.375</v>
          </cell>
          <cell r="G1019">
            <v>-2317.8500000000004</v>
          </cell>
          <cell r="K1019">
            <v>0</v>
          </cell>
          <cell r="L1019">
            <v>0</v>
          </cell>
          <cell r="M1019">
            <v>0</v>
          </cell>
          <cell r="N1019">
            <v>242</v>
          </cell>
          <cell r="O1019">
            <v>164</v>
          </cell>
          <cell r="P1019">
            <v>330</v>
          </cell>
          <cell r="T1019">
            <v>906.59999999999945</v>
          </cell>
          <cell r="U1019">
            <v>964.87499999999909</v>
          </cell>
          <cell r="V1019">
            <v>906.59999999999945</v>
          </cell>
          <cell r="W1019">
            <v>2257.1999999999989</v>
          </cell>
          <cell r="X1019">
            <v>2228.0499999999988</v>
          </cell>
          <cell r="Y1019">
            <v>2373.7360955424574</v>
          </cell>
        </row>
        <row r="1020">
          <cell r="B1020">
            <v>906.59999999999945</v>
          </cell>
          <cell r="C1020">
            <v>977.82499999999891</v>
          </cell>
          <cell r="D1020">
            <v>906.59999999999945</v>
          </cell>
          <cell r="E1020">
            <v>-1268.9000000000005</v>
          </cell>
          <cell r="F1020">
            <v>-491.90000000000055</v>
          </cell>
          <cell r="G1020">
            <v>-2538</v>
          </cell>
          <cell r="K1020">
            <v>0</v>
          </cell>
          <cell r="L1020">
            <v>0</v>
          </cell>
          <cell r="M1020">
            <v>0</v>
          </cell>
          <cell r="N1020">
            <v>213</v>
          </cell>
          <cell r="O1020">
            <v>184</v>
          </cell>
          <cell r="P1020">
            <v>318</v>
          </cell>
          <cell r="T1020">
            <v>906.59999999999945</v>
          </cell>
          <cell r="U1020">
            <v>958.39999999999964</v>
          </cell>
          <cell r="V1020">
            <v>906.60000000000036</v>
          </cell>
          <cell r="W1020">
            <v>1102.5755908133851</v>
          </cell>
          <cell r="X1020">
            <v>2249.9499999999998</v>
          </cell>
          <cell r="Y1020">
            <v>2455.1999999999998</v>
          </cell>
        </row>
        <row r="1021">
          <cell r="B1021">
            <v>906.59999999999945</v>
          </cell>
          <cell r="C1021">
            <v>1016.6749999999993</v>
          </cell>
          <cell r="D1021">
            <v>906.60000000000036</v>
          </cell>
          <cell r="E1021">
            <v>-1178.25</v>
          </cell>
          <cell r="F1021">
            <v>-712.05000000000018</v>
          </cell>
          <cell r="G1021">
            <v>-2369.6500000000005</v>
          </cell>
          <cell r="K1021">
            <v>0</v>
          </cell>
          <cell r="L1021">
            <v>0</v>
          </cell>
          <cell r="M1021">
            <v>0</v>
          </cell>
          <cell r="N1021">
            <v>218</v>
          </cell>
          <cell r="O1021">
            <v>159</v>
          </cell>
          <cell r="P1021">
            <v>322</v>
          </cell>
          <cell r="T1021">
            <v>906.59999999999945</v>
          </cell>
          <cell r="U1021">
            <v>958.39999999999873</v>
          </cell>
          <cell r="V1021">
            <v>906.59999999999945</v>
          </cell>
          <cell r="W1021">
            <v>2239.1999999999994</v>
          </cell>
          <cell r="X1021">
            <v>2240.4249999999988</v>
          </cell>
          <cell r="Y1021">
            <v>1092.0145467586672</v>
          </cell>
        </row>
        <row r="1022">
          <cell r="B1022">
            <v>906.59999999999945</v>
          </cell>
          <cell r="C1022">
            <v>997.24999999999909</v>
          </cell>
          <cell r="D1022">
            <v>906.60000000000036</v>
          </cell>
          <cell r="E1022">
            <v>-802.70000000000073</v>
          </cell>
          <cell r="F1022">
            <v>-317.07500000000073</v>
          </cell>
          <cell r="G1022">
            <v>-2266.0500000000002</v>
          </cell>
          <cell r="K1022">
            <v>0</v>
          </cell>
          <cell r="L1022">
            <v>0</v>
          </cell>
          <cell r="M1022">
            <v>0</v>
          </cell>
          <cell r="N1022">
            <v>210</v>
          </cell>
          <cell r="O1022">
            <v>182</v>
          </cell>
          <cell r="P1022">
            <v>324</v>
          </cell>
          <cell r="T1022">
            <v>906.59999999999945</v>
          </cell>
          <cell r="U1022">
            <v>997.25</v>
          </cell>
          <cell r="V1022">
            <v>906.60000000000036</v>
          </cell>
          <cell r="W1022">
            <v>2194.9610336124424</v>
          </cell>
          <cell r="X1022">
            <v>2206.0499999999997</v>
          </cell>
          <cell r="Y1022">
            <v>2417.1999999999989</v>
          </cell>
        </row>
        <row r="1023">
          <cell r="B1023">
            <v>906.59999999999945</v>
          </cell>
          <cell r="C1023">
            <v>958.39999999999964</v>
          </cell>
          <cell r="D1023">
            <v>906.59999999999945</v>
          </cell>
          <cell r="E1023">
            <v>-1126.4500000000007</v>
          </cell>
          <cell r="F1023">
            <v>-550.17500000000109</v>
          </cell>
          <cell r="G1023">
            <v>-2253.1000000000004</v>
          </cell>
          <cell r="K1023">
            <v>0</v>
          </cell>
          <cell r="L1023">
            <v>0</v>
          </cell>
          <cell r="M1023">
            <v>0</v>
          </cell>
          <cell r="N1023">
            <v>222</v>
          </cell>
          <cell r="O1023">
            <v>199</v>
          </cell>
          <cell r="P1023">
            <v>310</v>
          </cell>
          <cell r="T1023">
            <v>906.59999999999945</v>
          </cell>
          <cell r="U1023">
            <v>977.82499999999891</v>
          </cell>
          <cell r="V1023">
            <v>906.59999999999945</v>
          </cell>
          <cell r="W1023">
            <v>2245.1999999999998</v>
          </cell>
          <cell r="X1023">
            <v>303.682530551132</v>
          </cell>
          <cell r="Y1023">
            <v>-335.80330773552282</v>
          </cell>
        </row>
        <row r="1024">
          <cell r="B1024">
            <v>906.59999999999945</v>
          </cell>
          <cell r="C1024">
            <v>977.82499999999982</v>
          </cell>
          <cell r="D1024">
            <v>906.60000000000036</v>
          </cell>
          <cell r="E1024">
            <v>-1178.25</v>
          </cell>
          <cell r="F1024">
            <v>-213.47500000000036</v>
          </cell>
          <cell r="G1024">
            <v>-2732.25</v>
          </cell>
          <cell r="K1024">
            <v>0</v>
          </cell>
          <cell r="L1024">
            <v>0</v>
          </cell>
          <cell r="M1024">
            <v>0</v>
          </cell>
          <cell r="N1024">
            <v>240</v>
          </cell>
          <cell r="O1024">
            <v>205</v>
          </cell>
          <cell r="P1024">
            <v>324</v>
          </cell>
          <cell r="T1024">
            <v>906.59999999999945</v>
          </cell>
          <cell r="U1024">
            <v>984.30000000000018</v>
          </cell>
          <cell r="V1024">
            <v>906.59999999999945</v>
          </cell>
          <cell r="W1024">
            <v>2239.1999999999994</v>
          </cell>
          <cell r="X1024">
            <v>2082.5576406908403</v>
          </cell>
          <cell r="Y1024">
            <v>1528.317882654504</v>
          </cell>
        </row>
        <row r="1025">
          <cell r="B1025">
            <v>906.59999999999945</v>
          </cell>
          <cell r="C1025">
            <v>971.34999999999945</v>
          </cell>
          <cell r="D1025">
            <v>919.54999999999927</v>
          </cell>
          <cell r="E1025">
            <v>-1087.6000000000004</v>
          </cell>
          <cell r="F1025">
            <v>-213.47500000000036</v>
          </cell>
          <cell r="G1025">
            <v>-2421.4499999999998</v>
          </cell>
          <cell r="K1025">
            <v>0</v>
          </cell>
          <cell r="L1025">
            <v>0</v>
          </cell>
          <cell r="M1025">
            <v>0</v>
          </cell>
          <cell r="N1025">
            <v>220</v>
          </cell>
          <cell r="O1025">
            <v>180</v>
          </cell>
          <cell r="P1025">
            <v>287</v>
          </cell>
          <cell r="T1025">
            <v>906.59999999999945</v>
          </cell>
          <cell r="U1025">
            <v>1003.7249999999985</v>
          </cell>
          <cell r="V1025">
            <v>906.59999999999945</v>
          </cell>
          <cell r="W1025">
            <v>2265.1999999999998</v>
          </cell>
          <cell r="X1025">
            <v>-750.89999999999964</v>
          </cell>
          <cell r="Y1025">
            <v>2429.1999999999989</v>
          </cell>
        </row>
        <row r="1026">
          <cell r="B1026">
            <v>906.59999999999945</v>
          </cell>
          <cell r="C1026">
            <v>971.34999999999854</v>
          </cell>
          <cell r="D1026">
            <v>906.59999999999945</v>
          </cell>
          <cell r="E1026">
            <v>-906.30000000000018</v>
          </cell>
          <cell r="F1026">
            <v>-116.35000000000036</v>
          </cell>
          <cell r="G1026">
            <v>-2279</v>
          </cell>
          <cell r="K1026">
            <v>0</v>
          </cell>
          <cell r="L1026">
            <v>0</v>
          </cell>
          <cell r="M1026">
            <v>0</v>
          </cell>
          <cell r="N1026">
            <v>218</v>
          </cell>
          <cell r="O1026">
            <v>171</v>
          </cell>
          <cell r="P1026">
            <v>338</v>
          </cell>
          <cell r="T1026">
            <v>906.59999999999945</v>
          </cell>
          <cell r="U1026">
            <v>971.34999999999945</v>
          </cell>
          <cell r="V1026">
            <v>906.59999999999945</v>
          </cell>
          <cell r="W1026">
            <v>2241.1999999999994</v>
          </cell>
          <cell r="X1026">
            <v>2276.7999999999993</v>
          </cell>
          <cell r="Y1026">
            <v>2473.1999999999998</v>
          </cell>
        </row>
        <row r="1027">
          <cell r="B1027">
            <v>906.59999999999945</v>
          </cell>
          <cell r="C1027">
            <v>997.25</v>
          </cell>
          <cell r="D1027">
            <v>919.55000000000018</v>
          </cell>
          <cell r="E1027">
            <v>-867.45000000000073</v>
          </cell>
          <cell r="F1027">
            <v>-478.95000000000073</v>
          </cell>
          <cell r="G1027">
            <v>-2071.8000000000002</v>
          </cell>
          <cell r="K1027">
            <v>0</v>
          </cell>
          <cell r="L1027">
            <v>0</v>
          </cell>
          <cell r="M1027">
            <v>0</v>
          </cell>
          <cell r="N1027">
            <v>225</v>
          </cell>
          <cell r="O1027">
            <v>178</v>
          </cell>
          <cell r="P1027">
            <v>333</v>
          </cell>
          <cell r="T1027">
            <v>906.59999999999945</v>
          </cell>
          <cell r="U1027">
            <v>958.39999999999964</v>
          </cell>
          <cell r="V1027">
            <v>906.59999999999945</v>
          </cell>
          <cell r="W1027">
            <v>2263.1999999999998</v>
          </cell>
          <cell r="X1027">
            <v>2174.0500000000002</v>
          </cell>
          <cell r="Y1027">
            <v>2479.1999999999989</v>
          </cell>
        </row>
        <row r="1028">
          <cell r="B1028">
            <v>906.59999999999945</v>
          </cell>
          <cell r="C1028">
            <v>971.34999999999854</v>
          </cell>
          <cell r="D1028">
            <v>906.59999999999945</v>
          </cell>
          <cell r="E1028">
            <v>-1009.9000000000005</v>
          </cell>
          <cell r="F1028">
            <v>-530.75</v>
          </cell>
          <cell r="G1028">
            <v>-2162.4500000000007</v>
          </cell>
          <cell r="K1028">
            <v>0</v>
          </cell>
          <cell r="L1028">
            <v>0</v>
          </cell>
          <cell r="M1028">
            <v>4</v>
          </cell>
          <cell r="N1028">
            <v>213</v>
          </cell>
          <cell r="O1028">
            <v>167</v>
          </cell>
          <cell r="P1028">
            <v>358</v>
          </cell>
          <cell r="T1028">
            <v>906.59999999999945</v>
          </cell>
          <cell r="U1028">
            <v>997.25</v>
          </cell>
          <cell r="V1028">
            <v>906.60000000000036</v>
          </cell>
          <cell r="W1028">
            <v>-1281.8500000000004</v>
          </cell>
          <cell r="X1028">
            <v>2256.4250000000002</v>
          </cell>
          <cell r="Y1028">
            <v>2443.1999999999998</v>
          </cell>
        </row>
        <row r="1029">
          <cell r="B1029">
            <v>906.59999999999945</v>
          </cell>
          <cell r="C1029">
            <v>958.39999999999964</v>
          </cell>
          <cell r="D1029">
            <v>906.59999999999945</v>
          </cell>
          <cell r="E1029">
            <v>-984</v>
          </cell>
          <cell r="F1029">
            <v>-226.42500000000018</v>
          </cell>
          <cell r="G1029">
            <v>-2538</v>
          </cell>
          <cell r="K1029">
            <v>0</v>
          </cell>
          <cell r="L1029">
            <v>0</v>
          </cell>
          <cell r="M1029">
            <v>0</v>
          </cell>
          <cell r="N1029">
            <v>234</v>
          </cell>
          <cell r="O1029">
            <v>179</v>
          </cell>
          <cell r="P1029">
            <v>320</v>
          </cell>
          <cell r="T1029">
            <v>906.59999999999945</v>
          </cell>
          <cell r="U1029">
            <v>971.34999999999854</v>
          </cell>
          <cell r="V1029">
            <v>906.60000000000036</v>
          </cell>
          <cell r="W1029">
            <v>2273.1999999999998</v>
          </cell>
          <cell r="X1029">
            <v>2205.474999999999</v>
          </cell>
          <cell r="Y1029">
            <v>2487.1999999999998</v>
          </cell>
        </row>
        <row r="1030">
          <cell r="B1030">
            <v>906.59999999999945</v>
          </cell>
          <cell r="C1030">
            <v>971.34999999999945</v>
          </cell>
          <cell r="D1030">
            <v>906.59999999999945</v>
          </cell>
          <cell r="E1030">
            <v>-1372.5</v>
          </cell>
          <cell r="F1030">
            <v>-129.30000000000109</v>
          </cell>
          <cell r="G1030">
            <v>-2123.6000000000004</v>
          </cell>
          <cell r="K1030">
            <v>0</v>
          </cell>
          <cell r="L1030">
            <v>0</v>
          </cell>
          <cell r="M1030">
            <v>0</v>
          </cell>
          <cell r="N1030">
            <v>200</v>
          </cell>
          <cell r="O1030">
            <v>204</v>
          </cell>
          <cell r="P1030">
            <v>322</v>
          </cell>
          <cell r="T1030">
            <v>906.59999999999945</v>
          </cell>
          <cell r="U1030">
            <v>945.44999999999982</v>
          </cell>
          <cell r="V1030">
            <v>906.60000000000036</v>
          </cell>
          <cell r="W1030">
            <v>-750.90000000000055</v>
          </cell>
          <cell r="X1030">
            <v>2219.5749999999994</v>
          </cell>
          <cell r="Y1030">
            <v>1028.7870954401178</v>
          </cell>
        </row>
        <row r="1031">
          <cell r="B1031">
            <v>906.59999999999945</v>
          </cell>
          <cell r="C1031">
            <v>1003.7249999999985</v>
          </cell>
          <cell r="D1031">
            <v>906.59999999999945</v>
          </cell>
          <cell r="E1031">
            <v>-1268.9000000000005</v>
          </cell>
          <cell r="F1031">
            <v>-854.5</v>
          </cell>
          <cell r="G1031">
            <v>-2460.3000000000002</v>
          </cell>
          <cell r="K1031">
            <v>0</v>
          </cell>
          <cell r="L1031">
            <v>0</v>
          </cell>
          <cell r="M1031">
            <v>0</v>
          </cell>
          <cell r="N1031">
            <v>213</v>
          </cell>
          <cell r="O1031">
            <v>175</v>
          </cell>
          <cell r="P1031">
            <v>329</v>
          </cell>
          <cell r="T1031">
            <v>906.59999999999945</v>
          </cell>
          <cell r="U1031">
            <v>977.82499999999982</v>
          </cell>
          <cell r="V1031">
            <v>906.59999999999945</v>
          </cell>
          <cell r="W1031">
            <v>2261.1999999999994</v>
          </cell>
          <cell r="X1031">
            <v>1008.5440458594621</v>
          </cell>
          <cell r="Y1031">
            <v>2467.1999999999998</v>
          </cell>
        </row>
        <row r="1032">
          <cell r="B1032">
            <v>906.59999999999945</v>
          </cell>
          <cell r="C1032">
            <v>971.35000000000036</v>
          </cell>
          <cell r="D1032">
            <v>906.60000000000036</v>
          </cell>
          <cell r="E1032">
            <v>-1022.8500000000004</v>
          </cell>
          <cell r="F1032">
            <v>-601.97500000000036</v>
          </cell>
          <cell r="G1032">
            <v>-2460.3000000000002</v>
          </cell>
          <cell r="K1032">
            <v>0</v>
          </cell>
          <cell r="L1032">
            <v>0</v>
          </cell>
          <cell r="M1032">
            <v>0</v>
          </cell>
          <cell r="N1032">
            <v>219</v>
          </cell>
          <cell r="O1032">
            <v>185</v>
          </cell>
          <cell r="P1032">
            <v>302</v>
          </cell>
          <cell r="T1032">
            <v>906.59999999999945</v>
          </cell>
          <cell r="U1032">
            <v>958.39999999999964</v>
          </cell>
          <cell r="V1032">
            <v>906.60000000000036</v>
          </cell>
          <cell r="W1032">
            <v>504.12237774007485</v>
          </cell>
          <cell r="X1032">
            <v>2261.9499999999989</v>
          </cell>
          <cell r="Y1032">
            <v>-2356.6999999999998</v>
          </cell>
        </row>
        <row r="1033">
          <cell r="B1033">
            <v>906.59999999999945</v>
          </cell>
          <cell r="C1033">
            <v>938.97499999999854</v>
          </cell>
          <cell r="D1033">
            <v>906.60000000000036</v>
          </cell>
          <cell r="E1033">
            <v>-1048.75</v>
          </cell>
          <cell r="F1033">
            <v>-647.30000000000018</v>
          </cell>
          <cell r="G1033">
            <v>-2356.6999999999998</v>
          </cell>
          <cell r="K1033">
            <v>0</v>
          </cell>
          <cell r="L1033">
            <v>0</v>
          </cell>
          <cell r="M1033">
            <v>0</v>
          </cell>
          <cell r="N1033">
            <v>224</v>
          </cell>
          <cell r="O1033">
            <v>189</v>
          </cell>
          <cell r="P1033">
            <v>328</v>
          </cell>
          <cell r="T1033">
            <v>906.59999999999945</v>
          </cell>
          <cell r="U1033">
            <v>990.77499999999873</v>
          </cell>
          <cell r="V1033">
            <v>906.60000000000036</v>
          </cell>
          <cell r="W1033">
            <v>-602.53911448937356</v>
          </cell>
          <cell r="X1033">
            <v>2269.3749999999991</v>
          </cell>
          <cell r="Y1033">
            <v>125.53098874013131</v>
          </cell>
        </row>
        <row r="1034">
          <cell r="B1034">
            <v>906.59999999999945</v>
          </cell>
          <cell r="C1034">
            <v>971.34999999999945</v>
          </cell>
          <cell r="D1034">
            <v>906.60000000000036</v>
          </cell>
          <cell r="E1034">
            <v>-945.15000000000055</v>
          </cell>
          <cell r="F1034">
            <v>-478.95000000000073</v>
          </cell>
          <cell r="G1034">
            <v>-2149.5</v>
          </cell>
          <cell r="K1034">
            <v>0</v>
          </cell>
          <cell r="L1034">
            <v>0</v>
          </cell>
          <cell r="M1034">
            <v>0</v>
          </cell>
          <cell r="N1034">
            <v>196</v>
          </cell>
          <cell r="O1034">
            <v>173</v>
          </cell>
          <cell r="P1034">
            <v>334</v>
          </cell>
          <cell r="T1034">
            <v>906.59999999999945</v>
          </cell>
          <cell r="U1034">
            <v>971.34999999999945</v>
          </cell>
          <cell r="V1034">
            <v>906.60000000000036</v>
          </cell>
          <cell r="W1034">
            <v>2249.1999999999994</v>
          </cell>
          <cell r="X1034">
            <v>2285.8499999999995</v>
          </cell>
          <cell r="Y1034">
            <v>1431.9300341852531</v>
          </cell>
        </row>
        <row r="1035">
          <cell r="B1035">
            <v>906.59999999999945</v>
          </cell>
          <cell r="C1035">
            <v>964.87499999999909</v>
          </cell>
          <cell r="D1035">
            <v>906.59999999999945</v>
          </cell>
          <cell r="E1035">
            <v>-1100.5500000000002</v>
          </cell>
          <cell r="F1035">
            <v>-466</v>
          </cell>
          <cell r="G1035">
            <v>-2162.4500000000007</v>
          </cell>
          <cell r="K1035">
            <v>0</v>
          </cell>
          <cell r="L1035">
            <v>0</v>
          </cell>
          <cell r="M1035">
            <v>0</v>
          </cell>
          <cell r="N1035">
            <v>211</v>
          </cell>
          <cell r="O1035">
            <v>186</v>
          </cell>
          <cell r="P1035">
            <v>327</v>
          </cell>
          <cell r="T1035">
            <v>906.59999999999945</v>
          </cell>
          <cell r="U1035">
            <v>958.39999999999964</v>
          </cell>
          <cell r="V1035">
            <v>906.59999999999945</v>
          </cell>
          <cell r="W1035">
            <v>2255.1999999999998</v>
          </cell>
          <cell r="X1035">
            <v>2237.375</v>
          </cell>
          <cell r="Y1035">
            <v>1651.3914232034854</v>
          </cell>
        </row>
        <row r="1036">
          <cell r="B1036">
            <v>906.59999999999945</v>
          </cell>
          <cell r="C1036">
            <v>964.875</v>
          </cell>
          <cell r="D1036">
            <v>906.59999999999945</v>
          </cell>
          <cell r="E1036">
            <v>-1268.9000000000005</v>
          </cell>
          <cell r="F1036">
            <v>-485.42500000000018</v>
          </cell>
          <cell r="G1036">
            <v>-2266.0500000000002</v>
          </cell>
          <cell r="K1036">
            <v>0</v>
          </cell>
          <cell r="L1036">
            <v>0</v>
          </cell>
          <cell r="M1036">
            <v>0</v>
          </cell>
          <cell r="N1036">
            <v>216</v>
          </cell>
          <cell r="O1036">
            <v>177</v>
          </cell>
          <cell r="P1036">
            <v>339</v>
          </cell>
          <cell r="T1036">
            <v>906.59999999999945</v>
          </cell>
          <cell r="U1036">
            <v>1010.1999999999998</v>
          </cell>
          <cell r="V1036">
            <v>919.55000000000018</v>
          </cell>
          <cell r="W1036">
            <v>2251.1999999999994</v>
          </cell>
          <cell r="X1036">
            <v>2249.474999999999</v>
          </cell>
          <cell r="Y1036">
            <v>2415.1999999999998</v>
          </cell>
        </row>
        <row r="1037">
          <cell r="B1037">
            <v>906.59999999999945</v>
          </cell>
          <cell r="C1037">
            <v>977.82499999999982</v>
          </cell>
          <cell r="D1037">
            <v>906.59999999999945</v>
          </cell>
          <cell r="E1037">
            <v>-1165.3000000000002</v>
          </cell>
          <cell r="F1037">
            <v>-440.10000000000036</v>
          </cell>
          <cell r="G1037">
            <v>-2240.1500000000005</v>
          </cell>
          <cell r="K1037">
            <v>0</v>
          </cell>
          <cell r="L1037">
            <v>0</v>
          </cell>
          <cell r="M1037">
            <v>0</v>
          </cell>
          <cell r="N1037">
            <v>219</v>
          </cell>
          <cell r="O1037">
            <v>167</v>
          </cell>
          <cell r="P1037">
            <v>310</v>
          </cell>
          <cell r="T1037">
            <v>906.59999999999945</v>
          </cell>
          <cell r="U1037">
            <v>984.30000000000018</v>
          </cell>
          <cell r="V1037">
            <v>906.60000000000036</v>
          </cell>
          <cell r="W1037">
            <v>-626.03860160886438</v>
          </cell>
          <cell r="X1037">
            <v>2294.3249999999989</v>
          </cell>
          <cell r="Y1037">
            <v>-2499.1500000000005</v>
          </cell>
        </row>
        <row r="1038">
          <cell r="B1038">
            <v>906.59999999999945</v>
          </cell>
          <cell r="C1038">
            <v>971.34999999999945</v>
          </cell>
          <cell r="D1038">
            <v>906.59999999999945</v>
          </cell>
          <cell r="E1038">
            <v>-1048.75</v>
          </cell>
          <cell r="F1038">
            <v>-207</v>
          </cell>
          <cell r="G1038">
            <v>-2499.1500000000005</v>
          </cell>
          <cell r="K1038">
            <v>0</v>
          </cell>
          <cell r="L1038">
            <v>0</v>
          </cell>
          <cell r="M1038">
            <v>0</v>
          </cell>
          <cell r="N1038">
            <v>227</v>
          </cell>
          <cell r="O1038">
            <v>191</v>
          </cell>
          <cell r="P1038">
            <v>336</v>
          </cell>
          <cell r="T1038">
            <v>906.59999999999945</v>
          </cell>
          <cell r="U1038">
            <v>951.92499999999927</v>
          </cell>
          <cell r="V1038">
            <v>906.60000000000036</v>
          </cell>
          <cell r="W1038">
            <v>2291.1999999999994</v>
          </cell>
          <cell r="X1038">
            <v>2194.5249999999992</v>
          </cell>
          <cell r="Y1038">
            <v>2052.6965778669064</v>
          </cell>
        </row>
        <row r="1039">
          <cell r="B1039">
            <v>906.59999999999945</v>
          </cell>
          <cell r="C1039">
            <v>984.29999999999927</v>
          </cell>
          <cell r="D1039">
            <v>906.60000000000036</v>
          </cell>
          <cell r="E1039">
            <v>-880.40000000000055</v>
          </cell>
          <cell r="F1039">
            <v>-530.75</v>
          </cell>
          <cell r="G1039">
            <v>-2602.75</v>
          </cell>
          <cell r="K1039">
            <v>0</v>
          </cell>
          <cell r="L1039">
            <v>0</v>
          </cell>
          <cell r="M1039">
            <v>0</v>
          </cell>
          <cell r="N1039">
            <v>247</v>
          </cell>
          <cell r="O1039">
            <v>184</v>
          </cell>
          <cell r="P1039">
            <v>329</v>
          </cell>
          <cell r="T1039">
            <v>906.59999999999945</v>
          </cell>
          <cell r="U1039">
            <v>977.82499999999891</v>
          </cell>
          <cell r="V1039">
            <v>906.59999999999945</v>
          </cell>
          <cell r="W1039">
            <v>2269.1999999999994</v>
          </cell>
          <cell r="X1039">
            <v>2230.0499999999997</v>
          </cell>
          <cell r="Y1039">
            <v>2439.1999999999989</v>
          </cell>
        </row>
        <row r="1040">
          <cell r="B1040">
            <v>906.59999999999945</v>
          </cell>
          <cell r="C1040">
            <v>990.77499999999964</v>
          </cell>
          <cell r="D1040">
            <v>906.60000000000036</v>
          </cell>
          <cell r="E1040">
            <v>-1048.75</v>
          </cell>
          <cell r="F1040">
            <v>-556.65000000000055</v>
          </cell>
          <cell r="G1040">
            <v>-2123.6000000000004</v>
          </cell>
          <cell r="K1040">
            <v>0</v>
          </cell>
          <cell r="L1040">
            <v>0</v>
          </cell>
          <cell r="M1040">
            <v>0</v>
          </cell>
          <cell r="N1040">
            <v>213</v>
          </cell>
          <cell r="O1040">
            <v>166</v>
          </cell>
          <cell r="P1040">
            <v>326</v>
          </cell>
          <cell r="T1040">
            <v>906.59999999999945</v>
          </cell>
          <cell r="U1040">
            <v>1010.1999999999998</v>
          </cell>
          <cell r="V1040">
            <v>906.59999999999945</v>
          </cell>
          <cell r="W1040">
            <v>-867.45000000000073</v>
          </cell>
          <cell r="X1040">
            <v>2246.4250000000002</v>
          </cell>
          <cell r="Y1040">
            <v>1481.0795073539434</v>
          </cell>
        </row>
        <row r="1041">
          <cell r="B1041">
            <v>906.59999999999945</v>
          </cell>
          <cell r="C1041">
            <v>977.82499999999982</v>
          </cell>
          <cell r="D1041">
            <v>906.59999999999945</v>
          </cell>
          <cell r="E1041">
            <v>-1035.8000000000002</v>
          </cell>
          <cell r="F1041">
            <v>-401.25</v>
          </cell>
          <cell r="G1041">
            <v>-2550.9499999999998</v>
          </cell>
          <cell r="K1041">
            <v>0</v>
          </cell>
          <cell r="L1041">
            <v>0</v>
          </cell>
          <cell r="M1041">
            <v>0</v>
          </cell>
          <cell r="N1041">
            <v>227</v>
          </cell>
          <cell r="O1041">
            <v>182</v>
          </cell>
          <cell r="P1041">
            <v>296</v>
          </cell>
          <cell r="T1041">
            <v>906.59999999999945</v>
          </cell>
          <cell r="U1041">
            <v>938.97499999999854</v>
          </cell>
          <cell r="V1041">
            <v>906.60000000000036</v>
          </cell>
          <cell r="W1041">
            <v>1327.9027586530096</v>
          </cell>
          <cell r="X1041">
            <v>-770.32500000000073</v>
          </cell>
          <cell r="Y1041">
            <v>878.57739816333105</v>
          </cell>
        </row>
        <row r="1042">
          <cell r="B1042">
            <v>906.59999999999945</v>
          </cell>
          <cell r="C1042">
            <v>984.29999999999927</v>
          </cell>
          <cell r="D1042">
            <v>906.59999999999945</v>
          </cell>
          <cell r="E1042">
            <v>-1191.2000000000007</v>
          </cell>
          <cell r="F1042">
            <v>-750.90000000000055</v>
          </cell>
          <cell r="G1042">
            <v>-2227.2000000000007</v>
          </cell>
          <cell r="K1042">
            <v>0</v>
          </cell>
          <cell r="L1042">
            <v>0</v>
          </cell>
          <cell r="M1042">
            <v>0</v>
          </cell>
          <cell r="N1042">
            <v>224</v>
          </cell>
          <cell r="O1042">
            <v>184</v>
          </cell>
          <cell r="P1042">
            <v>335</v>
          </cell>
          <cell r="T1042">
            <v>906.59999999999945</v>
          </cell>
          <cell r="U1042">
            <v>951.92499999999927</v>
          </cell>
          <cell r="V1042">
            <v>906.59999999999945</v>
          </cell>
          <cell r="W1042">
            <v>2277.1999999999989</v>
          </cell>
          <cell r="X1042">
            <v>2239.3749999999991</v>
          </cell>
          <cell r="Y1042">
            <v>2435.1999999999998</v>
          </cell>
        </row>
        <row r="1043">
          <cell r="B1043">
            <v>906.59999999999945</v>
          </cell>
          <cell r="C1043">
            <v>951.92499999999927</v>
          </cell>
          <cell r="D1043">
            <v>906.60000000000036</v>
          </cell>
          <cell r="E1043">
            <v>-932.20000000000073</v>
          </cell>
          <cell r="F1043">
            <v>-543.70000000000073</v>
          </cell>
          <cell r="G1043">
            <v>-2110.6500000000005</v>
          </cell>
          <cell r="K1043">
            <v>0</v>
          </cell>
          <cell r="L1043">
            <v>0</v>
          </cell>
          <cell r="M1043">
            <v>0</v>
          </cell>
          <cell r="N1043">
            <v>224</v>
          </cell>
          <cell r="O1043">
            <v>165</v>
          </cell>
          <cell r="P1043">
            <v>321</v>
          </cell>
          <cell r="T1043">
            <v>906.59999999999945</v>
          </cell>
          <cell r="U1043">
            <v>971.34999999999854</v>
          </cell>
          <cell r="V1043">
            <v>906.60000000000036</v>
          </cell>
          <cell r="W1043">
            <v>2275.1999999999998</v>
          </cell>
          <cell r="X1043">
            <v>2225</v>
          </cell>
          <cell r="Y1043">
            <v>-2412.4055857378262</v>
          </cell>
        </row>
        <row r="1044">
          <cell r="B1044">
            <v>906.59999999999945</v>
          </cell>
          <cell r="C1044">
            <v>997.25</v>
          </cell>
          <cell r="D1044">
            <v>906.59999999999945</v>
          </cell>
          <cell r="E1044">
            <v>-1087.6000000000004</v>
          </cell>
          <cell r="F1044">
            <v>-640.82500000000073</v>
          </cell>
          <cell r="G1044">
            <v>-2162.4500000000007</v>
          </cell>
          <cell r="K1044">
            <v>0</v>
          </cell>
          <cell r="L1044">
            <v>0</v>
          </cell>
          <cell r="M1044">
            <v>0</v>
          </cell>
          <cell r="N1044">
            <v>236</v>
          </cell>
          <cell r="O1044">
            <v>194</v>
          </cell>
          <cell r="P1044">
            <v>294</v>
          </cell>
          <cell r="T1044">
            <v>906.59999999999945</v>
          </cell>
          <cell r="U1044">
            <v>984.29999999999927</v>
          </cell>
          <cell r="V1044">
            <v>906.59999999999945</v>
          </cell>
          <cell r="W1044">
            <v>2223.1999999999998</v>
          </cell>
          <cell r="X1044">
            <v>2205</v>
          </cell>
          <cell r="Y1044">
            <v>-1661.4367887095032</v>
          </cell>
        </row>
      </sheetData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C9EDA-8B8C-4F0F-98FC-FABBF84140A8}">
  <sheetPr codeName="Sheet3"/>
  <dimension ref="A1:XFD1048570"/>
  <sheetViews>
    <sheetView zoomScale="55" zoomScaleNormal="119" workbookViewId="0">
      <selection activeCell="D38" sqref="D38"/>
    </sheetView>
  </sheetViews>
  <sheetFormatPr defaultRowHeight="14.5" x14ac:dyDescent="0.35"/>
  <cols>
    <col min="1" max="1" width="29.453125" bestFit="1" customWidth="1"/>
    <col min="2" max="2" width="17.453125" bestFit="1" customWidth="1"/>
    <col min="3" max="3" width="36.453125" bestFit="1" customWidth="1"/>
    <col min="4" max="4" width="20.54296875" customWidth="1"/>
    <col min="5" max="5" width="41.453125" bestFit="1" customWidth="1"/>
    <col min="6" max="6" width="24.54296875" customWidth="1"/>
    <col min="7" max="7" width="17.1796875" customWidth="1"/>
    <col min="8" max="8" width="20" customWidth="1"/>
    <col min="9" max="9" width="13.81640625" customWidth="1"/>
    <col min="10" max="10" width="22.81640625" bestFit="1" customWidth="1"/>
    <col min="11" max="11" width="25.26953125" customWidth="1"/>
    <col min="12" max="12" width="19.54296875" customWidth="1"/>
    <col min="13" max="13" width="24" customWidth="1"/>
    <col min="14" max="14" width="15.26953125" customWidth="1"/>
    <col min="15" max="15" width="18.1796875" bestFit="1" customWidth="1"/>
    <col min="16" max="16" width="15" customWidth="1"/>
    <col min="17" max="17" width="12.7265625" customWidth="1"/>
    <col min="18" max="18" width="10.54296875" bestFit="1" customWidth="1"/>
    <col min="19" max="19" width="13.453125" bestFit="1" customWidth="1"/>
    <col min="20" max="20" width="21.1796875" bestFit="1" customWidth="1"/>
    <col min="21" max="21" width="11.453125" bestFit="1" customWidth="1"/>
    <col min="22" max="22" width="15.7265625" bestFit="1" customWidth="1"/>
    <col min="23" max="23" width="17.54296875" bestFit="1" customWidth="1"/>
    <col min="24" max="24" width="15.453125" bestFit="1" customWidth="1"/>
    <col min="25" max="25" width="12.54296875" bestFit="1" customWidth="1"/>
  </cols>
  <sheetData>
    <row r="1" spans="1:18" ht="14.65" customHeight="1" x14ac:dyDescent="0.3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</row>
    <row r="2" spans="1:18" ht="14.65" customHeight="1" x14ac:dyDescent="0.3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</row>
    <row r="3" spans="1:18" x14ac:dyDescent="0.35">
      <c r="E3" s="2"/>
      <c r="F3" s="2"/>
      <c r="G3" s="2"/>
      <c r="H3" s="2"/>
      <c r="I3" s="2"/>
      <c r="J3" s="2"/>
      <c r="K3" s="2"/>
      <c r="L3" s="2"/>
    </row>
    <row r="6" spans="1:18" ht="21" x14ac:dyDescent="0.5">
      <c r="A6" s="3" t="s">
        <v>0</v>
      </c>
      <c r="B6" s="4" t="s">
        <v>1</v>
      </c>
      <c r="D6" s="5" t="s">
        <v>2</v>
      </c>
      <c r="E6" s="6" t="s">
        <v>3</v>
      </c>
    </row>
    <row r="7" spans="1:18" x14ac:dyDescent="0.35">
      <c r="D7" s="7"/>
      <c r="E7" s="8" t="s">
        <v>4</v>
      </c>
    </row>
    <row r="8" spans="1:18" x14ac:dyDescent="0.35">
      <c r="D8" s="7"/>
      <c r="E8" s="9" t="s">
        <v>5</v>
      </c>
    </row>
    <row r="9" spans="1:18" x14ac:dyDescent="0.35">
      <c r="D9" s="10"/>
      <c r="E9" s="11" t="s">
        <v>6</v>
      </c>
    </row>
    <row r="13" spans="1:18" ht="17.5" thickBot="1" x14ac:dyDescent="0.45">
      <c r="A13" s="12" t="s">
        <v>7</v>
      </c>
      <c r="B13" s="12"/>
      <c r="C13" s="12"/>
      <c r="E13" s="12" t="s">
        <v>8</v>
      </c>
      <c r="F13" s="12"/>
      <c r="G13" s="12"/>
      <c r="H13" s="12"/>
    </row>
    <row r="14" spans="1:18" ht="15" thickTop="1" x14ac:dyDescent="0.35">
      <c r="A14" t="s">
        <v>9</v>
      </c>
      <c r="B14" t="s">
        <v>10</v>
      </c>
      <c r="C14" t="s">
        <v>11</v>
      </c>
      <c r="E14" s="13" t="s">
        <v>12</v>
      </c>
      <c r="J14" s="14" t="s">
        <v>13</v>
      </c>
      <c r="K14" s="14" t="s">
        <v>14</v>
      </c>
      <c r="L14" s="14" t="s">
        <v>15</v>
      </c>
      <c r="M14" s="14" t="s">
        <v>16</v>
      </c>
      <c r="P14" s="13" t="s">
        <v>17</v>
      </c>
      <c r="Q14" s="13" t="s">
        <v>18</v>
      </c>
      <c r="R14" s="13" t="s">
        <v>19</v>
      </c>
    </row>
    <row r="15" spans="1:18" x14ac:dyDescent="0.35">
      <c r="A15" s="15">
        <v>1</v>
      </c>
      <c r="B15" s="6">
        <v>0.5</v>
      </c>
      <c r="C15" s="6">
        <v>0</v>
      </c>
      <c r="E15" t="s">
        <v>20</v>
      </c>
      <c r="F15" s="6">
        <v>0</v>
      </c>
      <c r="G15" s="6">
        <v>0.5</v>
      </c>
      <c r="H15" s="6">
        <v>1</v>
      </c>
      <c r="J15" s="16">
        <v>0</v>
      </c>
      <c r="K15" s="16">
        <v>0.2</v>
      </c>
      <c r="L15" s="17">
        <v>46661</v>
      </c>
      <c r="M15" s="16">
        <f>MONTH(L15)</f>
        <v>10</v>
      </c>
      <c r="O15" t="s">
        <v>21</v>
      </c>
      <c r="P15" s="18">
        <v>250.17</v>
      </c>
      <c r="Q15" s="18">
        <v>239.17</v>
      </c>
      <c r="R15" s="18">
        <v>390.83</v>
      </c>
    </row>
    <row r="16" spans="1:18" x14ac:dyDescent="0.35">
      <c r="A16" s="15">
        <v>2</v>
      </c>
      <c r="B16" s="6">
        <v>0.5</v>
      </c>
      <c r="C16" s="6">
        <v>0.5</v>
      </c>
      <c r="E16" t="s">
        <v>22</v>
      </c>
      <c r="F16" s="6">
        <v>0.9</v>
      </c>
      <c r="G16" s="6">
        <v>0.7</v>
      </c>
      <c r="H16" s="6">
        <v>0.5</v>
      </c>
      <c r="J16" s="16">
        <f>J15+K15</f>
        <v>0.2</v>
      </c>
      <c r="K16" s="16">
        <v>0.3</v>
      </c>
      <c r="L16" s="17">
        <v>46692</v>
      </c>
      <c r="M16" s="16">
        <f t="shared" ref="M16:M17" si="0">MONTH(L16)</f>
        <v>11</v>
      </c>
      <c r="O16" t="s">
        <v>23</v>
      </c>
      <c r="P16" s="18">
        <v>184.7</v>
      </c>
      <c r="Q16" s="18">
        <v>182.79</v>
      </c>
      <c r="R16" s="18">
        <v>216.48</v>
      </c>
    </row>
    <row r="17" spans="1:25" x14ac:dyDescent="0.35">
      <c r="A17" s="15">
        <v>3</v>
      </c>
      <c r="B17" s="6">
        <v>0.5</v>
      </c>
      <c r="C17" s="6">
        <v>1</v>
      </c>
      <c r="J17" s="16">
        <f>J16+K16</f>
        <v>0.5</v>
      </c>
      <c r="K17" s="16">
        <v>0.5</v>
      </c>
      <c r="L17" s="17">
        <v>46722</v>
      </c>
      <c r="M17" s="16">
        <f t="shared" si="0"/>
        <v>12</v>
      </c>
    </row>
    <row r="18" spans="1:25" x14ac:dyDescent="0.35">
      <c r="A18" s="15">
        <v>4</v>
      </c>
      <c r="B18" s="6">
        <v>1</v>
      </c>
      <c r="C18" s="6">
        <v>0</v>
      </c>
      <c r="E18" s="13" t="s">
        <v>24</v>
      </c>
      <c r="J18" s="19">
        <f>J17+K17</f>
        <v>1</v>
      </c>
    </row>
    <row r="19" spans="1:25" x14ac:dyDescent="0.35">
      <c r="A19" s="15">
        <v>5</v>
      </c>
      <c r="B19" s="6">
        <v>1</v>
      </c>
      <c r="C19" s="6">
        <v>0.5</v>
      </c>
      <c r="E19" t="s">
        <v>20</v>
      </c>
      <c r="F19" s="6">
        <v>0</v>
      </c>
      <c r="G19" s="6">
        <v>0.5</v>
      </c>
      <c r="H19" s="6">
        <v>1</v>
      </c>
    </row>
    <row r="20" spans="1:25" x14ac:dyDescent="0.35">
      <c r="A20" s="15">
        <v>6</v>
      </c>
      <c r="B20" s="6">
        <v>1</v>
      </c>
      <c r="C20" s="6">
        <v>1</v>
      </c>
      <c r="E20" t="s">
        <v>25</v>
      </c>
      <c r="F20" s="6">
        <v>0.7</v>
      </c>
      <c r="G20" s="6">
        <v>0.98</v>
      </c>
      <c r="H20" s="20">
        <v>0.99990000000000001</v>
      </c>
    </row>
    <row r="22" spans="1:25" x14ac:dyDescent="0.35">
      <c r="E22" s="13" t="s">
        <v>26</v>
      </c>
      <c r="F22" s="15">
        <v>750</v>
      </c>
    </row>
    <row r="24" spans="1:25" ht="17.5" thickBot="1" x14ac:dyDescent="0.45">
      <c r="A24" s="12" t="s">
        <v>27</v>
      </c>
      <c r="B24" s="21"/>
      <c r="C24" s="12"/>
      <c r="E24" s="12" t="s">
        <v>28</v>
      </c>
      <c r="F24" s="21"/>
      <c r="G24" s="12"/>
    </row>
    <row r="25" spans="1:25" ht="15" thickTop="1" x14ac:dyDescent="0.35">
      <c r="A25" t="s">
        <v>29</v>
      </c>
      <c r="B25" s="15">
        <v>800</v>
      </c>
      <c r="C25" t="s">
        <v>30</v>
      </c>
      <c r="E25" t="s">
        <v>31</v>
      </c>
      <c r="F25" s="22">
        <v>9</v>
      </c>
    </row>
    <row r="26" spans="1:25" x14ac:dyDescent="0.35">
      <c r="A26" t="s">
        <v>32</v>
      </c>
      <c r="B26" s="15">
        <v>90</v>
      </c>
      <c r="E26" t="s">
        <v>33</v>
      </c>
      <c r="F26" s="22">
        <v>12.95</v>
      </c>
    </row>
    <row r="27" spans="1:25" x14ac:dyDescent="0.35">
      <c r="E27" t="s">
        <v>34</v>
      </c>
      <c r="F27" s="22">
        <v>14.95</v>
      </c>
    </row>
    <row r="28" spans="1:25" x14ac:dyDescent="0.35">
      <c r="A28" t="s">
        <v>35</v>
      </c>
      <c r="B28" s="6">
        <v>0.13</v>
      </c>
    </row>
    <row r="29" spans="1:25" x14ac:dyDescent="0.35">
      <c r="C29" s="16" t="s">
        <v>36</v>
      </c>
      <c r="D29" s="16" t="s">
        <v>37</v>
      </c>
      <c r="E29" s="16" t="s">
        <v>38</v>
      </c>
      <c r="F29" s="16" t="s">
        <v>39</v>
      </c>
      <c r="G29" s="16" t="s">
        <v>40</v>
      </c>
    </row>
    <row r="30" spans="1:25" x14ac:dyDescent="0.35">
      <c r="C30" s="16">
        <f>_xlfn.XLOOKUP(C33,A15:A20,B15:B20)</f>
        <v>0.5</v>
      </c>
      <c r="D30" s="16">
        <f>_xlfn.XLOOKUP(C33,A15:A20,C15:C20)</f>
        <v>0</v>
      </c>
      <c r="E30" s="16">
        <f>HLOOKUP(D30,F15:H16,2)</f>
        <v>0.9</v>
      </c>
      <c r="F30" s="16">
        <f>HLOOKUP(D30,F19:H20,2)</f>
        <v>0.7</v>
      </c>
      <c r="G30" s="23">
        <f ca="1">_xlfn.BINOM.INV(H33,F30,RAND())</f>
        <v>453</v>
      </c>
    </row>
    <row r="32" spans="1:25" x14ac:dyDescent="0.35">
      <c r="C32" s="24" t="s">
        <v>41</v>
      </c>
      <c r="D32" s="24" t="s">
        <v>42</v>
      </c>
      <c r="E32" s="24" t="s">
        <v>43</v>
      </c>
      <c r="F32" s="24" t="s">
        <v>44</v>
      </c>
      <c r="G32" s="24" t="s">
        <v>45</v>
      </c>
      <c r="H32" s="24" t="s">
        <v>46</v>
      </c>
      <c r="I32" s="24" t="s">
        <v>47</v>
      </c>
      <c r="J32" s="24" t="s">
        <v>48</v>
      </c>
      <c r="K32" s="24" t="s">
        <v>49</v>
      </c>
      <c r="L32" s="24" t="s">
        <v>50</v>
      </c>
      <c r="M32" s="24" t="s">
        <v>51</v>
      </c>
      <c r="N32" s="24" t="s">
        <v>52</v>
      </c>
      <c r="O32" s="24" t="s">
        <v>53</v>
      </c>
      <c r="P32" s="24" t="s">
        <v>54</v>
      </c>
      <c r="Q32" s="24" t="s">
        <v>55</v>
      </c>
      <c r="R32" s="24" t="s">
        <v>56</v>
      </c>
      <c r="T32" s="25" t="s">
        <v>57</v>
      </c>
      <c r="U32" s="26" t="s">
        <v>58</v>
      </c>
      <c r="V32" s="27" t="s">
        <v>59</v>
      </c>
      <c r="W32" s="26" t="s">
        <v>60</v>
      </c>
      <c r="X32" s="26" t="s">
        <v>61</v>
      </c>
      <c r="Y32" s="28" t="s">
        <v>62</v>
      </c>
    </row>
    <row r="33" spans="1:25" x14ac:dyDescent="0.35">
      <c r="C33" s="29">
        <v>1</v>
      </c>
      <c r="D33" s="30">
        <f ca="1">IF($B$6="FROZEN",B25,_xlfn.NORM.INV(RAND(),B25,B26))</f>
        <v>800</v>
      </c>
      <c r="E33" s="26">
        <f ca="1">D33*C30</f>
        <v>400</v>
      </c>
      <c r="F33" s="26">
        <f ca="1">E33*(1-B28)</f>
        <v>348</v>
      </c>
      <c r="G33" s="26">
        <f ca="1">ROUNDDOWN(F33,0)</f>
        <v>348</v>
      </c>
      <c r="H33" s="30">
        <f ca="1">_xlfn.BINOM.INV(F22,E30,RAND())</f>
        <v>654</v>
      </c>
      <c r="I33" s="26">
        <f ca="1">_xlfn.BINOM.INV(H33,VLOOKUP(VLOOKUP(C33,A15:C20,3,FALSE),F19:G20,2,FALSE),RAND())</f>
        <v>321</v>
      </c>
      <c r="J33" s="26">
        <f ca="1">MIN(G30,G33)</f>
        <v>348</v>
      </c>
      <c r="K33" s="26">
        <f ca="1">MAX(G30-G33,0)</f>
        <v>105</v>
      </c>
      <c r="L33" s="26">
        <f ca="1">G33-J33</f>
        <v>0</v>
      </c>
      <c r="M33" s="26">
        <f ca="1">H33*F26*VLOOKUP(C33,A15:C20,3,FALSE)</f>
        <v>0</v>
      </c>
      <c r="N33" s="31">
        <f ca="1">J33*F26*(1-D30)</f>
        <v>4506.5999999999995</v>
      </c>
      <c r="O33" s="26">
        <f ca="1">K33*F26*VLOOKUP(C33,A15:C20,3,FALSE)</f>
        <v>0</v>
      </c>
      <c r="P33" s="31">
        <f ca="1">M33+N33-O33</f>
        <v>4506.5999999999995</v>
      </c>
      <c r="Q33" s="31">
        <f ca="1">E33*F25</f>
        <v>3600</v>
      </c>
      <c r="R33" s="32">
        <f ca="1">P33-Q33</f>
        <v>906.59999999999945</v>
      </c>
      <c r="T33" s="33">
        <f ca="1">VLOOKUP(RAND(),$J$15:L17,3,TRUE)</f>
        <v>46692</v>
      </c>
      <c r="U33" s="34">
        <f ca="1">MONTH(T33)</f>
        <v>11</v>
      </c>
      <c r="V33" s="25" cm="1">
        <f t="array" aca="1" ref="V33" ca="1">_xlfn.IFS(U33=10, _xlfn.NORM.INV(RAND(),P15,P16),U33=11, _xlfn.NORM.INV(RAND(),Q15,Q16),U33=12,_xlfn.NORM.INV(RAND(),R15,R16))</f>
        <v>-124.82879076645483</v>
      </c>
      <c r="W33" s="34">
        <f ca="1">MIN(L33,MAX(0,V33))</f>
        <v>0</v>
      </c>
      <c r="X33" s="35">
        <f ca="1">W33*F27</f>
        <v>0</v>
      </c>
      <c r="Y33" s="36">
        <f ca="1">R33+X33</f>
        <v>906.59999999999945</v>
      </c>
    </row>
    <row r="35" spans="1:25" ht="18.5" x14ac:dyDescent="0.45">
      <c r="D35" s="37"/>
    </row>
    <row r="36" spans="1:25" x14ac:dyDescent="0.35">
      <c r="D36" s="38"/>
    </row>
    <row r="41" spans="1:25" x14ac:dyDescent="0.35">
      <c r="A41" s="39" t="s">
        <v>63</v>
      </c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1"/>
    </row>
    <row r="43" spans="1:25" ht="15" thickBot="1" x14ac:dyDescent="0.4">
      <c r="A43" s="42" t="s">
        <v>64</v>
      </c>
      <c r="B43" s="43" t="s">
        <v>65</v>
      </c>
      <c r="C43" s="43"/>
      <c r="D43" s="43"/>
      <c r="E43" s="43"/>
      <c r="F43" s="43"/>
      <c r="G43" s="43"/>
      <c r="J43" s="42" t="s">
        <v>66</v>
      </c>
      <c r="K43" s="43" t="s">
        <v>65</v>
      </c>
      <c r="L43" s="43"/>
      <c r="M43" s="43"/>
      <c r="N43" s="43"/>
      <c r="O43" s="43"/>
      <c r="P43" s="43"/>
      <c r="S43" s="42" t="s">
        <v>67</v>
      </c>
      <c r="T43" s="43" t="s">
        <v>65</v>
      </c>
      <c r="U43" s="43"/>
      <c r="V43" s="43"/>
      <c r="W43" s="43"/>
      <c r="X43" s="43"/>
      <c r="Y43" s="43"/>
    </row>
    <row r="44" spans="1:25" x14ac:dyDescent="0.35">
      <c r="A44" s="44">
        <f ca="1">R33</f>
        <v>906.59999999999945</v>
      </c>
      <c r="B44" s="15">
        <v>1</v>
      </c>
      <c r="C44" s="15">
        <v>2</v>
      </c>
      <c r="D44" s="15">
        <v>3</v>
      </c>
      <c r="E44" s="15">
        <v>4</v>
      </c>
      <c r="F44" s="15">
        <v>5</v>
      </c>
      <c r="G44" s="15">
        <v>6</v>
      </c>
      <c r="J44" s="45">
        <f ca="1">L33</f>
        <v>0</v>
      </c>
      <c r="K44" s="15">
        <v>1</v>
      </c>
      <c r="L44" s="15">
        <v>2</v>
      </c>
      <c r="M44" s="15">
        <v>3</v>
      </c>
      <c r="N44" s="15">
        <v>4</v>
      </c>
      <c r="O44" s="15">
        <v>5</v>
      </c>
      <c r="P44" s="15">
        <v>6</v>
      </c>
      <c r="S44" s="44">
        <f ca="1">Y33</f>
        <v>906.59999999999945</v>
      </c>
      <c r="T44" s="15">
        <v>1</v>
      </c>
      <c r="U44" s="15">
        <v>2</v>
      </c>
      <c r="V44" s="15">
        <v>3</v>
      </c>
      <c r="W44" s="15">
        <v>4</v>
      </c>
      <c r="X44" s="15">
        <v>5</v>
      </c>
      <c r="Y44" s="15">
        <v>6</v>
      </c>
    </row>
    <row r="45" spans="1:25" x14ac:dyDescent="0.35">
      <c r="A45" cm="1">
        <f t="array" ref="A45:A1044">_xlfn.SEQUENCE(1000)</f>
        <v>1</v>
      </c>
      <c r="B45">
        <f t="dataTable" ref="B45:G1044" dt2D="1" dtr="1" r1="C33" r2="AJ1" ca="1"/>
        <v>906.59999999999945</v>
      </c>
      <c r="C45">
        <v>984.29999999999927</v>
      </c>
      <c r="D45">
        <v>906.59999999999945</v>
      </c>
      <c r="E45">
        <v>-1243</v>
      </c>
      <c r="F45">
        <v>-504.85000000000036</v>
      </c>
      <c r="G45">
        <v>-2149.5</v>
      </c>
      <c r="J45" cm="1">
        <f t="array" ref="J45:J1044">_xlfn.SEQUENCE(1000)</f>
        <v>1</v>
      </c>
      <c r="K45">
        <f t="dataTable" ref="K45:P1044" dt2D="1" dtr="1" r1="C33" r2="J43" ca="1"/>
        <v>0</v>
      </c>
      <c r="L45">
        <v>0</v>
      </c>
      <c r="M45">
        <v>0</v>
      </c>
      <c r="N45">
        <v>232</v>
      </c>
      <c r="O45">
        <v>175</v>
      </c>
      <c r="P45">
        <v>317</v>
      </c>
      <c r="S45" cm="1">
        <f t="array" ref="S45:S1044">_xlfn.SEQUENCE(1000)</f>
        <v>1</v>
      </c>
      <c r="T45">
        <f t="dataTable" ref="T45:Y1044" dt2D="1" dtr="1" r1="C33" r2="AF1" ca="1"/>
        <v>906.59999999999945</v>
      </c>
      <c r="U45">
        <v>945.44999999999891</v>
      </c>
      <c r="V45">
        <v>906.60000000000036</v>
      </c>
      <c r="W45">
        <v>2289.1999999999994</v>
      </c>
      <c r="X45">
        <v>2126.8694652870067</v>
      </c>
      <c r="Y45">
        <v>1624.7571743469748</v>
      </c>
    </row>
    <row r="46" spans="1:25" x14ac:dyDescent="0.35">
      <c r="A46">
        <v>2</v>
      </c>
      <c r="B46">
        <v>906.59999999999945</v>
      </c>
      <c r="C46">
        <v>984.29999999999927</v>
      </c>
      <c r="D46">
        <v>906.60000000000036</v>
      </c>
      <c r="E46">
        <v>-1100.5500000000002</v>
      </c>
      <c r="F46">
        <v>-381.82500000000073</v>
      </c>
      <c r="G46">
        <v>-2201.3000000000002</v>
      </c>
      <c r="J46">
        <v>2</v>
      </c>
      <c r="K46">
        <v>0</v>
      </c>
      <c r="L46">
        <v>0</v>
      </c>
      <c r="M46">
        <v>0</v>
      </c>
      <c r="N46">
        <v>240</v>
      </c>
      <c r="O46">
        <v>172</v>
      </c>
      <c r="P46">
        <v>322</v>
      </c>
      <c r="S46">
        <v>2</v>
      </c>
      <c r="T46">
        <v>906.59999999999945</v>
      </c>
      <c r="U46">
        <v>964.875</v>
      </c>
      <c r="V46">
        <v>906.59999999999945</v>
      </c>
      <c r="W46">
        <v>-1320.7000000000007</v>
      </c>
      <c r="X46">
        <v>2181.4750000000004</v>
      </c>
      <c r="Y46">
        <v>1375.8525885229592</v>
      </c>
    </row>
    <row r="47" spans="1:25" x14ac:dyDescent="0.35">
      <c r="A47">
        <v>3</v>
      </c>
      <c r="B47">
        <v>906.59999999999945</v>
      </c>
      <c r="C47">
        <v>958.39999999999964</v>
      </c>
      <c r="D47">
        <v>906.60000000000036</v>
      </c>
      <c r="E47">
        <v>-945.15000000000055</v>
      </c>
      <c r="F47">
        <v>-317.07500000000073</v>
      </c>
      <c r="G47">
        <v>-2434.4000000000005</v>
      </c>
      <c r="J47">
        <v>3</v>
      </c>
      <c r="K47">
        <v>0</v>
      </c>
      <c r="L47">
        <v>0</v>
      </c>
      <c r="M47">
        <v>0</v>
      </c>
      <c r="N47">
        <v>220</v>
      </c>
      <c r="O47">
        <v>183</v>
      </c>
      <c r="P47">
        <v>314</v>
      </c>
      <c r="S47">
        <v>3</v>
      </c>
      <c r="T47">
        <v>906.59999999999945</v>
      </c>
      <c r="U47">
        <v>958.39999999999964</v>
      </c>
      <c r="V47">
        <v>906.59999999999945</v>
      </c>
      <c r="W47">
        <v>2273.1999999999998</v>
      </c>
      <c r="X47">
        <v>2263.8500000000004</v>
      </c>
      <c r="Y47">
        <v>1595.5384322480377</v>
      </c>
    </row>
    <row r="48" spans="1:25" x14ac:dyDescent="0.35">
      <c r="A48">
        <v>4</v>
      </c>
      <c r="B48">
        <v>906.59999999999945</v>
      </c>
      <c r="C48">
        <v>984.29999999999927</v>
      </c>
      <c r="D48">
        <v>906.59999999999945</v>
      </c>
      <c r="E48">
        <v>-1087.6000000000004</v>
      </c>
      <c r="F48">
        <v>-627.875</v>
      </c>
      <c r="G48">
        <v>-2460.3000000000002</v>
      </c>
      <c r="J48">
        <v>4</v>
      </c>
      <c r="K48">
        <v>0</v>
      </c>
      <c r="L48">
        <v>0</v>
      </c>
      <c r="M48">
        <v>0</v>
      </c>
      <c r="N48">
        <v>223</v>
      </c>
      <c r="O48">
        <v>172</v>
      </c>
      <c r="P48">
        <v>342</v>
      </c>
      <c r="S48">
        <v>4</v>
      </c>
      <c r="T48">
        <v>906.59999999999945</v>
      </c>
      <c r="U48">
        <v>971.34999999999945</v>
      </c>
      <c r="V48">
        <v>906.59999999999945</v>
      </c>
      <c r="W48">
        <v>2339.1999999999994</v>
      </c>
      <c r="X48">
        <v>2073.8178233602061</v>
      </c>
      <c r="Y48">
        <v>2491.1999999999998</v>
      </c>
    </row>
    <row r="49" spans="1:25" x14ac:dyDescent="0.35">
      <c r="A49">
        <v>5</v>
      </c>
      <c r="B49">
        <v>906.59999999999945</v>
      </c>
      <c r="C49">
        <v>964.875</v>
      </c>
      <c r="D49">
        <v>906.60000000000036</v>
      </c>
      <c r="E49">
        <v>-582.55000000000018</v>
      </c>
      <c r="F49">
        <v>-601.97500000000036</v>
      </c>
      <c r="G49">
        <v>-2214.25</v>
      </c>
      <c r="J49">
        <v>5</v>
      </c>
      <c r="K49">
        <v>0</v>
      </c>
      <c r="L49">
        <v>0</v>
      </c>
      <c r="M49">
        <v>0</v>
      </c>
      <c r="N49">
        <v>244</v>
      </c>
      <c r="O49">
        <v>186</v>
      </c>
      <c r="P49">
        <v>312</v>
      </c>
      <c r="S49">
        <v>5</v>
      </c>
      <c r="T49">
        <v>906.59999999999945</v>
      </c>
      <c r="U49">
        <v>984.29999999999927</v>
      </c>
      <c r="V49">
        <v>906.60000000000036</v>
      </c>
      <c r="W49">
        <v>1854.9885713645726</v>
      </c>
      <c r="X49">
        <v>2216.8999999999992</v>
      </c>
      <c r="Y49">
        <v>218.87631137269818</v>
      </c>
    </row>
    <row r="50" spans="1:25" x14ac:dyDescent="0.35">
      <c r="A50">
        <v>6</v>
      </c>
      <c r="B50">
        <v>906.59999999999945</v>
      </c>
      <c r="C50">
        <v>945.44999999999891</v>
      </c>
      <c r="D50">
        <v>906.59999999999945</v>
      </c>
      <c r="E50">
        <v>-1061.7000000000007</v>
      </c>
      <c r="F50">
        <v>-517.80000000000018</v>
      </c>
      <c r="G50">
        <v>-2369.6500000000005</v>
      </c>
      <c r="J50">
        <v>6</v>
      </c>
      <c r="K50">
        <v>0</v>
      </c>
      <c r="L50">
        <v>0</v>
      </c>
      <c r="M50">
        <v>0</v>
      </c>
      <c r="N50">
        <v>235</v>
      </c>
      <c r="O50">
        <v>199</v>
      </c>
      <c r="P50">
        <v>321</v>
      </c>
      <c r="S50">
        <v>6</v>
      </c>
      <c r="T50">
        <v>906.59999999999945</v>
      </c>
      <c r="U50">
        <v>971.34999999999854</v>
      </c>
      <c r="V50">
        <v>906.60000000000036</v>
      </c>
      <c r="W50">
        <v>2243.1999999999998</v>
      </c>
      <c r="X50">
        <v>2294.3249999999989</v>
      </c>
      <c r="Y50">
        <v>2503.1999999999998</v>
      </c>
    </row>
    <row r="51" spans="1:25" x14ac:dyDescent="0.35">
      <c r="A51">
        <v>7</v>
      </c>
      <c r="B51">
        <v>906.59999999999945</v>
      </c>
      <c r="C51">
        <v>997.24999999999909</v>
      </c>
      <c r="D51">
        <v>906.59999999999945</v>
      </c>
      <c r="E51">
        <v>-867.45000000000073</v>
      </c>
      <c r="F51">
        <v>-776.80000000000018</v>
      </c>
      <c r="G51">
        <v>-2020</v>
      </c>
      <c r="J51">
        <v>7</v>
      </c>
      <c r="K51">
        <v>0</v>
      </c>
      <c r="L51">
        <v>0</v>
      </c>
      <c r="M51">
        <v>0</v>
      </c>
      <c r="N51">
        <v>236</v>
      </c>
      <c r="O51">
        <v>186</v>
      </c>
      <c r="P51">
        <v>341</v>
      </c>
      <c r="S51">
        <v>7</v>
      </c>
      <c r="T51">
        <v>906.59999999999945</v>
      </c>
      <c r="U51">
        <v>1003.7249999999995</v>
      </c>
      <c r="V51">
        <v>906.60000000000036</v>
      </c>
      <c r="W51">
        <v>334.0234279160984</v>
      </c>
      <c r="X51">
        <v>2322.6999999999998</v>
      </c>
      <c r="Y51">
        <v>2513.1999999999998</v>
      </c>
    </row>
    <row r="52" spans="1:25" x14ac:dyDescent="0.35">
      <c r="A52">
        <v>8</v>
      </c>
      <c r="B52">
        <v>906.59999999999945</v>
      </c>
      <c r="C52">
        <v>964.875</v>
      </c>
      <c r="D52">
        <v>906.60000000000036</v>
      </c>
      <c r="E52">
        <v>-867.45000000000073</v>
      </c>
      <c r="F52">
        <v>-860.97500000000036</v>
      </c>
      <c r="G52">
        <v>-2214.25</v>
      </c>
      <c r="J52">
        <v>8</v>
      </c>
      <c r="K52">
        <v>0</v>
      </c>
      <c r="L52">
        <v>0</v>
      </c>
      <c r="M52">
        <v>0</v>
      </c>
      <c r="N52">
        <v>227</v>
      </c>
      <c r="O52">
        <v>187</v>
      </c>
      <c r="P52">
        <v>298</v>
      </c>
      <c r="S52">
        <v>8</v>
      </c>
      <c r="T52">
        <v>906.59999999999945</v>
      </c>
      <c r="U52">
        <v>971.35000000000036</v>
      </c>
      <c r="V52">
        <v>906.59999999999945</v>
      </c>
      <c r="W52">
        <v>2287.1999999999989</v>
      </c>
      <c r="X52">
        <v>-373.81766383581521</v>
      </c>
      <c r="Y52">
        <v>-270.19645913620252</v>
      </c>
    </row>
    <row r="53" spans="1:25" x14ac:dyDescent="0.35">
      <c r="A53">
        <v>9</v>
      </c>
      <c r="B53">
        <v>906.59999999999945</v>
      </c>
      <c r="C53">
        <v>958.39999999999964</v>
      </c>
      <c r="D53">
        <v>906.59999999999945</v>
      </c>
      <c r="E53">
        <v>-1152.3500000000004</v>
      </c>
      <c r="F53">
        <v>-556.65000000000055</v>
      </c>
      <c r="G53">
        <v>-2240.1500000000005</v>
      </c>
      <c r="J53">
        <v>9</v>
      </c>
      <c r="K53">
        <v>0</v>
      </c>
      <c r="L53">
        <v>0</v>
      </c>
      <c r="M53">
        <v>0</v>
      </c>
      <c r="N53">
        <v>213</v>
      </c>
      <c r="O53">
        <v>185</v>
      </c>
      <c r="P53">
        <v>338</v>
      </c>
      <c r="S53">
        <v>9</v>
      </c>
      <c r="T53">
        <v>906.59999999999945</v>
      </c>
      <c r="U53">
        <v>1003.7249999999995</v>
      </c>
      <c r="V53">
        <v>906.59999999999945</v>
      </c>
      <c r="W53">
        <v>2299.1999999999994</v>
      </c>
      <c r="X53">
        <v>352.95170540695847</v>
      </c>
      <c r="Y53">
        <v>2348.425571889893</v>
      </c>
    </row>
    <row r="54" spans="1:25" x14ac:dyDescent="0.35">
      <c r="A54">
        <v>10</v>
      </c>
      <c r="B54">
        <v>906.59999999999945</v>
      </c>
      <c r="C54">
        <v>1023.1499999999987</v>
      </c>
      <c r="D54">
        <v>906.59999999999945</v>
      </c>
      <c r="E54">
        <v>-1022.8500000000004</v>
      </c>
      <c r="F54">
        <v>-757.375</v>
      </c>
      <c r="G54">
        <v>-2421.4499999999998</v>
      </c>
      <c r="J54">
        <v>10</v>
      </c>
      <c r="K54">
        <v>0</v>
      </c>
      <c r="L54">
        <v>0</v>
      </c>
      <c r="M54">
        <v>0</v>
      </c>
      <c r="N54">
        <v>214</v>
      </c>
      <c r="O54">
        <v>194</v>
      </c>
      <c r="P54">
        <v>320</v>
      </c>
      <c r="S54">
        <v>10</v>
      </c>
      <c r="T54">
        <v>906.59999999999945</v>
      </c>
      <c r="U54">
        <v>984.30000000000018</v>
      </c>
      <c r="V54">
        <v>906.60000000000036</v>
      </c>
      <c r="W54">
        <v>-1411.3500000000004</v>
      </c>
      <c r="X54">
        <v>2212.4249999999997</v>
      </c>
      <c r="Y54">
        <v>2136.7981315770512</v>
      </c>
    </row>
    <row r="55" spans="1:25" x14ac:dyDescent="0.35">
      <c r="A55">
        <v>11</v>
      </c>
      <c r="B55">
        <v>906.59999999999945</v>
      </c>
      <c r="C55">
        <v>958.39999999999964</v>
      </c>
      <c r="D55">
        <v>906.60000000000036</v>
      </c>
      <c r="E55">
        <v>-1100.5500000000002</v>
      </c>
      <c r="F55">
        <v>-284.70000000000073</v>
      </c>
      <c r="G55">
        <v>-2356.6999999999998</v>
      </c>
      <c r="J55">
        <v>11</v>
      </c>
      <c r="K55">
        <v>0</v>
      </c>
      <c r="L55">
        <v>0</v>
      </c>
      <c r="M55">
        <v>0</v>
      </c>
      <c r="N55">
        <v>214</v>
      </c>
      <c r="O55">
        <v>177</v>
      </c>
      <c r="P55">
        <v>309</v>
      </c>
      <c r="S55">
        <v>11</v>
      </c>
      <c r="T55">
        <v>906.59999999999945</v>
      </c>
      <c r="U55">
        <v>984.30000000000018</v>
      </c>
      <c r="V55">
        <v>906.59999999999945</v>
      </c>
      <c r="W55">
        <v>2281.1999999999994</v>
      </c>
      <c r="X55">
        <v>765.38676504727255</v>
      </c>
      <c r="Y55">
        <v>2431.1999999999998</v>
      </c>
    </row>
    <row r="56" spans="1:25" x14ac:dyDescent="0.35">
      <c r="A56">
        <v>12</v>
      </c>
      <c r="B56">
        <v>906.59999999999945</v>
      </c>
      <c r="C56">
        <v>958.39999999999964</v>
      </c>
      <c r="D56">
        <v>906.59999999999945</v>
      </c>
      <c r="E56">
        <v>-1061.7000000000007</v>
      </c>
      <c r="F56">
        <v>-576.07500000000073</v>
      </c>
      <c r="G56">
        <v>-2201.3000000000002</v>
      </c>
      <c r="J56">
        <v>12</v>
      </c>
      <c r="K56">
        <v>0</v>
      </c>
      <c r="L56">
        <v>0</v>
      </c>
      <c r="M56">
        <v>0</v>
      </c>
      <c r="N56">
        <v>239</v>
      </c>
      <c r="O56">
        <v>205</v>
      </c>
      <c r="P56">
        <v>327</v>
      </c>
      <c r="S56">
        <v>12</v>
      </c>
      <c r="T56">
        <v>906.59999999999945</v>
      </c>
      <c r="U56">
        <v>971.34999999999854</v>
      </c>
      <c r="V56">
        <v>906.59999999999945</v>
      </c>
      <c r="W56">
        <v>2257.1999999999989</v>
      </c>
      <c r="X56">
        <v>2268.8000000000002</v>
      </c>
      <c r="Y56">
        <v>2419.1999999999989</v>
      </c>
    </row>
    <row r="57" spans="1:25" x14ac:dyDescent="0.35">
      <c r="A57">
        <v>13</v>
      </c>
      <c r="B57">
        <v>906.59999999999945</v>
      </c>
      <c r="C57">
        <v>951.92499999999927</v>
      </c>
      <c r="D57">
        <v>906.60000000000036</v>
      </c>
      <c r="E57">
        <v>-841.55000000000018</v>
      </c>
      <c r="F57">
        <v>-440.10000000000036</v>
      </c>
      <c r="G57">
        <v>-2188.3500000000004</v>
      </c>
      <c r="J57">
        <v>13</v>
      </c>
      <c r="K57">
        <v>0</v>
      </c>
      <c r="L57">
        <v>0</v>
      </c>
      <c r="M57">
        <v>0</v>
      </c>
      <c r="N57">
        <v>229</v>
      </c>
      <c r="O57">
        <v>182</v>
      </c>
      <c r="P57">
        <v>339</v>
      </c>
      <c r="S57">
        <v>13</v>
      </c>
      <c r="T57">
        <v>906.59999999999945</v>
      </c>
      <c r="U57">
        <v>971.35000000000036</v>
      </c>
      <c r="V57">
        <v>906.59999999999945</v>
      </c>
      <c r="W57">
        <v>2275.1999999999998</v>
      </c>
      <c r="X57">
        <v>1291.1325286139522</v>
      </c>
      <c r="Y57">
        <v>1422.8707287521729</v>
      </c>
    </row>
    <row r="58" spans="1:25" x14ac:dyDescent="0.35">
      <c r="A58">
        <v>14</v>
      </c>
      <c r="B58">
        <v>906.59999999999945</v>
      </c>
      <c r="C58">
        <v>1003.7249999999995</v>
      </c>
      <c r="D58">
        <v>906.59999999999945</v>
      </c>
      <c r="E58">
        <v>-725</v>
      </c>
      <c r="F58">
        <v>-427.15000000000055</v>
      </c>
      <c r="G58">
        <v>-2266.0500000000002</v>
      </c>
      <c r="J58">
        <v>14</v>
      </c>
      <c r="K58">
        <v>0</v>
      </c>
      <c r="L58">
        <v>0</v>
      </c>
      <c r="M58">
        <v>0</v>
      </c>
      <c r="N58">
        <v>224</v>
      </c>
      <c r="O58">
        <v>196</v>
      </c>
      <c r="P58">
        <v>345</v>
      </c>
      <c r="S58">
        <v>14</v>
      </c>
      <c r="T58">
        <v>906.59999999999945</v>
      </c>
      <c r="U58">
        <v>990.77499999999964</v>
      </c>
      <c r="V58">
        <v>906.59999999999945</v>
      </c>
      <c r="W58">
        <v>1087.5873528421566</v>
      </c>
      <c r="X58">
        <v>2240.9999999999995</v>
      </c>
      <c r="Y58">
        <v>2411.1999999999998</v>
      </c>
    </row>
    <row r="59" spans="1:25" x14ac:dyDescent="0.35">
      <c r="A59">
        <v>15</v>
      </c>
      <c r="B59">
        <v>906.59999999999945</v>
      </c>
      <c r="C59">
        <v>977.82499999999982</v>
      </c>
      <c r="D59">
        <v>906.59999999999945</v>
      </c>
      <c r="E59">
        <v>-1009.9000000000005</v>
      </c>
      <c r="F59">
        <v>-440.10000000000036</v>
      </c>
      <c r="G59">
        <v>-2343.75</v>
      </c>
      <c r="J59">
        <v>15</v>
      </c>
      <c r="K59">
        <v>0</v>
      </c>
      <c r="L59">
        <v>0</v>
      </c>
      <c r="M59">
        <v>0</v>
      </c>
      <c r="N59">
        <v>235</v>
      </c>
      <c r="O59">
        <v>197</v>
      </c>
      <c r="P59">
        <v>304</v>
      </c>
      <c r="S59">
        <v>15</v>
      </c>
      <c r="T59">
        <v>906.59999999999945</v>
      </c>
      <c r="U59">
        <v>990.77499999999964</v>
      </c>
      <c r="V59">
        <v>906.59999999999945</v>
      </c>
      <c r="W59">
        <v>-390.87719871316278</v>
      </c>
      <c r="X59">
        <v>2263.4749999999995</v>
      </c>
      <c r="Y59">
        <v>1150.9029391057757</v>
      </c>
    </row>
    <row r="60" spans="1:25" x14ac:dyDescent="0.35">
      <c r="A60">
        <v>16</v>
      </c>
      <c r="B60">
        <v>906.59999999999945</v>
      </c>
      <c r="C60">
        <v>951.92500000000018</v>
      </c>
      <c r="D60">
        <v>906.60000000000036</v>
      </c>
      <c r="E60">
        <v>-1178.25</v>
      </c>
      <c r="F60">
        <v>-245.85000000000036</v>
      </c>
      <c r="G60">
        <v>-2460.3000000000002</v>
      </c>
      <c r="J60">
        <v>16</v>
      </c>
      <c r="K60">
        <v>0</v>
      </c>
      <c r="L60">
        <v>0</v>
      </c>
      <c r="M60">
        <v>0</v>
      </c>
      <c r="N60">
        <v>229</v>
      </c>
      <c r="O60">
        <v>167</v>
      </c>
      <c r="P60">
        <v>327</v>
      </c>
      <c r="S60">
        <v>16</v>
      </c>
      <c r="T60">
        <v>906.59999999999945</v>
      </c>
      <c r="U60">
        <v>945.44999999999891</v>
      </c>
      <c r="V60">
        <v>906.60000000000036</v>
      </c>
      <c r="W60">
        <v>723.65648930878206</v>
      </c>
      <c r="X60">
        <v>2277.2750000000001</v>
      </c>
      <c r="Y60">
        <v>708.40993560902098</v>
      </c>
    </row>
    <row r="61" spans="1:25" x14ac:dyDescent="0.35">
      <c r="A61">
        <v>17</v>
      </c>
      <c r="B61">
        <v>906.59999999999945</v>
      </c>
      <c r="C61">
        <v>1010.1999999999998</v>
      </c>
      <c r="D61">
        <v>906.60000000000036</v>
      </c>
      <c r="E61">
        <v>-1191.2000000000007</v>
      </c>
      <c r="F61">
        <v>-601.97500000000036</v>
      </c>
      <c r="G61">
        <v>-2525.0500000000002</v>
      </c>
      <c r="J61">
        <v>17</v>
      </c>
      <c r="K61">
        <v>0</v>
      </c>
      <c r="L61">
        <v>0</v>
      </c>
      <c r="M61">
        <v>0</v>
      </c>
      <c r="N61">
        <v>244</v>
      </c>
      <c r="O61">
        <v>198</v>
      </c>
      <c r="P61">
        <v>333</v>
      </c>
      <c r="S61">
        <v>17</v>
      </c>
      <c r="T61">
        <v>906.59999999999945</v>
      </c>
      <c r="U61">
        <v>964.875</v>
      </c>
      <c r="V61">
        <v>906.59999999999945</v>
      </c>
      <c r="W61">
        <v>-564.19991658795959</v>
      </c>
      <c r="X61">
        <v>2219.474999999999</v>
      </c>
      <c r="Y61">
        <v>2471.1999999999998</v>
      </c>
    </row>
    <row r="62" spans="1:25" x14ac:dyDescent="0.35">
      <c r="A62">
        <v>18</v>
      </c>
      <c r="B62">
        <v>906.59999999999945</v>
      </c>
      <c r="C62">
        <v>958.39999999999873</v>
      </c>
      <c r="D62">
        <v>906.59999999999945</v>
      </c>
      <c r="E62">
        <v>-984</v>
      </c>
      <c r="F62">
        <v>-614.92500000000018</v>
      </c>
      <c r="G62">
        <v>-2201.3000000000002</v>
      </c>
      <c r="J62">
        <v>18</v>
      </c>
      <c r="K62">
        <v>0</v>
      </c>
      <c r="L62">
        <v>0</v>
      </c>
      <c r="M62">
        <v>0</v>
      </c>
      <c r="N62">
        <v>246</v>
      </c>
      <c r="O62">
        <v>173</v>
      </c>
      <c r="P62">
        <v>327</v>
      </c>
      <c r="S62">
        <v>18</v>
      </c>
      <c r="T62">
        <v>906.59999999999945</v>
      </c>
      <c r="U62">
        <v>971.34999999999854</v>
      </c>
      <c r="V62">
        <v>906.59999999999945</v>
      </c>
      <c r="W62">
        <v>2287.1999999999989</v>
      </c>
      <c r="X62">
        <v>1770.08359229302</v>
      </c>
      <c r="Y62">
        <v>1603.4498736286532</v>
      </c>
    </row>
    <row r="63" spans="1:25" x14ac:dyDescent="0.35">
      <c r="A63">
        <v>19</v>
      </c>
      <c r="B63">
        <v>906.59999999999945</v>
      </c>
      <c r="C63">
        <v>932.49999999999909</v>
      </c>
      <c r="D63">
        <v>906.60000000000036</v>
      </c>
      <c r="E63">
        <v>-1022.8500000000004</v>
      </c>
      <c r="F63">
        <v>-394.77500000000055</v>
      </c>
      <c r="G63">
        <v>-2291.9499999999998</v>
      </c>
      <c r="J63">
        <v>19</v>
      </c>
      <c r="K63">
        <v>0</v>
      </c>
      <c r="L63">
        <v>0</v>
      </c>
      <c r="M63">
        <v>0</v>
      </c>
      <c r="N63">
        <v>228</v>
      </c>
      <c r="O63">
        <v>190</v>
      </c>
      <c r="P63">
        <v>305</v>
      </c>
      <c r="S63">
        <v>19</v>
      </c>
      <c r="T63">
        <v>906.59999999999945</v>
      </c>
      <c r="U63">
        <v>977.82499999999982</v>
      </c>
      <c r="V63">
        <v>906.59999999999945</v>
      </c>
      <c r="W63">
        <v>2221.1999999999994</v>
      </c>
      <c r="X63">
        <v>2275.3749999999995</v>
      </c>
      <c r="Y63">
        <v>-16.945784971952889</v>
      </c>
    </row>
    <row r="64" spans="1:25" x14ac:dyDescent="0.35">
      <c r="A64">
        <v>20</v>
      </c>
      <c r="B64">
        <v>906.59999999999945</v>
      </c>
      <c r="C64">
        <v>977.82499999999982</v>
      </c>
      <c r="D64">
        <v>906.59999999999945</v>
      </c>
      <c r="E64">
        <v>-1100.5500000000002</v>
      </c>
      <c r="F64">
        <v>-783.27499999999964</v>
      </c>
      <c r="G64">
        <v>-2460.3000000000002</v>
      </c>
      <c r="J64">
        <v>20</v>
      </c>
      <c r="K64">
        <v>0</v>
      </c>
      <c r="L64">
        <v>0</v>
      </c>
      <c r="M64">
        <v>0</v>
      </c>
      <c r="N64">
        <v>199</v>
      </c>
      <c r="O64">
        <v>195</v>
      </c>
      <c r="P64">
        <v>329</v>
      </c>
      <c r="S64">
        <v>20</v>
      </c>
      <c r="T64">
        <v>906.59999999999945</v>
      </c>
      <c r="U64">
        <v>984.29999999999927</v>
      </c>
      <c r="V64">
        <v>906.60000000000036</v>
      </c>
      <c r="W64">
        <v>2305.1999999999998</v>
      </c>
      <c r="X64">
        <v>2166.7576969883194</v>
      </c>
      <c r="Y64">
        <v>-2395.5500000000002</v>
      </c>
    </row>
    <row r="65" spans="1:25" x14ac:dyDescent="0.35">
      <c r="A65">
        <v>21</v>
      </c>
      <c r="B65">
        <v>906.59999999999945</v>
      </c>
      <c r="C65">
        <v>958.39999999999873</v>
      </c>
      <c r="D65">
        <v>906.60000000000036</v>
      </c>
      <c r="E65">
        <v>-932.20000000000073</v>
      </c>
      <c r="F65">
        <v>-498.375</v>
      </c>
      <c r="G65">
        <v>-2291.9499999999998</v>
      </c>
      <c r="J65">
        <v>21</v>
      </c>
      <c r="K65">
        <v>0</v>
      </c>
      <c r="L65">
        <v>0</v>
      </c>
      <c r="M65">
        <v>0</v>
      </c>
      <c r="N65">
        <v>228</v>
      </c>
      <c r="O65">
        <v>169</v>
      </c>
      <c r="P65">
        <v>317</v>
      </c>
      <c r="S65">
        <v>21</v>
      </c>
      <c r="T65">
        <v>906.59999999999945</v>
      </c>
      <c r="U65">
        <v>1003.7250000000004</v>
      </c>
      <c r="V65">
        <v>906.59999999999945</v>
      </c>
      <c r="W65">
        <v>2293.1999999999998</v>
      </c>
      <c r="X65">
        <v>2282.7999999999988</v>
      </c>
      <c r="Y65">
        <v>2008.8240991144726</v>
      </c>
    </row>
    <row r="66" spans="1:25" x14ac:dyDescent="0.35">
      <c r="A66">
        <v>22</v>
      </c>
      <c r="B66">
        <v>906.59999999999945</v>
      </c>
      <c r="C66">
        <v>971.35000000000036</v>
      </c>
      <c r="D66">
        <v>906.59999999999945</v>
      </c>
      <c r="E66">
        <v>-945.15000000000055</v>
      </c>
      <c r="F66">
        <v>-556.65000000000055</v>
      </c>
      <c r="G66">
        <v>-2240.1500000000005</v>
      </c>
      <c r="J66">
        <v>22</v>
      </c>
      <c r="K66">
        <v>0</v>
      </c>
      <c r="L66">
        <v>0</v>
      </c>
      <c r="M66">
        <v>0</v>
      </c>
      <c r="N66">
        <v>227</v>
      </c>
      <c r="O66">
        <v>186</v>
      </c>
      <c r="P66">
        <v>326</v>
      </c>
      <c r="S66">
        <v>22</v>
      </c>
      <c r="T66">
        <v>906.59999999999945</v>
      </c>
      <c r="U66">
        <v>964.875</v>
      </c>
      <c r="V66">
        <v>906.59999999999945</v>
      </c>
      <c r="W66">
        <v>2275.1999999999998</v>
      </c>
      <c r="X66">
        <v>2249.3749999999991</v>
      </c>
      <c r="Y66">
        <v>2463.1999999999998</v>
      </c>
    </row>
    <row r="67" spans="1:25" x14ac:dyDescent="0.35">
      <c r="A67">
        <v>23</v>
      </c>
      <c r="B67">
        <v>906.59999999999945</v>
      </c>
      <c r="C67">
        <v>990.77499999999964</v>
      </c>
      <c r="D67">
        <v>906.59999999999945</v>
      </c>
      <c r="E67">
        <v>-1113.5</v>
      </c>
      <c r="F67">
        <v>-207</v>
      </c>
      <c r="G67">
        <v>-2499.1500000000005</v>
      </c>
      <c r="J67">
        <v>23</v>
      </c>
      <c r="K67">
        <v>0</v>
      </c>
      <c r="L67">
        <v>0</v>
      </c>
      <c r="M67">
        <v>0</v>
      </c>
      <c r="N67">
        <v>230</v>
      </c>
      <c r="O67">
        <v>182</v>
      </c>
      <c r="P67">
        <v>316</v>
      </c>
      <c r="S67">
        <v>23</v>
      </c>
      <c r="T67">
        <v>906.59999999999945</v>
      </c>
      <c r="U67">
        <v>958.39999999999873</v>
      </c>
      <c r="V67">
        <v>906.59999999999945</v>
      </c>
      <c r="W67">
        <v>2325.1999999999998</v>
      </c>
      <c r="X67">
        <v>2227.9499999999998</v>
      </c>
      <c r="Y67">
        <v>2457.1999999999998</v>
      </c>
    </row>
    <row r="68" spans="1:25" x14ac:dyDescent="0.35">
      <c r="A68">
        <v>24</v>
      </c>
      <c r="B68">
        <v>906.59999999999945</v>
      </c>
      <c r="C68">
        <v>997.25</v>
      </c>
      <c r="D68">
        <v>906.60000000000036</v>
      </c>
      <c r="E68">
        <v>-1398.4000000000005</v>
      </c>
      <c r="F68">
        <v>-213.47500000000036</v>
      </c>
      <c r="G68">
        <v>-2835.8500000000004</v>
      </c>
      <c r="J68">
        <v>24</v>
      </c>
      <c r="K68">
        <v>0</v>
      </c>
      <c r="L68">
        <v>0</v>
      </c>
      <c r="M68">
        <v>0</v>
      </c>
      <c r="N68">
        <v>224</v>
      </c>
      <c r="O68">
        <v>188</v>
      </c>
      <c r="P68">
        <v>309</v>
      </c>
      <c r="S68">
        <v>24</v>
      </c>
      <c r="T68">
        <v>906.59999999999945</v>
      </c>
      <c r="U68">
        <v>945.44999999999982</v>
      </c>
      <c r="V68">
        <v>906.59999999999945</v>
      </c>
      <c r="W68">
        <v>-919.25</v>
      </c>
      <c r="X68">
        <v>2253.3749999999995</v>
      </c>
      <c r="Y68">
        <v>2477.1999999999998</v>
      </c>
    </row>
    <row r="69" spans="1:25" x14ac:dyDescent="0.35">
      <c r="A69">
        <v>25</v>
      </c>
      <c r="B69">
        <v>906.59999999999945</v>
      </c>
      <c r="C69">
        <v>932.5</v>
      </c>
      <c r="D69">
        <v>919.55000000000018</v>
      </c>
      <c r="E69">
        <v>-841.55000000000018</v>
      </c>
      <c r="F69">
        <v>-394.77500000000055</v>
      </c>
      <c r="G69">
        <v>-2149.5</v>
      </c>
      <c r="J69">
        <v>25</v>
      </c>
      <c r="K69">
        <v>0</v>
      </c>
      <c r="L69">
        <v>0</v>
      </c>
      <c r="M69">
        <v>0</v>
      </c>
      <c r="N69">
        <v>222</v>
      </c>
      <c r="O69">
        <v>192</v>
      </c>
      <c r="P69">
        <v>328</v>
      </c>
      <c r="S69">
        <v>25</v>
      </c>
      <c r="T69">
        <v>906.59999999999945</v>
      </c>
      <c r="U69">
        <v>977.82499999999982</v>
      </c>
      <c r="V69">
        <v>906.60000000000036</v>
      </c>
      <c r="W69">
        <v>2237.1999999999989</v>
      </c>
      <c r="X69">
        <v>2213.9499999999994</v>
      </c>
      <c r="Y69">
        <v>2445.1999999999998</v>
      </c>
    </row>
    <row r="70" spans="1:25" x14ac:dyDescent="0.35">
      <c r="A70">
        <v>26</v>
      </c>
      <c r="B70">
        <v>906.59999999999945</v>
      </c>
      <c r="C70">
        <v>1036.0999999999995</v>
      </c>
      <c r="D70">
        <v>906.60000000000036</v>
      </c>
      <c r="E70">
        <v>-906.30000000000018</v>
      </c>
      <c r="F70">
        <v>-252.32500000000073</v>
      </c>
      <c r="G70">
        <v>-2071.8000000000002</v>
      </c>
      <c r="J70">
        <v>26</v>
      </c>
      <c r="K70">
        <v>0</v>
      </c>
      <c r="L70">
        <v>0</v>
      </c>
      <c r="M70">
        <v>0</v>
      </c>
      <c r="N70">
        <v>233</v>
      </c>
      <c r="O70">
        <v>185</v>
      </c>
      <c r="P70">
        <v>348</v>
      </c>
      <c r="S70">
        <v>26</v>
      </c>
      <c r="T70">
        <v>906.59999999999945</v>
      </c>
      <c r="U70">
        <v>958.39999999999964</v>
      </c>
      <c r="V70">
        <v>908.59999999999968</v>
      </c>
      <c r="W70">
        <v>2255.1999999999998</v>
      </c>
      <c r="X70">
        <v>2166.1499999999996</v>
      </c>
      <c r="Y70">
        <v>-2369.6500000000005</v>
      </c>
    </row>
    <row r="71" spans="1:25" x14ac:dyDescent="0.35">
      <c r="A71">
        <v>27</v>
      </c>
      <c r="B71">
        <v>906.59999999999945</v>
      </c>
      <c r="C71">
        <v>1010.1999999999989</v>
      </c>
      <c r="D71">
        <v>906.59999999999945</v>
      </c>
      <c r="E71">
        <v>-828.60000000000036</v>
      </c>
      <c r="F71">
        <v>-550.17500000000109</v>
      </c>
      <c r="G71">
        <v>-2317.8500000000004</v>
      </c>
      <c r="J71">
        <v>27</v>
      </c>
      <c r="K71">
        <v>0</v>
      </c>
      <c r="L71">
        <v>0</v>
      </c>
      <c r="M71">
        <v>0</v>
      </c>
      <c r="N71">
        <v>238</v>
      </c>
      <c r="O71">
        <v>167</v>
      </c>
      <c r="P71">
        <v>312</v>
      </c>
      <c r="S71">
        <v>27</v>
      </c>
      <c r="T71">
        <v>906.59999999999945</v>
      </c>
      <c r="U71">
        <v>971.34999999999945</v>
      </c>
      <c r="V71">
        <v>906.60000000000036</v>
      </c>
      <c r="W71">
        <v>2235.1999999999998</v>
      </c>
      <c r="X71">
        <v>2235.474999999999</v>
      </c>
      <c r="Y71">
        <v>1897.8063234985011</v>
      </c>
    </row>
    <row r="72" spans="1:25" x14ac:dyDescent="0.35">
      <c r="A72">
        <v>28</v>
      </c>
      <c r="B72">
        <v>906.59999999999945</v>
      </c>
      <c r="C72">
        <v>977.82499999999891</v>
      </c>
      <c r="D72">
        <v>906.59999999999945</v>
      </c>
      <c r="E72">
        <v>-1061.7000000000007</v>
      </c>
      <c r="F72">
        <v>-187.57500000000073</v>
      </c>
      <c r="G72">
        <v>-2486.1999999999998</v>
      </c>
      <c r="J72">
        <v>28</v>
      </c>
      <c r="K72">
        <v>0</v>
      </c>
      <c r="L72">
        <v>0</v>
      </c>
      <c r="M72">
        <v>0</v>
      </c>
      <c r="N72">
        <v>241</v>
      </c>
      <c r="O72">
        <v>204</v>
      </c>
      <c r="P72">
        <v>312</v>
      </c>
      <c r="S72">
        <v>28</v>
      </c>
      <c r="T72">
        <v>906.59999999999945</v>
      </c>
      <c r="U72">
        <v>964.875</v>
      </c>
      <c r="V72">
        <v>906.59999999999945</v>
      </c>
      <c r="W72">
        <v>1617.0672637144171</v>
      </c>
      <c r="X72">
        <v>2285.7499999999995</v>
      </c>
      <c r="Y72">
        <v>2425.1999999999998</v>
      </c>
    </row>
    <row r="73" spans="1:25" x14ac:dyDescent="0.35">
      <c r="A73">
        <v>29</v>
      </c>
      <c r="B73">
        <v>906.59999999999945</v>
      </c>
      <c r="C73">
        <v>1010.1999999999998</v>
      </c>
      <c r="D73">
        <v>919.54999999999927</v>
      </c>
      <c r="E73">
        <v>-880.40000000000055</v>
      </c>
      <c r="F73">
        <v>-446.57500000000073</v>
      </c>
      <c r="G73">
        <v>-1916.4000000000005</v>
      </c>
      <c r="J73">
        <v>29</v>
      </c>
      <c r="K73">
        <v>0</v>
      </c>
      <c r="L73">
        <v>0</v>
      </c>
      <c r="M73">
        <v>0</v>
      </c>
      <c r="N73">
        <v>236</v>
      </c>
      <c r="O73">
        <v>185</v>
      </c>
      <c r="P73">
        <v>345</v>
      </c>
      <c r="S73">
        <v>29</v>
      </c>
      <c r="T73">
        <v>906.59999999999945</v>
      </c>
      <c r="U73">
        <v>958.39999999999964</v>
      </c>
      <c r="V73">
        <v>906.59999999999945</v>
      </c>
      <c r="W73">
        <v>2287.1999999999989</v>
      </c>
      <c r="X73">
        <v>2183.9499999999994</v>
      </c>
      <c r="Y73">
        <v>267.4355789537999</v>
      </c>
    </row>
    <row r="74" spans="1:25" x14ac:dyDescent="0.35">
      <c r="A74">
        <v>30</v>
      </c>
      <c r="B74">
        <v>906.59999999999945</v>
      </c>
      <c r="C74">
        <v>971.34999999999945</v>
      </c>
      <c r="D74">
        <v>906.59999999999945</v>
      </c>
      <c r="E74">
        <v>-1087.6000000000004</v>
      </c>
      <c r="F74">
        <v>-362.40000000000055</v>
      </c>
      <c r="G74">
        <v>-2395.5500000000002</v>
      </c>
      <c r="J74">
        <v>30</v>
      </c>
      <c r="K74">
        <v>0</v>
      </c>
      <c r="L74">
        <v>0</v>
      </c>
      <c r="M74">
        <v>0</v>
      </c>
      <c r="N74">
        <v>217</v>
      </c>
      <c r="O74">
        <v>178</v>
      </c>
      <c r="P74">
        <v>331</v>
      </c>
      <c r="S74">
        <v>30</v>
      </c>
      <c r="T74">
        <v>906.59999999999945</v>
      </c>
      <c r="U74">
        <v>971.34999999999945</v>
      </c>
      <c r="V74">
        <v>906.60000000000036</v>
      </c>
      <c r="W74">
        <v>2253.1999999999998</v>
      </c>
      <c r="X74">
        <v>2286.8999999999992</v>
      </c>
      <c r="Y74">
        <v>2435.1999999999998</v>
      </c>
    </row>
    <row r="75" spans="1:25" x14ac:dyDescent="0.35">
      <c r="A75">
        <v>31</v>
      </c>
      <c r="B75">
        <v>906.59999999999945</v>
      </c>
      <c r="C75">
        <v>945.44999999999891</v>
      </c>
      <c r="D75">
        <v>906.60000000000036</v>
      </c>
      <c r="E75">
        <v>-1281.8500000000004</v>
      </c>
      <c r="F75">
        <v>-401.25</v>
      </c>
      <c r="G75">
        <v>-2512.1000000000004</v>
      </c>
      <c r="J75">
        <v>31</v>
      </c>
      <c r="K75">
        <v>0</v>
      </c>
      <c r="L75">
        <v>0</v>
      </c>
      <c r="M75">
        <v>0</v>
      </c>
      <c r="N75">
        <v>228</v>
      </c>
      <c r="O75">
        <v>144</v>
      </c>
      <c r="P75">
        <v>303</v>
      </c>
      <c r="S75">
        <v>31</v>
      </c>
      <c r="T75">
        <v>906.59999999999945</v>
      </c>
      <c r="U75">
        <v>1003.7249999999995</v>
      </c>
      <c r="V75">
        <v>906.59999999999945</v>
      </c>
      <c r="W75">
        <v>2207.1999999999989</v>
      </c>
      <c r="X75">
        <v>1831.4060473570203</v>
      </c>
      <c r="Y75">
        <v>1464.9491127278425</v>
      </c>
    </row>
    <row r="76" spans="1:25" x14ac:dyDescent="0.35">
      <c r="A76">
        <v>32</v>
      </c>
      <c r="B76">
        <v>906.59999999999945</v>
      </c>
      <c r="C76">
        <v>1003.7249999999995</v>
      </c>
      <c r="D76">
        <v>906.59999999999945</v>
      </c>
      <c r="E76">
        <v>-984</v>
      </c>
      <c r="F76">
        <v>-679.67500000000018</v>
      </c>
      <c r="G76">
        <v>-2434.4000000000005</v>
      </c>
      <c r="J76">
        <v>32</v>
      </c>
      <c r="K76">
        <v>0</v>
      </c>
      <c r="L76">
        <v>0</v>
      </c>
      <c r="M76">
        <v>0</v>
      </c>
      <c r="N76">
        <v>211</v>
      </c>
      <c r="O76">
        <v>172</v>
      </c>
      <c r="P76">
        <v>317</v>
      </c>
      <c r="S76">
        <v>32</v>
      </c>
      <c r="T76">
        <v>906.59999999999945</v>
      </c>
      <c r="U76">
        <v>1016.6749999999993</v>
      </c>
      <c r="V76">
        <v>906.59999999999945</v>
      </c>
      <c r="W76">
        <v>2245.1999999999998</v>
      </c>
      <c r="X76">
        <v>2230.9999999999995</v>
      </c>
      <c r="Y76">
        <v>2455.1999999999998</v>
      </c>
    </row>
    <row r="77" spans="1:25" x14ac:dyDescent="0.35">
      <c r="A77">
        <v>33</v>
      </c>
      <c r="B77">
        <v>906.59999999999945</v>
      </c>
      <c r="C77">
        <v>1016.6749999999993</v>
      </c>
      <c r="D77">
        <v>906.60000000000036</v>
      </c>
      <c r="E77">
        <v>-971.05000000000018</v>
      </c>
      <c r="F77">
        <v>-841.55000000000018</v>
      </c>
      <c r="G77">
        <v>-2654.55</v>
      </c>
      <c r="J77">
        <v>33</v>
      </c>
      <c r="K77">
        <v>0</v>
      </c>
      <c r="L77">
        <v>0</v>
      </c>
      <c r="M77">
        <v>0</v>
      </c>
      <c r="N77">
        <v>231</v>
      </c>
      <c r="O77">
        <v>179</v>
      </c>
      <c r="P77">
        <v>349</v>
      </c>
      <c r="S77">
        <v>33</v>
      </c>
      <c r="T77">
        <v>906.59999999999945</v>
      </c>
      <c r="U77">
        <v>990.77499999999873</v>
      </c>
      <c r="V77">
        <v>906.59999999999945</v>
      </c>
      <c r="W77">
        <v>2281.1999999999994</v>
      </c>
      <c r="X77">
        <v>2226.8999999999992</v>
      </c>
      <c r="Y77">
        <v>-1615.7058646993082</v>
      </c>
    </row>
    <row r="78" spans="1:25" x14ac:dyDescent="0.35">
      <c r="A78">
        <v>34</v>
      </c>
      <c r="B78">
        <v>906.59999999999945</v>
      </c>
      <c r="C78">
        <v>951.92499999999927</v>
      </c>
      <c r="D78">
        <v>906.60000000000036</v>
      </c>
      <c r="E78">
        <v>-1450.2000000000007</v>
      </c>
      <c r="F78">
        <v>-543.70000000000073</v>
      </c>
      <c r="G78">
        <v>-2486.1999999999998</v>
      </c>
      <c r="J78">
        <v>34</v>
      </c>
      <c r="K78">
        <v>0</v>
      </c>
      <c r="L78">
        <v>0</v>
      </c>
      <c r="M78">
        <v>0</v>
      </c>
      <c r="N78">
        <v>208</v>
      </c>
      <c r="O78">
        <v>182</v>
      </c>
      <c r="P78">
        <v>333</v>
      </c>
      <c r="S78">
        <v>34</v>
      </c>
      <c r="T78">
        <v>906.59999999999945</v>
      </c>
      <c r="U78">
        <v>932.5</v>
      </c>
      <c r="V78">
        <v>906.59999999999945</v>
      </c>
      <c r="W78">
        <v>2113.3371929676387</v>
      </c>
      <c r="X78">
        <v>2190.9999999999995</v>
      </c>
      <c r="Y78">
        <v>2467.1999999999998</v>
      </c>
    </row>
    <row r="79" spans="1:25" x14ac:dyDescent="0.35">
      <c r="A79">
        <v>35</v>
      </c>
      <c r="B79">
        <v>906.59999999999945</v>
      </c>
      <c r="C79">
        <v>977.82499999999891</v>
      </c>
      <c r="D79">
        <v>906.59999999999945</v>
      </c>
      <c r="E79">
        <v>-945.15000000000055</v>
      </c>
      <c r="F79">
        <v>-757.375</v>
      </c>
      <c r="G79">
        <v>-2395.5500000000002</v>
      </c>
      <c r="J79">
        <v>35</v>
      </c>
      <c r="K79">
        <v>0</v>
      </c>
      <c r="L79">
        <v>0</v>
      </c>
      <c r="M79">
        <v>0</v>
      </c>
      <c r="N79">
        <v>211</v>
      </c>
      <c r="O79">
        <v>184</v>
      </c>
      <c r="P79">
        <v>357</v>
      </c>
      <c r="S79">
        <v>35</v>
      </c>
      <c r="T79">
        <v>906.59999999999945</v>
      </c>
      <c r="U79">
        <v>990.77499999999873</v>
      </c>
      <c r="V79">
        <v>906.59999999999945</v>
      </c>
      <c r="W79">
        <v>2247.1999999999989</v>
      </c>
      <c r="X79">
        <v>2233.4749999999995</v>
      </c>
      <c r="Y79">
        <v>1260.3414762810844</v>
      </c>
    </row>
    <row r="80" spans="1:25" x14ac:dyDescent="0.35">
      <c r="A80">
        <v>36</v>
      </c>
      <c r="B80">
        <v>906.59999999999945</v>
      </c>
      <c r="C80">
        <v>958.39999999999964</v>
      </c>
      <c r="D80">
        <v>906.59999999999945</v>
      </c>
      <c r="E80">
        <v>-971.05000000000018</v>
      </c>
      <c r="F80">
        <v>-524.27499999999964</v>
      </c>
      <c r="G80">
        <v>-2214.25</v>
      </c>
      <c r="J80">
        <v>36</v>
      </c>
      <c r="K80">
        <v>0</v>
      </c>
      <c r="L80">
        <v>0</v>
      </c>
      <c r="M80">
        <v>0</v>
      </c>
      <c r="N80">
        <v>234</v>
      </c>
      <c r="O80">
        <v>187</v>
      </c>
      <c r="P80">
        <v>354</v>
      </c>
      <c r="S80">
        <v>36</v>
      </c>
      <c r="T80">
        <v>906.59999999999945</v>
      </c>
      <c r="U80">
        <v>977.82499999999982</v>
      </c>
      <c r="V80">
        <v>906.59999999999945</v>
      </c>
      <c r="W80">
        <v>2245.1999999999998</v>
      </c>
      <c r="X80">
        <v>2251.3749999999995</v>
      </c>
      <c r="Y80">
        <v>195.80268860312117</v>
      </c>
    </row>
    <row r="81" spans="1:25" x14ac:dyDescent="0.35">
      <c r="A81">
        <v>37</v>
      </c>
      <c r="B81">
        <v>906.59999999999945</v>
      </c>
      <c r="C81">
        <v>1029.625</v>
      </c>
      <c r="D81">
        <v>906.60000000000036</v>
      </c>
      <c r="E81">
        <v>-1294.8000000000002</v>
      </c>
      <c r="F81">
        <v>-537.22500000000036</v>
      </c>
      <c r="G81">
        <v>-2343.75</v>
      </c>
      <c r="J81">
        <v>37</v>
      </c>
      <c r="K81">
        <v>0</v>
      </c>
      <c r="L81">
        <v>0</v>
      </c>
      <c r="M81">
        <v>0</v>
      </c>
      <c r="N81">
        <v>226</v>
      </c>
      <c r="O81">
        <v>198</v>
      </c>
      <c r="P81">
        <v>325</v>
      </c>
      <c r="S81">
        <v>37</v>
      </c>
      <c r="T81">
        <v>906.59999999999945</v>
      </c>
      <c r="U81">
        <v>977.82499999999982</v>
      </c>
      <c r="V81">
        <v>906.59999999999945</v>
      </c>
      <c r="W81">
        <v>-815.65000000000055</v>
      </c>
      <c r="X81">
        <v>2223.5749999999994</v>
      </c>
      <c r="Y81">
        <v>2423.1999999999998</v>
      </c>
    </row>
    <row r="82" spans="1:25" x14ac:dyDescent="0.35">
      <c r="A82">
        <v>38</v>
      </c>
      <c r="B82">
        <v>906.59999999999945</v>
      </c>
      <c r="C82">
        <v>971.34999999999945</v>
      </c>
      <c r="D82">
        <v>906.60000000000036</v>
      </c>
      <c r="E82">
        <v>-1061.7000000000007</v>
      </c>
      <c r="F82">
        <v>-323.55000000000018</v>
      </c>
      <c r="G82">
        <v>-2304.9000000000005</v>
      </c>
      <c r="J82">
        <v>38</v>
      </c>
      <c r="K82">
        <v>0</v>
      </c>
      <c r="L82">
        <v>0</v>
      </c>
      <c r="M82">
        <v>0</v>
      </c>
      <c r="N82">
        <v>220</v>
      </c>
      <c r="O82">
        <v>189</v>
      </c>
      <c r="P82">
        <v>323</v>
      </c>
      <c r="S82">
        <v>38</v>
      </c>
      <c r="T82">
        <v>906.59999999999945</v>
      </c>
      <c r="U82">
        <v>984.29999999999927</v>
      </c>
      <c r="V82">
        <v>906.60000000000036</v>
      </c>
      <c r="W82">
        <v>2291.1999999999994</v>
      </c>
      <c r="X82">
        <v>2245.8499999999995</v>
      </c>
      <c r="Y82">
        <v>857.55797489563292</v>
      </c>
    </row>
    <row r="83" spans="1:25" x14ac:dyDescent="0.35">
      <c r="A83">
        <v>39</v>
      </c>
      <c r="B83">
        <v>906.59999999999945</v>
      </c>
      <c r="C83">
        <v>971.34999999999945</v>
      </c>
      <c r="D83">
        <v>906.59999999999945</v>
      </c>
      <c r="E83">
        <v>-958.10000000000036</v>
      </c>
      <c r="F83">
        <v>-608.45000000000073</v>
      </c>
      <c r="G83">
        <v>-2447.3500000000004</v>
      </c>
      <c r="J83">
        <v>39</v>
      </c>
      <c r="K83">
        <v>0</v>
      </c>
      <c r="L83">
        <v>0</v>
      </c>
      <c r="M83">
        <v>0</v>
      </c>
      <c r="N83">
        <v>229</v>
      </c>
      <c r="O83">
        <v>174</v>
      </c>
      <c r="P83">
        <v>323</v>
      </c>
      <c r="S83">
        <v>39</v>
      </c>
      <c r="T83">
        <v>906.59999999999945</v>
      </c>
      <c r="U83">
        <v>1023.1499999999996</v>
      </c>
      <c r="V83">
        <v>906.60000000000036</v>
      </c>
      <c r="W83">
        <v>-254.35070828849871</v>
      </c>
      <c r="X83">
        <v>2308.4249999999993</v>
      </c>
      <c r="Y83">
        <v>2471.1999999999998</v>
      </c>
    </row>
    <row r="84" spans="1:25" x14ac:dyDescent="0.35">
      <c r="A84">
        <v>40</v>
      </c>
      <c r="B84">
        <v>906.59999999999945</v>
      </c>
      <c r="C84">
        <v>964.87499999999909</v>
      </c>
      <c r="D84">
        <v>906.60000000000036</v>
      </c>
      <c r="E84">
        <v>-1035.8000000000002</v>
      </c>
      <c r="F84">
        <v>-563.125</v>
      </c>
      <c r="G84">
        <v>-2253.1000000000004</v>
      </c>
      <c r="J84">
        <v>40</v>
      </c>
      <c r="K84">
        <v>0</v>
      </c>
      <c r="L84">
        <v>0</v>
      </c>
      <c r="M84">
        <v>0</v>
      </c>
      <c r="N84">
        <v>211</v>
      </c>
      <c r="O84">
        <v>178</v>
      </c>
      <c r="P84">
        <v>341</v>
      </c>
      <c r="S84">
        <v>40</v>
      </c>
      <c r="T84">
        <v>906.59999999999945</v>
      </c>
      <c r="U84">
        <v>984.29999999999927</v>
      </c>
      <c r="V84">
        <v>906.59999999999945</v>
      </c>
      <c r="W84">
        <v>2209.1999999999994</v>
      </c>
      <c r="X84">
        <v>2211.4750000000004</v>
      </c>
      <c r="Y84">
        <v>670.58304035245965</v>
      </c>
    </row>
    <row r="85" spans="1:25" x14ac:dyDescent="0.35">
      <c r="A85">
        <v>41</v>
      </c>
      <c r="B85">
        <v>906.59999999999945</v>
      </c>
      <c r="C85">
        <v>984.29999999999927</v>
      </c>
      <c r="D85">
        <v>906.59999999999945</v>
      </c>
      <c r="E85">
        <v>-1139.4000000000005</v>
      </c>
      <c r="F85">
        <v>-258.80000000000018</v>
      </c>
      <c r="G85">
        <v>-2486.1999999999998</v>
      </c>
      <c r="J85">
        <v>41</v>
      </c>
      <c r="K85">
        <v>0</v>
      </c>
      <c r="L85">
        <v>0</v>
      </c>
      <c r="M85">
        <v>0</v>
      </c>
      <c r="N85">
        <v>229</v>
      </c>
      <c r="O85">
        <v>180</v>
      </c>
      <c r="P85">
        <v>333</v>
      </c>
      <c r="S85">
        <v>41</v>
      </c>
      <c r="T85">
        <v>906.59999999999945</v>
      </c>
      <c r="U85">
        <v>977.82499999999891</v>
      </c>
      <c r="V85">
        <v>906.59999999999945</v>
      </c>
      <c r="W85">
        <v>2293.1999999999998</v>
      </c>
      <c r="X85">
        <v>-388.30000000000018</v>
      </c>
      <c r="Y85">
        <v>2461.1999999999998</v>
      </c>
    </row>
    <row r="86" spans="1:25" x14ac:dyDescent="0.35">
      <c r="A86">
        <v>42</v>
      </c>
      <c r="B86">
        <v>906.59999999999945</v>
      </c>
      <c r="C86">
        <v>964.875</v>
      </c>
      <c r="D86">
        <v>906.59999999999945</v>
      </c>
      <c r="E86">
        <v>-971.05000000000018</v>
      </c>
      <c r="F86">
        <v>-498.375</v>
      </c>
      <c r="G86">
        <v>-2253.1000000000004</v>
      </c>
      <c r="J86">
        <v>42</v>
      </c>
      <c r="K86">
        <v>0</v>
      </c>
      <c r="L86">
        <v>0</v>
      </c>
      <c r="M86">
        <v>0</v>
      </c>
      <c r="N86">
        <v>252</v>
      </c>
      <c r="O86">
        <v>195</v>
      </c>
      <c r="P86">
        <v>328</v>
      </c>
      <c r="S86">
        <v>42</v>
      </c>
      <c r="T86">
        <v>906.59999999999945</v>
      </c>
      <c r="U86">
        <v>990.77499999999873</v>
      </c>
      <c r="V86">
        <v>906.59999999999945</v>
      </c>
      <c r="W86">
        <v>2091.5642867406623</v>
      </c>
      <c r="X86">
        <v>2258.4249999999997</v>
      </c>
      <c r="Y86">
        <v>1187.5895196417987</v>
      </c>
    </row>
    <row r="87" spans="1:25" x14ac:dyDescent="0.35">
      <c r="A87">
        <v>43</v>
      </c>
      <c r="B87">
        <v>906.59999999999945</v>
      </c>
      <c r="C87">
        <v>964.875</v>
      </c>
      <c r="D87">
        <v>906.59999999999945</v>
      </c>
      <c r="E87">
        <v>-1372.5</v>
      </c>
      <c r="F87">
        <v>-427.15000000000055</v>
      </c>
      <c r="G87">
        <v>-2266.0500000000002</v>
      </c>
      <c r="J87">
        <v>43</v>
      </c>
      <c r="K87">
        <v>0</v>
      </c>
      <c r="L87">
        <v>0</v>
      </c>
      <c r="M87">
        <v>0</v>
      </c>
      <c r="N87">
        <v>238</v>
      </c>
      <c r="O87">
        <v>180</v>
      </c>
      <c r="P87">
        <v>321</v>
      </c>
      <c r="S87">
        <v>43</v>
      </c>
      <c r="T87">
        <v>906.59999999999945</v>
      </c>
      <c r="U87">
        <v>977.82499999999982</v>
      </c>
      <c r="V87">
        <v>906.59999999999945</v>
      </c>
      <c r="W87">
        <v>2251.1999999999994</v>
      </c>
      <c r="X87">
        <v>-381.82500000000073</v>
      </c>
      <c r="Y87">
        <v>2445.1999999999998</v>
      </c>
    </row>
    <row r="88" spans="1:25" x14ac:dyDescent="0.35">
      <c r="A88">
        <v>44</v>
      </c>
      <c r="B88">
        <v>906.59999999999945</v>
      </c>
      <c r="C88">
        <v>964.875</v>
      </c>
      <c r="D88">
        <v>906.59999999999945</v>
      </c>
      <c r="E88">
        <v>-867.45000000000073</v>
      </c>
      <c r="F88">
        <v>-407.72500000000036</v>
      </c>
      <c r="G88">
        <v>-2538</v>
      </c>
      <c r="J88">
        <v>44</v>
      </c>
      <c r="K88">
        <v>0</v>
      </c>
      <c r="L88">
        <v>0</v>
      </c>
      <c r="M88">
        <v>0</v>
      </c>
      <c r="N88">
        <v>222</v>
      </c>
      <c r="O88">
        <v>167</v>
      </c>
      <c r="P88">
        <v>332</v>
      </c>
      <c r="S88">
        <v>44</v>
      </c>
      <c r="T88">
        <v>906.59999999999945</v>
      </c>
      <c r="U88">
        <v>977.82499999999982</v>
      </c>
      <c r="V88">
        <v>906.59999999999945</v>
      </c>
      <c r="W88">
        <v>2231.1999999999994</v>
      </c>
      <c r="X88">
        <v>1330.6219193994073</v>
      </c>
      <c r="Y88">
        <v>2487.1999999999998</v>
      </c>
    </row>
    <row r="89" spans="1:25" x14ac:dyDescent="0.35">
      <c r="A89">
        <v>45</v>
      </c>
      <c r="B89">
        <v>906.59999999999945</v>
      </c>
      <c r="C89">
        <v>1016.6750000000002</v>
      </c>
      <c r="D89">
        <v>906.59999999999945</v>
      </c>
      <c r="E89">
        <v>-1126.4500000000007</v>
      </c>
      <c r="F89">
        <v>-478.95000000000073</v>
      </c>
      <c r="G89">
        <v>-2343.75</v>
      </c>
      <c r="J89">
        <v>45</v>
      </c>
      <c r="K89">
        <v>0</v>
      </c>
      <c r="L89">
        <v>0</v>
      </c>
      <c r="M89">
        <v>0</v>
      </c>
      <c r="N89">
        <v>221</v>
      </c>
      <c r="O89">
        <v>194</v>
      </c>
      <c r="P89">
        <v>293</v>
      </c>
      <c r="S89">
        <v>45</v>
      </c>
      <c r="T89">
        <v>906.59999999999945</v>
      </c>
      <c r="U89">
        <v>958.39999999999873</v>
      </c>
      <c r="V89">
        <v>919.54999999999927</v>
      </c>
      <c r="W89">
        <v>-1255.9500000000007</v>
      </c>
      <c r="X89">
        <v>2216.5249999999992</v>
      </c>
      <c r="Y89">
        <v>2463.1999999999998</v>
      </c>
    </row>
    <row r="90" spans="1:25" x14ac:dyDescent="0.35">
      <c r="A90">
        <v>46</v>
      </c>
      <c r="B90">
        <v>906.59999999999945</v>
      </c>
      <c r="C90">
        <v>958.39999999999964</v>
      </c>
      <c r="D90">
        <v>906.60000000000036</v>
      </c>
      <c r="E90">
        <v>-1165.3000000000002</v>
      </c>
      <c r="F90">
        <v>-194.05000000000018</v>
      </c>
      <c r="G90">
        <v>-2058.8500000000004</v>
      </c>
      <c r="J90">
        <v>46</v>
      </c>
      <c r="K90">
        <v>0</v>
      </c>
      <c r="L90">
        <v>0</v>
      </c>
      <c r="M90">
        <v>0</v>
      </c>
      <c r="N90">
        <v>215</v>
      </c>
      <c r="O90">
        <v>193</v>
      </c>
      <c r="P90">
        <v>313</v>
      </c>
      <c r="S90">
        <v>46</v>
      </c>
      <c r="T90">
        <v>906.59999999999945</v>
      </c>
      <c r="U90">
        <v>997.25</v>
      </c>
      <c r="V90">
        <v>906.60000000000036</v>
      </c>
      <c r="W90">
        <v>2259.1999999999994</v>
      </c>
      <c r="X90">
        <v>2258.4249999999997</v>
      </c>
      <c r="Y90">
        <v>2451.1999999999998</v>
      </c>
    </row>
    <row r="91" spans="1:25" x14ac:dyDescent="0.35">
      <c r="A91">
        <v>47</v>
      </c>
      <c r="B91">
        <v>906.59999999999945</v>
      </c>
      <c r="C91">
        <v>958.39999999999964</v>
      </c>
      <c r="D91">
        <v>906.60000000000036</v>
      </c>
      <c r="E91">
        <v>-1191.2000000000007</v>
      </c>
      <c r="F91">
        <v>-504.85000000000036</v>
      </c>
      <c r="G91">
        <v>-2253.1000000000004</v>
      </c>
      <c r="J91">
        <v>47</v>
      </c>
      <c r="K91">
        <v>0</v>
      </c>
      <c r="L91">
        <v>0</v>
      </c>
      <c r="M91">
        <v>0</v>
      </c>
      <c r="N91">
        <v>211</v>
      </c>
      <c r="O91">
        <v>165</v>
      </c>
      <c r="P91">
        <v>312</v>
      </c>
      <c r="S91">
        <v>47</v>
      </c>
      <c r="T91">
        <v>906.59999999999945</v>
      </c>
      <c r="U91">
        <v>977.82499999999982</v>
      </c>
      <c r="V91">
        <v>906.60000000000036</v>
      </c>
      <c r="W91">
        <v>2203.1999999999998</v>
      </c>
      <c r="X91">
        <v>2257.375</v>
      </c>
      <c r="Y91">
        <v>2405.1999999999998</v>
      </c>
    </row>
    <row r="92" spans="1:25" x14ac:dyDescent="0.35">
      <c r="A92">
        <v>48</v>
      </c>
      <c r="B92">
        <v>906.59999999999945</v>
      </c>
      <c r="C92">
        <v>990.77499999999873</v>
      </c>
      <c r="D92">
        <v>906.60000000000036</v>
      </c>
      <c r="E92">
        <v>-932.20000000000073</v>
      </c>
      <c r="F92">
        <v>-627.875</v>
      </c>
      <c r="G92">
        <v>-2123.6000000000004</v>
      </c>
      <c r="J92">
        <v>48</v>
      </c>
      <c r="K92">
        <v>0</v>
      </c>
      <c r="L92">
        <v>0</v>
      </c>
      <c r="M92">
        <v>0</v>
      </c>
      <c r="N92">
        <v>222</v>
      </c>
      <c r="O92">
        <v>182</v>
      </c>
      <c r="P92">
        <v>325</v>
      </c>
      <c r="S92">
        <v>48</v>
      </c>
      <c r="T92">
        <v>906.59999999999945</v>
      </c>
      <c r="U92">
        <v>1003.7250000000004</v>
      </c>
      <c r="V92">
        <v>906.59999999999945</v>
      </c>
      <c r="W92">
        <v>2245.1999999999998</v>
      </c>
      <c r="X92">
        <v>2248.8999999999992</v>
      </c>
      <c r="Y92">
        <v>2431.1999999999998</v>
      </c>
    </row>
    <row r="93" spans="1:25" x14ac:dyDescent="0.35">
      <c r="A93">
        <v>49</v>
      </c>
      <c r="B93">
        <v>906.59999999999945</v>
      </c>
      <c r="C93">
        <v>984.29999999999927</v>
      </c>
      <c r="D93">
        <v>906.59999999999945</v>
      </c>
      <c r="E93">
        <v>-932.20000000000073</v>
      </c>
      <c r="F93">
        <v>-310.60000000000036</v>
      </c>
      <c r="G93">
        <v>-2097.7000000000007</v>
      </c>
      <c r="J93">
        <v>49</v>
      </c>
      <c r="K93">
        <v>0</v>
      </c>
      <c r="L93">
        <v>0</v>
      </c>
      <c r="M93">
        <v>0</v>
      </c>
      <c r="N93">
        <v>234</v>
      </c>
      <c r="O93">
        <v>232</v>
      </c>
      <c r="P93">
        <v>328</v>
      </c>
      <c r="S93">
        <v>49</v>
      </c>
      <c r="T93">
        <v>906.59999999999945</v>
      </c>
      <c r="U93">
        <v>964.875</v>
      </c>
      <c r="V93">
        <v>906.59999999999945</v>
      </c>
      <c r="W93">
        <v>2249.1999999999994</v>
      </c>
      <c r="X93">
        <v>1698.3377936014413</v>
      </c>
      <c r="Y93">
        <v>483.51237737380052</v>
      </c>
    </row>
    <row r="94" spans="1:25" x14ac:dyDescent="0.35">
      <c r="A94">
        <v>50</v>
      </c>
      <c r="B94">
        <v>906.59999999999945</v>
      </c>
      <c r="C94">
        <v>997.25</v>
      </c>
      <c r="D94">
        <v>906.60000000000036</v>
      </c>
      <c r="E94">
        <v>-893.35000000000036</v>
      </c>
      <c r="F94">
        <v>-640.82500000000073</v>
      </c>
      <c r="G94">
        <v>-2214.25</v>
      </c>
      <c r="J94">
        <v>50</v>
      </c>
      <c r="K94">
        <v>0</v>
      </c>
      <c r="L94">
        <v>0</v>
      </c>
      <c r="M94">
        <v>0</v>
      </c>
      <c r="N94">
        <v>221</v>
      </c>
      <c r="O94">
        <v>173</v>
      </c>
      <c r="P94">
        <v>308</v>
      </c>
      <c r="S94">
        <v>50</v>
      </c>
      <c r="T94">
        <v>906.59999999999945</v>
      </c>
      <c r="U94">
        <v>1003.7249999999985</v>
      </c>
      <c r="V94">
        <v>906.59999999999945</v>
      </c>
      <c r="W94">
        <v>2251.1394969163753</v>
      </c>
      <c r="X94">
        <v>2217.9499999999998</v>
      </c>
      <c r="Y94">
        <v>2453.1999999999998</v>
      </c>
    </row>
    <row r="95" spans="1:25" x14ac:dyDescent="0.35">
      <c r="A95">
        <v>51</v>
      </c>
      <c r="B95">
        <v>906.59999999999945</v>
      </c>
      <c r="C95">
        <v>990.77499999999964</v>
      </c>
      <c r="D95">
        <v>906.60000000000036</v>
      </c>
      <c r="E95">
        <v>-1178.25</v>
      </c>
      <c r="F95">
        <v>-420.67500000000109</v>
      </c>
      <c r="G95">
        <v>-2460.3000000000002</v>
      </c>
      <c r="J95">
        <v>51</v>
      </c>
      <c r="K95">
        <v>0</v>
      </c>
      <c r="L95">
        <v>0</v>
      </c>
      <c r="M95">
        <v>0</v>
      </c>
      <c r="N95">
        <v>229</v>
      </c>
      <c r="O95">
        <v>177</v>
      </c>
      <c r="P95">
        <v>324</v>
      </c>
      <c r="S95">
        <v>51</v>
      </c>
      <c r="T95">
        <v>906.59999999999945</v>
      </c>
      <c r="U95">
        <v>964.875</v>
      </c>
      <c r="V95">
        <v>906.59999999999945</v>
      </c>
      <c r="W95">
        <v>2271.1999999999994</v>
      </c>
      <c r="X95">
        <v>2207.4749999999999</v>
      </c>
      <c r="Y95">
        <v>2348.0854482025052</v>
      </c>
    </row>
    <row r="96" spans="1:25" x14ac:dyDescent="0.35">
      <c r="A96">
        <v>52</v>
      </c>
      <c r="B96">
        <v>906.59999999999945</v>
      </c>
      <c r="C96">
        <v>958.39999999999964</v>
      </c>
      <c r="D96">
        <v>906.59999999999945</v>
      </c>
      <c r="E96">
        <v>-1294.8000000000002</v>
      </c>
      <c r="F96">
        <v>-576.07500000000073</v>
      </c>
      <c r="G96">
        <v>-2797</v>
      </c>
      <c r="J96">
        <v>52</v>
      </c>
      <c r="K96">
        <v>0</v>
      </c>
      <c r="L96">
        <v>0</v>
      </c>
      <c r="M96">
        <v>0</v>
      </c>
      <c r="N96">
        <v>223</v>
      </c>
      <c r="O96">
        <v>183</v>
      </c>
      <c r="P96">
        <v>325</v>
      </c>
      <c r="S96">
        <v>52</v>
      </c>
      <c r="T96">
        <v>906.59999999999945</v>
      </c>
      <c r="U96">
        <v>964.875</v>
      </c>
      <c r="V96">
        <v>906.59999999999945</v>
      </c>
      <c r="W96">
        <v>2261.1999999999994</v>
      </c>
      <c r="X96">
        <v>2212.9999999999995</v>
      </c>
      <c r="Y96">
        <v>435.86903090129954</v>
      </c>
    </row>
    <row r="97" spans="1:25" x14ac:dyDescent="0.35">
      <c r="A97">
        <v>53</v>
      </c>
      <c r="B97">
        <v>906.59999999999945</v>
      </c>
      <c r="C97">
        <v>945.44999999999982</v>
      </c>
      <c r="D97">
        <v>906.60000000000036</v>
      </c>
      <c r="E97">
        <v>-1320.7000000000007</v>
      </c>
      <c r="F97">
        <v>-517.80000000000018</v>
      </c>
      <c r="G97">
        <v>-2084.75</v>
      </c>
      <c r="J97">
        <v>53</v>
      </c>
      <c r="K97">
        <v>0</v>
      </c>
      <c r="L97">
        <v>0</v>
      </c>
      <c r="M97">
        <v>0</v>
      </c>
      <c r="N97">
        <v>215</v>
      </c>
      <c r="O97">
        <v>176</v>
      </c>
      <c r="P97">
        <v>319</v>
      </c>
      <c r="S97">
        <v>53</v>
      </c>
      <c r="T97">
        <v>906.59999999999945</v>
      </c>
      <c r="U97">
        <v>997.25</v>
      </c>
      <c r="V97">
        <v>906.60000000000036</v>
      </c>
      <c r="W97">
        <v>1005.9929994422014</v>
      </c>
      <c r="X97">
        <v>2212.5250000000001</v>
      </c>
      <c r="Y97">
        <v>1632.0453193536437</v>
      </c>
    </row>
    <row r="98" spans="1:25" x14ac:dyDescent="0.35">
      <c r="A98">
        <v>54</v>
      </c>
      <c r="B98">
        <v>906.59999999999945</v>
      </c>
      <c r="C98">
        <v>951.92499999999927</v>
      </c>
      <c r="D98">
        <v>906.59999999999945</v>
      </c>
      <c r="E98">
        <v>-906.30000000000018</v>
      </c>
      <c r="F98">
        <v>-440.10000000000036</v>
      </c>
      <c r="G98">
        <v>-2149.5</v>
      </c>
      <c r="J98">
        <v>54</v>
      </c>
      <c r="K98">
        <v>0</v>
      </c>
      <c r="L98">
        <v>0</v>
      </c>
      <c r="M98">
        <v>0</v>
      </c>
      <c r="N98">
        <v>228</v>
      </c>
      <c r="O98">
        <v>175</v>
      </c>
      <c r="P98">
        <v>335</v>
      </c>
      <c r="S98">
        <v>54</v>
      </c>
      <c r="T98">
        <v>906.59999999999945</v>
      </c>
      <c r="U98">
        <v>938.97499999999945</v>
      </c>
      <c r="V98">
        <v>906.60000000000036</v>
      </c>
      <c r="W98">
        <v>395.13668988161589</v>
      </c>
      <c r="X98">
        <v>2311.7499999999991</v>
      </c>
      <c r="Y98">
        <v>2441.1999999999998</v>
      </c>
    </row>
    <row r="99" spans="1:25" x14ac:dyDescent="0.35">
      <c r="A99">
        <v>55</v>
      </c>
      <c r="B99">
        <v>906.59999999999945</v>
      </c>
      <c r="C99">
        <v>977.82499999999891</v>
      </c>
      <c r="D99">
        <v>906.59999999999945</v>
      </c>
      <c r="E99">
        <v>-1126.4500000000007</v>
      </c>
      <c r="F99">
        <v>-893.35000000000036</v>
      </c>
      <c r="G99">
        <v>-2356.6999999999998</v>
      </c>
      <c r="J99">
        <v>55</v>
      </c>
      <c r="K99">
        <v>0</v>
      </c>
      <c r="L99">
        <v>0</v>
      </c>
      <c r="M99">
        <v>0</v>
      </c>
      <c r="N99">
        <v>211</v>
      </c>
      <c r="O99">
        <v>157</v>
      </c>
      <c r="P99">
        <v>330</v>
      </c>
      <c r="S99">
        <v>55</v>
      </c>
      <c r="T99">
        <v>906.59999999999945</v>
      </c>
      <c r="U99">
        <v>958.39999999999964</v>
      </c>
      <c r="V99">
        <v>906.59999999999945</v>
      </c>
      <c r="W99">
        <v>2225.1999999999998</v>
      </c>
      <c r="X99">
        <v>2244.4249999999993</v>
      </c>
      <c r="Y99">
        <v>2455.1999999999998</v>
      </c>
    </row>
    <row r="100" spans="1:25" x14ac:dyDescent="0.35">
      <c r="A100">
        <v>56</v>
      </c>
      <c r="B100">
        <v>906.59999999999945</v>
      </c>
      <c r="C100">
        <v>990.77499999999873</v>
      </c>
      <c r="D100">
        <v>906.59999999999945</v>
      </c>
      <c r="E100">
        <v>-1009.9000000000005</v>
      </c>
      <c r="F100">
        <v>-524.27499999999964</v>
      </c>
      <c r="G100">
        <v>-2149.5</v>
      </c>
      <c r="J100">
        <v>56</v>
      </c>
      <c r="K100">
        <v>0</v>
      </c>
      <c r="L100">
        <v>0</v>
      </c>
      <c r="M100">
        <v>0</v>
      </c>
      <c r="N100">
        <v>222</v>
      </c>
      <c r="O100">
        <v>200</v>
      </c>
      <c r="P100">
        <v>296</v>
      </c>
      <c r="S100">
        <v>56</v>
      </c>
      <c r="T100">
        <v>906.59999999999945</v>
      </c>
      <c r="U100">
        <v>1016.6749999999993</v>
      </c>
      <c r="V100">
        <v>906.59999999999945</v>
      </c>
      <c r="W100">
        <v>1798.4882429396243</v>
      </c>
      <c r="X100">
        <v>2226.8999999999992</v>
      </c>
      <c r="Y100">
        <v>2451.1999999999998</v>
      </c>
    </row>
    <row r="101" spans="1:25" x14ac:dyDescent="0.35">
      <c r="A101">
        <v>57</v>
      </c>
      <c r="B101">
        <v>906.59999999999945</v>
      </c>
      <c r="C101">
        <v>945.44999999999891</v>
      </c>
      <c r="D101">
        <v>906.59999999999945</v>
      </c>
      <c r="E101">
        <v>-1204.1500000000005</v>
      </c>
      <c r="F101">
        <v>-355.92500000000109</v>
      </c>
      <c r="G101">
        <v>-2304.9000000000005</v>
      </c>
      <c r="J101">
        <v>57</v>
      </c>
      <c r="K101">
        <v>0</v>
      </c>
      <c r="L101">
        <v>0</v>
      </c>
      <c r="M101">
        <v>0</v>
      </c>
      <c r="N101">
        <v>217</v>
      </c>
      <c r="O101">
        <v>174</v>
      </c>
      <c r="P101">
        <v>349</v>
      </c>
      <c r="S101">
        <v>57</v>
      </c>
      <c r="T101">
        <v>906.59999999999945</v>
      </c>
      <c r="U101">
        <v>945.44999999999982</v>
      </c>
      <c r="V101">
        <v>906.59999999999945</v>
      </c>
      <c r="W101">
        <v>1231.4068902129911</v>
      </c>
      <c r="X101">
        <v>2188.0499999999988</v>
      </c>
      <c r="Y101">
        <v>2441.1999999999998</v>
      </c>
    </row>
    <row r="102" spans="1:25" x14ac:dyDescent="0.35">
      <c r="A102">
        <v>58</v>
      </c>
      <c r="B102">
        <v>906.59999999999945</v>
      </c>
      <c r="C102">
        <v>984.29999999999927</v>
      </c>
      <c r="D102">
        <v>906.59999999999945</v>
      </c>
      <c r="E102">
        <v>-893.35000000000036</v>
      </c>
      <c r="F102">
        <v>-232.90000000000055</v>
      </c>
      <c r="G102">
        <v>-2835.8500000000004</v>
      </c>
      <c r="J102">
        <v>58</v>
      </c>
      <c r="K102">
        <v>0</v>
      </c>
      <c r="L102">
        <v>0</v>
      </c>
      <c r="M102">
        <v>0</v>
      </c>
      <c r="N102">
        <v>242</v>
      </c>
      <c r="O102">
        <v>192</v>
      </c>
      <c r="P102">
        <v>316</v>
      </c>
      <c r="S102">
        <v>58</v>
      </c>
      <c r="T102">
        <v>906.59999999999945</v>
      </c>
      <c r="U102">
        <v>945.44999999999982</v>
      </c>
      <c r="V102">
        <v>906.60000000000036</v>
      </c>
      <c r="W102">
        <v>2247.1999999999989</v>
      </c>
      <c r="X102">
        <v>423.02222127025243</v>
      </c>
      <c r="Y102">
        <v>2451.1999999999998</v>
      </c>
    </row>
    <row r="103" spans="1:25" x14ac:dyDescent="0.35">
      <c r="A103">
        <v>59</v>
      </c>
      <c r="B103">
        <v>906.59999999999945</v>
      </c>
      <c r="C103">
        <v>971.34999999999945</v>
      </c>
      <c r="D103">
        <v>906.60000000000036</v>
      </c>
      <c r="E103">
        <v>-763.85000000000036</v>
      </c>
      <c r="F103">
        <v>-906.30000000000109</v>
      </c>
      <c r="G103">
        <v>-2045.9000000000005</v>
      </c>
      <c r="J103">
        <v>59</v>
      </c>
      <c r="K103">
        <v>0</v>
      </c>
      <c r="L103">
        <v>0</v>
      </c>
      <c r="M103">
        <v>0</v>
      </c>
      <c r="N103">
        <v>234</v>
      </c>
      <c r="O103">
        <v>190</v>
      </c>
      <c r="P103">
        <v>324</v>
      </c>
      <c r="S103">
        <v>59</v>
      </c>
      <c r="T103">
        <v>906.59999999999945</v>
      </c>
      <c r="U103">
        <v>984.29999999999927</v>
      </c>
      <c r="V103">
        <v>906.60000000000036</v>
      </c>
      <c r="W103">
        <v>2269.1999999999994</v>
      </c>
      <c r="X103">
        <v>2246.8999999999992</v>
      </c>
      <c r="Y103">
        <v>2473.1999999999998</v>
      </c>
    </row>
    <row r="104" spans="1:25" x14ac:dyDescent="0.35">
      <c r="A104">
        <v>60</v>
      </c>
      <c r="B104">
        <v>906.59999999999945</v>
      </c>
      <c r="C104">
        <v>971.34999999999945</v>
      </c>
      <c r="D104">
        <v>919.55000000000018</v>
      </c>
      <c r="E104">
        <v>-1152.3500000000004</v>
      </c>
      <c r="F104">
        <v>-245.85000000000036</v>
      </c>
      <c r="G104">
        <v>-2343.75</v>
      </c>
      <c r="J104">
        <v>60</v>
      </c>
      <c r="K104">
        <v>0</v>
      </c>
      <c r="L104">
        <v>0</v>
      </c>
      <c r="M104">
        <v>0</v>
      </c>
      <c r="N104">
        <v>246</v>
      </c>
      <c r="O104">
        <v>176</v>
      </c>
      <c r="P104">
        <v>324</v>
      </c>
      <c r="S104">
        <v>60</v>
      </c>
      <c r="T104">
        <v>906.59999999999945</v>
      </c>
      <c r="U104">
        <v>958.39999999999964</v>
      </c>
      <c r="V104">
        <v>906.60000000000036</v>
      </c>
      <c r="W104">
        <v>1979.769752024948</v>
      </c>
      <c r="X104">
        <v>2251.3749999999995</v>
      </c>
      <c r="Y104">
        <v>-963.42451355419416</v>
      </c>
    </row>
    <row r="105" spans="1:25" x14ac:dyDescent="0.35">
      <c r="A105">
        <v>61</v>
      </c>
      <c r="B105">
        <v>906.59999999999945</v>
      </c>
      <c r="C105">
        <v>971.34999999999945</v>
      </c>
      <c r="D105">
        <v>906.59999999999945</v>
      </c>
      <c r="E105">
        <v>-1087.6000000000004</v>
      </c>
      <c r="F105">
        <v>-517.80000000000018</v>
      </c>
      <c r="G105">
        <v>-2550.9499999999998</v>
      </c>
      <c r="J105">
        <v>61</v>
      </c>
      <c r="K105">
        <v>0</v>
      </c>
      <c r="L105">
        <v>0</v>
      </c>
      <c r="M105">
        <v>0</v>
      </c>
      <c r="N105">
        <v>229</v>
      </c>
      <c r="O105">
        <v>196</v>
      </c>
      <c r="P105">
        <v>313</v>
      </c>
      <c r="S105">
        <v>61</v>
      </c>
      <c r="T105">
        <v>906.59999999999945</v>
      </c>
      <c r="U105">
        <v>984.29999999999927</v>
      </c>
      <c r="V105">
        <v>906.59999999999945</v>
      </c>
      <c r="W105">
        <v>2263.1999999999998</v>
      </c>
      <c r="X105">
        <v>1080.6952591913414</v>
      </c>
      <c r="Y105">
        <v>2485.1999999999998</v>
      </c>
    </row>
    <row r="106" spans="1:25" x14ac:dyDescent="0.35">
      <c r="A106">
        <v>62</v>
      </c>
      <c r="B106">
        <v>906.59999999999945</v>
      </c>
      <c r="C106">
        <v>1010.1999999999998</v>
      </c>
      <c r="D106">
        <v>906.59999999999945</v>
      </c>
      <c r="E106">
        <v>-1061.7000000000007</v>
      </c>
      <c r="F106">
        <v>-420.67500000000018</v>
      </c>
      <c r="G106">
        <v>-2356.6999999999998</v>
      </c>
      <c r="J106">
        <v>62</v>
      </c>
      <c r="K106">
        <v>0</v>
      </c>
      <c r="L106">
        <v>0</v>
      </c>
      <c r="M106">
        <v>0</v>
      </c>
      <c r="N106">
        <v>255</v>
      </c>
      <c r="O106">
        <v>198</v>
      </c>
      <c r="P106">
        <v>332</v>
      </c>
      <c r="S106">
        <v>62</v>
      </c>
      <c r="T106">
        <v>906.59999999999945</v>
      </c>
      <c r="U106">
        <v>951.92499999999927</v>
      </c>
      <c r="V106">
        <v>906.59999999999945</v>
      </c>
      <c r="W106">
        <v>2293.1999999999998</v>
      </c>
      <c r="X106">
        <v>2014.9446924304912</v>
      </c>
      <c r="Y106">
        <v>2419.1999999999989</v>
      </c>
    </row>
    <row r="107" spans="1:25" x14ac:dyDescent="0.35">
      <c r="A107">
        <v>63</v>
      </c>
      <c r="B107">
        <v>906.59999999999945</v>
      </c>
      <c r="C107">
        <v>977.82499999999982</v>
      </c>
      <c r="D107">
        <v>906.59999999999945</v>
      </c>
      <c r="E107">
        <v>-1243</v>
      </c>
      <c r="F107">
        <v>-181.10000000000036</v>
      </c>
      <c r="G107">
        <v>-2602.75</v>
      </c>
      <c r="J107">
        <v>63</v>
      </c>
      <c r="K107">
        <v>0</v>
      </c>
      <c r="L107">
        <v>0</v>
      </c>
      <c r="M107">
        <v>0</v>
      </c>
      <c r="N107">
        <v>235</v>
      </c>
      <c r="O107">
        <v>179</v>
      </c>
      <c r="P107">
        <v>301</v>
      </c>
      <c r="S107">
        <v>63</v>
      </c>
      <c r="T107">
        <v>906.59999999999945</v>
      </c>
      <c r="U107">
        <v>977.82499999999982</v>
      </c>
      <c r="V107">
        <v>906.59999999999945</v>
      </c>
      <c r="W107">
        <v>2251.1999999999994</v>
      </c>
      <c r="X107">
        <v>2249.474999999999</v>
      </c>
      <c r="Y107">
        <v>2427.1999999999989</v>
      </c>
    </row>
    <row r="108" spans="1:25" x14ac:dyDescent="0.35">
      <c r="A108">
        <v>64</v>
      </c>
      <c r="B108">
        <v>906.59999999999945</v>
      </c>
      <c r="C108">
        <v>951.92500000000018</v>
      </c>
      <c r="D108">
        <v>906.60000000000036</v>
      </c>
      <c r="E108">
        <v>-1165.3000000000002</v>
      </c>
      <c r="F108">
        <v>-589.02500000000055</v>
      </c>
      <c r="G108">
        <v>-2822.9000000000005</v>
      </c>
      <c r="J108">
        <v>64</v>
      </c>
      <c r="K108">
        <v>0</v>
      </c>
      <c r="L108">
        <v>0</v>
      </c>
      <c r="M108">
        <v>0</v>
      </c>
      <c r="N108">
        <v>233</v>
      </c>
      <c r="O108">
        <v>204</v>
      </c>
      <c r="P108">
        <v>301</v>
      </c>
      <c r="S108">
        <v>64</v>
      </c>
      <c r="T108">
        <v>906.59999999999945</v>
      </c>
      <c r="U108">
        <v>971.35000000000036</v>
      </c>
      <c r="V108">
        <v>906.59999999999945</v>
      </c>
      <c r="W108">
        <v>1386.8892985406733</v>
      </c>
      <c r="X108">
        <v>2210.0499999999997</v>
      </c>
      <c r="Y108">
        <v>2508.1499999999996</v>
      </c>
    </row>
    <row r="109" spans="1:25" x14ac:dyDescent="0.35">
      <c r="A109">
        <v>65</v>
      </c>
      <c r="B109">
        <v>906.59999999999945</v>
      </c>
      <c r="C109">
        <v>964.875</v>
      </c>
      <c r="D109">
        <v>906.59999999999945</v>
      </c>
      <c r="E109">
        <v>-984</v>
      </c>
      <c r="F109">
        <v>-362.39999999999964</v>
      </c>
      <c r="G109">
        <v>-2097.7000000000007</v>
      </c>
      <c r="J109">
        <v>65</v>
      </c>
      <c r="K109">
        <v>0</v>
      </c>
      <c r="L109">
        <v>0</v>
      </c>
      <c r="M109">
        <v>0</v>
      </c>
      <c r="N109">
        <v>210</v>
      </c>
      <c r="O109">
        <v>204</v>
      </c>
      <c r="P109">
        <v>301</v>
      </c>
      <c r="S109">
        <v>65</v>
      </c>
      <c r="T109">
        <v>906.59999999999945</v>
      </c>
      <c r="U109">
        <v>951.92499999999927</v>
      </c>
      <c r="V109">
        <v>906.60000000000036</v>
      </c>
      <c r="W109">
        <v>402.39184481857478</v>
      </c>
      <c r="X109">
        <v>2239.474999999999</v>
      </c>
      <c r="Y109">
        <v>-169.88406607337083</v>
      </c>
    </row>
    <row r="110" spans="1:25" x14ac:dyDescent="0.35">
      <c r="A110">
        <v>66</v>
      </c>
      <c r="B110">
        <v>906.59999999999945</v>
      </c>
      <c r="C110">
        <v>1010.1999999999998</v>
      </c>
      <c r="D110">
        <v>906.60000000000036</v>
      </c>
      <c r="E110">
        <v>-1139.4000000000005</v>
      </c>
      <c r="F110">
        <v>-906.30000000000109</v>
      </c>
      <c r="G110">
        <v>-2266.0500000000002</v>
      </c>
      <c r="J110">
        <v>66</v>
      </c>
      <c r="K110">
        <v>0</v>
      </c>
      <c r="L110">
        <v>0</v>
      </c>
      <c r="M110">
        <v>0</v>
      </c>
      <c r="N110">
        <v>236</v>
      </c>
      <c r="O110">
        <v>190</v>
      </c>
      <c r="P110">
        <v>323</v>
      </c>
      <c r="S110">
        <v>66</v>
      </c>
      <c r="T110">
        <v>906.59999999999945</v>
      </c>
      <c r="U110">
        <v>977.82499999999891</v>
      </c>
      <c r="V110">
        <v>906.59999999999945</v>
      </c>
      <c r="W110">
        <v>382.67946834604231</v>
      </c>
      <c r="X110">
        <v>2261.3749999999995</v>
      </c>
      <c r="Y110">
        <v>1722.2639961037053</v>
      </c>
    </row>
    <row r="111" spans="1:25" x14ac:dyDescent="0.35">
      <c r="A111">
        <v>67</v>
      </c>
      <c r="B111">
        <v>906.59999999999945</v>
      </c>
      <c r="C111">
        <v>951.92499999999927</v>
      </c>
      <c r="D111">
        <v>906.59999999999945</v>
      </c>
      <c r="E111">
        <v>-1035.8000000000002</v>
      </c>
      <c r="F111">
        <v>-440.10000000000036</v>
      </c>
      <c r="G111">
        <v>-2097.7000000000007</v>
      </c>
      <c r="J111">
        <v>67</v>
      </c>
      <c r="K111">
        <v>0</v>
      </c>
      <c r="L111">
        <v>0</v>
      </c>
      <c r="M111">
        <v>0</v>
      </c>
      <c r="N111">
        <v>209</v>
      </c>
      <c r="O111">
        <v>162</v>
      </c>
      <c r="P111">
        <v>319</v>
      </c>
      <c r="S111">
        <v>67</v>
      </c>
      <c r="T111">
        <v>906.59999999999945</v>
      </c>
      <c r="U111">
        <v>964.87499999999909</v>
      </c>
      <c r="V111">
        <v>906.60000000000036</v>
      </c>
      <c r="W111">
        <v>2040.5353223450534</v>
      </c>
      <c r="X111">
        <v>62.44116177493737</v>
      </c>
      <c r="Y111">
        <v>2453.1999999999998</v>
      </c>
    </row>
    <row r="112" spans="1:25" x14ac:dyDescent="0.35">
      <c r="A112">
        <v>68</v>
      </c>
      <c r="B112">
        <v>906.59999999999945</v>
      </c>
      <c r="C112">
        <v>971.34999999999945</v>
      </c>
      <c r="D112">
        <v>906.59999999999945</v>
      </c>
      <c r="E112">
        <v>-867.45000000000073</v>
      </c>
      <c r="F112">
        <v>-116.35000000000036</v>
      </c>
      <c r="G112">
        <v>-2395.5500000000002</v>
      </c>
      <c r="J112">
        <v>68</v>
      </c>
      <c r="K112">
        <v>0</v>
      </c>
      <c r="L112">
        <v>0</v>
      </c>
      <c r="M112">
        <v>0</v>
      </c>
      <c r="N112">
        <v>221</v>
      </c>
      <c r="O112">
        <v>183</v>
      </c>
      <c r="P112">
        <v>320</v>
      </c>
      <c r="S112">
        <v>68</v>
      </c>
      <c r="T112">
        <v>906.59999999999945</v>
      </c>
      <c r="U112">
        <v>990.77499999999964</v>
      </c>
      <c r="V112">
        <v>906.59999999999945</v>
      </c>
      <c r="W112">
        <v>1570.2736826128094</v>
      </c>
      <c r="X112">
        <v>2197.5749999999998</v>
      </c>
      <c r="Y112">
        <v>-2434.4000000000005</v>
      </c>
    </row>
    <row r="113" spans="1:25" x14ac:dyDescent="0.35">
      <c r="A113">
        <v>69</v>
      </c>
      <c r="B113">
        <v>906.59999999999945</v>
      </c>
      <c r="C113">
        <v>1010.1999999999998</v>
      </c>
      <c r="D113">
        <v>906.59999999999945</v>
      </c>
      <c r="E113">
        <v>-1126.4500000000007</v>
      </c>
      <c r="F113">
        <v>-524.27500000000055</v>
      </c>
      <c r="G113">
        <v>-2563.9000000000005</v>
      </c>
      <c r="J113">
        <v>69</v>
      </c>
      <c r="K113">
        <v>0</v>
      </c>
      <c r="L113">
        <v>0</v>
      </c>
      <c r="M113">
        <v>0</v>
      </c>
      <c r="N113">
        <v>238</v>
      </c>
      <c r="O113">
        <v>207</v>
      </c>
      <c r="P113">
        <v>326</v>
      </c>
      <c r="S113">
        <v>69</v>
      </c>
      <c r="T113">
        <v>906.59999999999945</v>
      </c>
      <c r="U113">
        <v>1029.625</v>
      </c>
      <c r="V113">
        <v>906.59999999999945</v>
      </c>
      <c r="W113">
        <v>2269.1999999999994</v>
      </c>
      <c r="X113">
        <v>2227.9499999999998</v>
      </c>
      <c r="Y113">
        <v>1002.6928017134778</v>
      </c>
    </row>
    <row r="114" spans="1:25" x14ac:dyDescent="0.35">
      <c r="A114">
        <v>70</v>
      </c>
      <c r="B114">
        <v>906.59999999999945</v>
      </c>
      <c r="C114">
        <v>971.34999999999945</v>
      </c>
      <c r="D114">
        <v>906.60000000000036</v>
      </c>
      <c r="E114">
        <v>-1217.1000000000004</v>
      </c>
      <c r="F114">
        <v>-854.5</v>
      </c>
      <c r="G114">
        <v>-2123.6000000000004</v>
      </c>
      <c r="J114">
        <v>70</v>
      </c>
      <c r="K114">
        <v>0</v>
      </c>
      <c r="L114">
        <v>0</v>
      </c>
      <c r="M114">
        <v>0</v>
      </c>
      <c r="N114">
        <v>224</v>
      </c>
      <c r="O114">
        <v>193</v>
      </c>
      <c r="P114">
        <v>314</v>
      </c>
      <c r="S114">
        <v>70</v>
      </c>
      <c r="T114">
        <v>906.59999999999945</v>
      </c>
      <c r="U114">
        <v>958.39999999999964</v>
      </c>
      <c r="V114">
        <v>906.59999999999945</v>
      </c>
      <c r="W114">
        <v>1237.7389560610973</v>
      </c>
      <c r="X114">
        <v>599.63748341917164</v>
      </c>
      <c r="Y114">
        <v>2433.1999999999998</v>
      </c>
    </row>
    <row r="115" spans="1:25" x14ac:dyDescent="0.35">
      <c r="A115">
        <v>71</v>
      </c>
      <c r="B115">
        <v>906.59999999999945</v>
      </c>
      <c r="C115">
        <v>958.39999999999964</v>
      </c>
      <c r="D115">
        <v>906.59999999999945</v>
      </c>
      <c r="E115">
        <v>-815.65000000000055</v>
      </c>
      <c r="F115">
        <v>-6.2750000000005457</v>
      </c>
      <c r="G115">
        <v>-2395.5500000000002</v>
      </c>
      <c r="J115">
        <v>71</v>
      </c>
      <c r="K115">
        <v>0</v>
      </c>
      <c r="L115">
        <v>0</v>
      </c>
      <c r="M115">
        <v>1</v>
      </c>
      <c r="N115">
        <v>210</v>
      </c>
      <c r="O115">
        <v>171</v>
      </c>
      <c r="P115">
        <v>303</v>
      </c>
      <c r="S115">
        <v>71</v>
      </c>
      <c r="T115">
        <v>906.59999999999945</v>
      </c>
      <c r="U115">
        <v>1010.1999999999998</v>
      </c>
      <c r="V115">
        <v>906.60000000000036</v>
      </c>
      <c r="W115">
        <v>2249.1999999999994</v>
      </c>
      <c r="X115">
        <v>2203.4749999999995</v>
      </c>
      <c r="Y115">
        <v>-2266.0500000000002</v>
      </c>
    </row>
    <row r="116" spans="1:25" x14ac:dyDescent="0.35">
      <c r="A116">
        <v>72</v>
      </c>
      <c r="B116">
        <v>906.59999999999945</v>
      </c>
      <c r="C116">
        <v>958.39999999999964</v>
      </c>
      <c r="D116">
        <v>906.60000000000036</v>
      </c>
      <c r="E116">
        <v>-867.45000000000073</v>
      </c>
      <c r="F116">
        <v>-317.07500000000073</v>
      </c>
      <c r="G116">
        <v>-2576.8500000000004</v>
      </c>
      <c r="J116">
        <v>72</v>
      </c>
      <c r="K116">
        <v>0</v>
      </c>
      <c r="L116">
        <v>0</v>
      </c>
      <c r="M116">
        <v>0</v>
      </c>
      <c r="N116">
        <v>229</v>
      </c>
      <c r="O116">
        <v>190</v>
      </c>
      <c r="P116">
        <v>299</v>
      </c>
      <c r="S116">
        <v>72</v>
      </c>
      <c r="T116">
        <v>906.59999999999945</v>
      </c>
      <c r="U116">
        <v>971.34999999999945</v>
      </c>
      <c r="V116">
        <v>906.59999999999945</v>
      </c>
      <c r="W116">
        <v>2279.1999999999994</v>
      </c>
      <c r="X116">
        <v>-114.8682381360565</v>
      </c>
      <c r="Y116">
        <v>2499.1999999999989</v>
      </c>
    </row>
    <row r="117" spans="1:25" x14ac:dyDescent="0.35">
      <c r="A117">
        <v>73</v>
      </c>
      <c r="B117">
        <v>906.59999999999945</v>
      </c>
      <c r="C117">
        <v>938.97500000000036</v>
      </c>
      <c r="D117">
        <v>906.59999999999945</v>
      </c>
      <c r="E117">
        <v>-1346.6000000000004</v>
      </c>
      <c r="F117">
        <v>-491.90000000000055</v>
      </c>
      <c r="G117">
        <v>-2214.25</v>
      </c>
      <c r="J117">
        <v>73</v>
      </c>
      <c r="K117">
        <v>0</v>
      </c>
      <c r="L117">
        <v>0</v>
      </c>
      <c r="M117">
        <v>0</v>
      </c>
      <c r="N117">
        <v>216</v>
      </c>
      <c r="O117">
        <v>180</v>
      </c>
      <c r="P117">
        <v>336</v>
      </c>
      <c r="S117">
        <v>73</v>
      </c>
      <c r="T117">
        <v>906.59999999999945</v>
      </c>
      <c r="U117">
        <v>990.77499999999873</v>
      </c>
      <c r="V117">
        <v>906.59999999999945</v>
      </c>
      <c r="W117">
        <v>2181.1999999999994</v>
      </c>
      <c r="X117">
        <v>2248.4249999999997</v>
      </c>
      <c r="Y117">
        <v>1809.407030991837</v>
      </c>
    </row>
    <row r="118" spans="1:25" x14ac:dyDescent="0.35">
      <c r="A118">
        <v>74</v>
      </c>
      <c r="B118">
        <v>906.59999999999945</v>
      </c>
      <c r="C118">
        <v>945.44999999999982</v>
      </c>
      <c r="D118">
        <v>906.59999999999945</v>
      </c>
      <c r="E118">
        <v>-1333.6500000000005</v>
      </c>
      <c r="F118">
        <v>-809.17500000000018</v>
      </c>
      <c r="G118">
        <v>-2576.8500000000004</v>
      </c>
      <c r="J118">
        <v>74</v>
      </c>
      <c r="K118">
        <v>0</v>
      </c>
      <c r="L118">
        <v>0</v>
      </c>
      <c r="M118">
        <v>0</v>
      </c>
      <c r="N118">
        <v>228</v>
      </c>
      <c r="O118">
        <v>185</v>
      </c>
      <c r="P118">
        <v>296</v>
      </c>
      <c r="S118">
        <v>74</v>
      </c>
      <c r="T118">
        <v>906.59999999999945</v>
      </c>
      <c r="U118">
        <v>958.39999999999964</v>
      </c>
      <c r="V118">
        <v>906.60000000000036</v>
      </c>
      <c r="W118">
        <v>-552.40899206476388</v>
      </c>
      <c r="X118">
        <v>-420.67500000000018</v>
      </c>
      <c r="Y118">
        <v>2451.1999999999998</v>
      </c>
    </row>
    <row r="119" spans="1:25" x14ac:dyDescent="0.35">
      <c r="A119">
        <v>75</v>
      </c>
      <c r="B119">
        <v>906.59999999999945</v>
      </c>
      <c r="C119">
        <v>990.77499999999873</v>
      </c>
      <c r="D119">
        <v>893.64999999999964</v>
      </c>
      <c r="E119">
        <v>-1255.9500000000007</v>
      </c>
      <c r="F119">
        <v>-712.05000000000018</v>
      </c>
      <c r="G119">
        <v>-2304.9000000000005</v>
      </c>
      <c r="J119">
        <v>75</v>
      </c>
      <c r="K119">
        <v>0</v>
      </c>
      <c r="L119">
        <v>0</v>
      </c>
      <c r="M119">
        <v>0</v>
      </c>
      <c r="N119">
        <v>203</v>
      </c>
      <c r="O119">
        <v>196</v>
      </c>
      <c r="P119">
        <v>342</v>
      </c>
      <c r="S119">
        <v>75</v>
      </c>
      <c r="T119">
        <v>906.59999999999945</v>
      </c>
      <c r="U119">
        <v>1003.7249999999995</v>
      </c>
      <c r="V119">
        <v>906.59999999999945</v>
      </c>
      <c r="W119">
        <v>2251.1999999999994</v>
      </c>
      <c r="X119">
        <v>2244.9</v>
      </c>
      <c r="Y119">
        <v>2469.1999999999989</v>
      </c>
    </row>
    <row r="120" spans="1:25" x14ac:dyDescent="0.35">
      <c r="A120">
        <v>76</v>
      </c>
      <c r="B120">
        <v>906.59999999999945</v>
      </c>
      <c r="C120">
        <v>958.39999999999964</v>
      </c>
      <c r="D120">
        <v>906.59999999999945</v>
      </c>
      <c r="E120">
        <v>-1022.8500000000004</v>
      </c>
      <c r="F120">
        <v>-601.97500000000036</v>
      </c>
      <c r="G120">
        <v>-2188.3500000000004</v>
      </c>
      <c r="J120">
        <v>76</v>
      </c>
      <c r="K120">
        <v>0</v>
      </c>
      <c r="L120">
        <v>0</v>
      </c>
      <c r="M120">
        <v>0</v>
      </c>
      <c r="N120">
        <v>194</v>
      </c>
      <c r="O120">
        <v>178</v>
      </c>
      <c r="P120">
        <v>319</v>
      </c>
      <c r="S120">
        <v>76</v>
      </c>
      <c r="T120">
        <v>906.59999999999945</v>
      </c>
      <c r="U120">
        <v>951.92499999999927</v>
      </c>
      <c r="V120">
        <v>906.59999999999945</v>
      </c>
      <c r="W120">
        <v>2257.1999999999989</v>
      </c>
      <c r="X120">
        <v>2255</v>
      </c>
      <c r="Y120">
        <v>2425.1999999999998</v>
      </c>
    </row>
    <row r="121" spans="1:25" x14ac:dyDescent="0.35">
      <c r="A121">
        <v>77</v>
      </c>
      <c r="B121">
        <v>906.59999999999945</v>
      </c>
      <c r="C121">
        <v>964.87499999999909</v>
      </c>
      <c r="D121">
        <v>906.59999999999945</v>
      </c>
      <c r="E121">
        <v>-1489.0500000000002</v>
      </c>
      <c r="F121">
        <v>-569.60000000000036</v>
      </c>
      <c r="G121">
        <v>-2525.0500000000002</v>
      </c>
      <c r="J121">
        <v>77</v>
      </c>
      <c r="K121">
        <v>0</v>
      </c>
      <c r="L121">
        <v>0</v>
      </c>
      <c r="M121">
        <v>0</v>
      </c>
      <c r="N121">
        <v>217</v>
      </c>
      <c r="O121">
        <v>182</v>
      </c>
      <c r="P121">
        <v>332</v>
      </c>
      <c r="S121">
        <v>77</v>
      </c>
      <c r="T121">
        <v>906.59999999999945</v>
      </c>
      <c r="U121">
        <v>958.39999999999964</v>
      </c>
      <c r="V121">
        <v>906.59999999999945</v>
      </c>
      <c r="W121">
        <v>2285.1999999999998</v>
      </c>
      <c r="X121">
        <v>2228.5249999999996</v>
      </c>
      <c r="Y121">
        <v>-290.62943457334018</v>
      </c>
    </row>
    <row r="122" spans="1:25" x14ac:dyDescent="0.35">
      <c r="A122">
        <v>78</v>
      </c>
      <c r="B122">
        <v>906.59999999999945</v>
      </c>
      <c r="C122">
        <v>964.875</v>
      </c>
      <c r="D122">
        <v>906.59999999999945</v>
      </c>
      <c r="E122">
        <v>-1074.6500000000005</v>
      </c>
      <c r="F122">
        <v>-511.32500000000073</v>
      </c>
      <c r="G122">
        <v>-2343.75</v>
      </c>
      <c r="J122">
        <v>78</v>
      </c>
      <c r="K122">
        <v>0</v>
      </c>
      <c r="L122">
        <v>0</v>
      </c>
      <c r="M122">
        <v>0</v>
      </c>
      <c r="N122">
        <v>223</v>
      </c>
      <c r="O122">
        <v>200</v>
      </c>
      <c r="P122">
        <v>324</v>
      </c>
      <c r="S122">
        <v>78</v>
      </c>
      <c r="T122">
        <v>906.59999999999945</v>
      </c>
      <c r="U122">
        <v>958.39999999999964</v>
      </c>
      <c r="V122">
        <v>906.59999999999945</v>
      </c>
      <c r="W122">
        <v>2255.1999999999998</v>
      </c>
      <c r="X122">
        <v>-576.07500000000073</v>
      </c>
      <c r="Y122">
        <v>-2434.4000000000005</v>
      </c>
    </row>
    <row r="123" spans="1:25" x14ac:dyDescent="0.35">
      <c r="A123">
        <v>79</v>
      </c>
      <c r="B123">
        <v>906.59999999999945</v>
      </c>
      <c r="C123">
        <v>951.92499999999927</v>
      </c>
      <c r="D123">
        <v>906.59999999999945</v>
      </c>
      <c r="E123">
        <v>-1035.8000000000002</v>
      </c>
      <c r="F123">
        <v>-770.32500000000073</v>
      </c>
      <c r="G123">
        <v>-2214.25</v>
      </c>
      <c r="J123">
        <v>79</v>
      </c>
      <c r="K123">
        <v>0</v>
      </c>
      <c r="L123">
        <v>0</v>
      </c>
      <c r="M123">
        <v>0</v>
      </c>
      <c r="N123">
        <v>244</v>
      </c>
      <c r="O123">
        <v>196</v>
      </c>
      <c r="P123">
        <v>326</v>
      </c>
      <c r="S123">
        <v>79</v>
      </c>
      <c r="T123">
        <v>906.59999999999945</v>
      </c>
      <c r="U123">
        <v>971.34999999999945</v>
      </c>
      <c r="V123">
        <v>906.60000000000036</v>
      </c>
      <c r="W123">
        <v>2115.368470402655</v>
      </c>
      <c r="X123">
        <v>2209.474999999999</v>
      </c>
      <c r="Y123">
        <v>2429.1999999999989</v>
      </c>
    </row>
    <row r="124" spans="1:25" x14ac:dyDescent="0.35">
      <c r="A124">
        <v>80</v>
      </c>
      <c r="B124">
        <v>906.59999999999945</v>
      </c>
      <c r="C124">
        <v>964.87499999999909</v>
      </c>
      <c r="D124">
        <v>906.60000000000036</v>
      </c>
      <c r="E124">
        <v>-1230.0500000000002</v>
      </c>
      <c r="F124">
        <v>-362.40000000000055</v>
      </c>
      <c r="G124">
        <v>-2330.8000000000002</v>
      </c>
      <c r="J124">
        <v>80</v>
      </c>
      <c r="K124">
        <v>0</v>
      </c>
      <c r="L124">
        <v>0</v>
      </c>
      <c r="M124">
        <v>0</v>
      </c>
      <c r="N124">
        <v>231</v>
      </c>
      <c r="O124">
        <v>194</v>
      </c>
      <c r="P124">
        <v>360</v>
      </c>
      <c r="S124">
        <v>80</v>
      </c>
      <c r="T124">
        <v>906.59999999999945</v>
      </c>
      <c r="U124">
        <v>964.875</v>
      </c>
      <c r="V124">
        <v>906.59999999999945</v>
      </c>
      <c r="W124">
        <v>2251.1999999999994</v>
      </c>
      <c r="X124">
        <v>2105.3385291079976</v>
      </c>
      <c r="Y124">
        <v>-2.9769674932367707</v>
      </c>
    </row>
    <row r="125" spans="1:25" x14ac:dyDescent="0.35">
      <c r="A125">
        <v>81</v>
      </c>
      <c r="B125">
        <v>906.59999999999945</v>
      </c>
      <c r="C125">
        <v>990.77499999999873</v>
      </c>
      <c r="D125">
        <v>906.60000000000036</v>
      </c>
      <c r="E125">
        <v>-1268.9000000000005</v>
      </c>
      <c r="F125">
        <v>-252.32500000000073</v>
      </c>
      <c r="G125">
        <v>-2525.0500000000002</v>
      </c>
      <c r="J125">
        <v>81</v>
      </c>
      <c r="K125">
        <v>0</v>
      </c>
      <c r="L125">
        <v>0</v>
      </c>
      <c r="M125">
        <v>0</v>
      </c>
      <c r="N125">
        <v>236</v>
      </c>
      <c r="O125">
        <v>202</v>
      </c>
      <c r="P125">
        <v>333</v>
      </c>
      <c r="S125">
        <v>81</v>
      </c>
      <c r="T125">
        <v>906.59999999999945</v>
      </c>
      <c r="U125">
        <v>971.34999999999854</v>
      </c>
      <c r="V125">
        <v>906.59999999999945</v>
      </c>
      <c r="W125">
        <v>-893.35000000000036</v>
      </c>
      <c r="X125">
        <v>2216.0499999999997</v>
      </c>
      <c r="Y125">
        <v>478.60620385434959</v>
      </c>
    </row>
    <row r="126" spans="1:25" x14ac:dyDescent="0.35">
      <c r="A126">
        <v>82</v>
      </c>
      <c r="B126">
        <v>906.59999999999945</v>
      </c>
      <c r="C126">
        <v>971.34999999999945</v>
      </c>
      <c r="D126">
        <v>906.59999999999945</v>
      </c>
      <c r="E126">
        <v>-1035.8000000000002</v>
      </c>
      <c r="F126">
        <v>-394.77499999999964</v>
      </c>
      <c r="G126">
        <v>-2680.45</v>
      </c>
      <c r="J126">
        <v>82</v>
      </c>
      <c r="K126">
        <v>0</v>
      </c>
      <c r="L126">
        <v>0</v>
      </c>
      <c r="M126">
        <v>0</v>
      </c>
      <c r="N126">
        <v>215</v>
      </c>
      <c r="O126">
        <v>187</v>
      </c>
      <c r="P126">
        <v>337</v>
      </c>
      <c r="S126">
        <v>82</v>
      </c>
      <c r="T126">
        <v>906.59999999999945</v>
      </c>
      <c r="U126">
        <v>1003.7249999999995</v>
      </c>
      <c r="V126">
        <v>906.59999999999945</v>
      </c>
      <c r="W126">
        <v>-355.97688491558813</v>
      </c>
      <c r="X126">
        <v>2165.474999999999</v>
      </c>
      <c r="Y126">
        <v>2457.1999999999998</v>
      </c>
    </row>
    <row r="127" spans="1:25" x14ac:dyDescent="0.35">
      <c r="A127">
        <v>83</v>
      </c>
      <c r="B127">
        <v>906.59999999999945</v>
      </c>
      <c r="C127">
        <v>951.92499999999927</v>
      </c>
      <c r="D127">
        <v>906.59999999999945</v>
      </c>
      <c r="E127">
        <v>-1100.5500000000002</v>
      </c>
      <c r="F127">
        <v>-336.5</v>
      </c>
      <c r="G127">
        <v>-2240.1500000000005</v>
      </c>
      <c r="J127">
        <v>83</v>
      </c>
      <c r="K127">
        <v>0</v>
      </c>
      <c r="L127">
        <v>0</v>
      </c>
      <c r="M127">
        <v>0</v>
      </c>
      <c r="N127">
        <v>250</v>
      </c>
      <c r="O127">
        <v>180</v>
      </c>
      <c r="P127">
        <v>329</v>
      </c>
      <c r="S127">
        <v>83</v>
      </c>
      <c r="T127">
        <v>906.59999999999945</v>
      </c>
      <c r="U127">
        <v>958.39999999999964</v>
      </c>
      <c r="V127">
        <v>906.59999999999945</v>
      </c>
      <c r="W127">
        <v>648.98083621273986</v>
      </c>
      <c r="X127">
        <v>1229.2476698485771</v>
      </c>
      <c r="Y127">
        <v>-2214.25</v>
      </c>
    </row>
    <row r="128" spans="1:25" x14ac:dyDescent="0.35">
      <c r="A128">
        <v>84</v>
      </c>
      <c r="B128">
        <v>906.59999999999945</v>
      </c>
      <c r="C128">
        <v>971.34999999999854</v>
      </c>
      <c r="D128">
        <v>906.59999999999945</v>
      </c>
      <c r="E128">
        <v>-1204.1500000000005</v>
      </c>
      <c r="F128">
        <v>-297.64999999999964</v>
      </c>
      <c r="G128">
        <v>-2227.2000000000007</v>
      </c>
      <c r="J128">
        <v>84</v>
      </c>
      <c r="K128">
        <v>0</v>
      </c>
      <c r="L128">
        <v>0</v>
      </c>
      <c r="M128">
        <v>0</v>
      </c>
      <c r="N128">
        <v>236</v>
      </c>
      <c r="O128">
        <v>203</v>
      </c>
      <c r="P128">
        <v>319</v>
      </c>
      <c r="S128">
        <v>84</v>
      </c>
      <c r="T128">
        <v>906.59999999999945</v>
      </c>
      <c r="U128">
        <v>958.39999999999873</v>
      </c>
      <c r="V128">
        <v>906.60000000000036</v>
      </c>
      <c r="W128">
        <v>1495.7283177671507</v>
      </c>
      <c r="X128">
        <v>2278.3249999999994</v>
      </c>
      <c r="Y128">
        <v>-1009.8478928694249</v>
      </c>
    </row>
    <row r="129" spans="1:25" x14ac:dyDescent="0.35">
      <c r="A129">
        <v>85</v>
      </c>
      <c r="B129">
        <v>906.59999999999945</v>
      </c>
      <c r="C129">
        <v>1003.7249999999995</v>
      </c>
      <c r="D129">
        <v>919.55000000000018</v>
      </c>
      <c r="E129">
        <v>-1100.5500000000002</v>
      </c>
      <c r="F129">
        <v>-414.20000000000073</v>
      </c>
      <c r="G129">
        <v>-2149.5</v>
      </c>
      <c r="J129">
        <v>85</v>
      </c>
      <c r="K129">
        <v>0</v>
      </c>
      <c r="L129">
        <v>0</v>
      </c>
      <c r="M129">
        <v>0</v>
      </c>
      <c r="N129">
        <v>204</v>
      </c>
      <c r="O129">
        <v>186</v>
      </c>
      <c r="P129">
        <v>334</v>
      </c>
      <c r="S129">
        <v>85</v>
      </c>
      <c r="T129">
        <v>906.59999999999945</v>
      </c>
      <c r="U129">
        <v>938.97499999999854</v>
      </c>
      <c r="V129">
        <v>906.60000000000036</v>
      </c>
      <c r="W129">
        <v>-996.95000000000073</v>
      </c>
      <c r="X129">
        <v>2320.7999999999993</v>
      </c>
      <c r="Y129">
        <v>660.79103764324464</v>
      </c>
    </row>
    <row r="130" spans="1:25" x14ac:dyDescent="0.35">
      <c r="A130">
        <v>86</v>
      </c>
      <c r="B130">
        <v>906.59999999999945</v>
      </c>
      <c r="C130">
        <v>938.97499999999854</v>
      </c>
      <c r="D130">
        <v>906.59999999999945</v>
      </c>
      <c r="E130">
        <v>-1152.3500000000004</v>
      </c>
      <c r="F130">
        <v>-835.07500000000073</v>
      </c>
      <c r="G130">
        <v>-2369.6500000000005</v>
      </c>
      <c r="J130">
        <v>86</v>
      </c>
      <c r="K130">
        <v>0</v>
      </c>
      <c r="L130">
        <v>0</v>
      </c>
      <c r="M130">
        <v>0</v>
      </c>
      <c r="N130">
        <v>218</v>
      </c>
      <c r="O130">
        <v>180</v>
      </c>
      <c r="P130">
        <v>314</v>
      </c>
      <c r="S130">
        <v>86</v>
      </c>
      <c r="T130">
        <v>906.59999999999945</v>
      </c>
      <c r="U130">
        <v>997.25</v>
      </c>
      <c r="V130">
        <v>906.59999999999945</v>
      </c>
      <c r="W130">
        <v>2271.1999999999994</v>
      </c>
      <c r="X130">
        <v>2253.3749999999995</v>
      </c>
      <c r="Y130">
        <v>2467.1999999999998</v>
      </c>
    </row>
    <row r="131" spans="1:25" x14ac:dyDescent="0.35">
      <c r="A131">
        <v>87</v>
      </c>
      <c r="B131">
        <v>906.59999999999945</v>
      </c>
      <c r="C131">
        <v>964.875</v>
      </c>
      <c r="D131">
        <v>906.59999999999945</v>
      </c>
      <c r="E131">
        <v>-1204.1500000000005</v>
      </c>
      <c r="F131">
        <v>-375.35000000000036</v>
      </c>
      <c r="G131">
        <v>-2317.8500000000004</v>
      </c>
      <c r="J131">
        <v>87</v>
      </c>
      <c r="K131">
        <v>0</v>
      </c>
      <c r="L131">
        <v>0</v>
      </c>
      <c r="M131">
        <v>0</v>
      </c>
      <c r="N131">
        <v>227</v>
      </c>
      <c r="O131">
        <v>162</v>
      </c>
      <c r="P131">
        <v>321</v>
      </c>
      <c r="S131">
        <v>87</v>
      </c>
      <c r="T131">
        <v>906.59999999999945</v>
      </c>
      <c r="U131">
        <v>964.875</v>
      </c>
      <c r="V131">
        <v>906.60000000000036</v>
      </c>
      <c r="W131">
        <v>1477.3281552784138</v>
      </c>
      <c r="X131">
        <v>2276.6999999999994</v>
      </c>
      <c r="Y131">
        <v>362.79250389888284</v>
      </c>
    </row>
    <row r="132" spans="1:25" x14ac:dyDescent="0.35">
      <c r="A132">
        <v>88</v>
      </c>
      <c r="B132">
        <v>906.59999999999945</v>
      </c>
      <c r="C132">
        <v>990.77499999999964</v>
      </c>
      <c r="D132">
        <v>906.60000000000036</v>
      </c>
      <c r="E132">
        <v>-932.20000000000073</v>
      </c>
      <c r="F132">
        <v>-330.02499999999964</v>
      </c>
      <c r="G132">
        <v>-2330.8000000000002</v>
      </c>
      <c r="J132">
        <v>88</v>
      </c>
      <c r="K132">
        <v>0</v>
      </c>
      <c r="L132">
        <v>0</v>
      </c>
      <c r="M132">
        <v>0</v>
      </c>
      <c r="N132">
        <v>214</v>
      </c>
      <c r="O132">
        <v>179</v>
      </c>
      <c r="P132">
        <v>319</v>
      </c>
      <c r="S132">
        <v>88</v>
      </c>
      <c r="T132">
        <v>906.59999999999945</v>
      </c>
      <c r="U132">
        <v>990.77499999999873</v>
      </c>
      <c r="V132">
        <v>906.59999999999945</v>
      </c>
      <c r="W132">
        <v>2313.1999999999998</v>
      </c>
      <c r="X132">
        <v>2259.3749999999991</v>
      </c>
      <c r="Y132">
        <v>2034.7942055689073</v>
      </c>
    </row>
    <row r="133" spans="1:25" x14ac:dyDescent="0.35">
      <c r="A133">
        <v>89</v>
      </c>
      <c r="B133">
        <v>906.59999999999945</v>
      </c>
      <c r="C133">
        <v>951.92499999999927</v>
      </c>
      <c r="D133">
        <v>906.60000000000036</v>
      </c>
      <c r="E133">
        <v>-1113.5</v>
      </c>
      <c r="F133">
        <v>-427.14999999999964</v>
      </c>
      <c r="G133">
        <v>-2330.8000000000002</v>
      </c>
      <c r="J133">
        <v>89</v>
      </c>
      <c r="K133">
        <v>0</v>
      </c>
      <c r="L133">
        <v>0</v>
      </c>
      <c r="M133">
        <v>0</v>
      </c>
      <c r="N133">
        <v>235</v>
      </c>
      <c r="O133">
        <v>188</v>
      </c>
      <c r="P133">
        <v>321</v>
      </c>
      <c r="S133">
        <v>89</v>
      </c>
      <c r="T133">
        <v>906.59999999999945</v>
      </c>
      <c r="U133">
        <v>977.82499999999891</v>
      </c>
      <c r="V133">
        <v>922.6</v>
      </c>
      <c r="W133">
        <v>1509.4919748028028</v>
      </c>
      <c r="X133">
        <v>2236.4250000000002</v>
      </c>
      <c r="Y133">
        <v>1857.494852554948</v>
      </c>
    </row>
    <row r="134" spans="1:25" x14ac:dyDescent="0.35">
      <c r="A134">
        <v>90</v>
      </c>
      <c r="B134">
        <v>906.59999999999945</v>
      </c>
      <c r="C134">
        <v>1003.7249999999985</v>
      </c>
      <c r="D134">
        <v>906.59999999999945</v>
      </c>
      <c r="E134">
        <v>-1307.75</v>
      </c>
      <c r="F134">
        <v>-466</v>
      </c>
      <c r="G134">
        <v>-2240.1500000000005</v>
      </c>
      <c r="J134">
        <v>90</v>
      </c>
      <c r="K134">
        <v>0</v>
      </c>
      <c r="L134">
        <v>0</v>
      </c>
      <c r="M134">
        <v>0</v>
      </c>
      <c r="N134">
        <v>226</v>
      </c>
      <c r="O134">
        <v>185</v>
      </c>
      <c r="P134">
        <v>315</v>
      </c>
      <c r="S134">
        <v>90</v>
      </c>
      <c r="T134">
        <v>906.59999999999945</v>
      </c>
      <c r="U134">
        <v>977.82499999999982</v>
      </c>
      <c r="V134">
        <v>906.59999999999945</v>
      </c>
      <c r="W134">
        <v>2285.1999999999998</v>
      </c>
      <c r="X134">
        <v>1344.8164593992169</v>
      </c>
      <c r="Y134">
        <v>-2188.3500000000004</v>
      </c>
    </row>
    <row r="135" spans="1:25" x14ac:dyDescent="0.35">
      <c r="A135">
        <v>91</v>
      </c>
      <c r="B135">
        <v>906.59999999999945</v>
      </c>
      <c r="C135">
        <v>984.29999999999927</v>
      </c>
      <c r="D135">
        <v>906.59999999999945</v>
      </c>
      <c r="E135">
        <v>-1217.1000000000004</v>
      </c>
      <c r="F135">
        <v>-511.32500000000073</v>
      </c>
      <c r="G135">
        <v>-2227.2000000000007</v>
      </c>
      <c r="J135">
        <v>91</v>
      </c>
      <c r="K135">
        <v>0</v>
      </c>
      <c r="L135">
        <v>0</v>
      </c>
      <c r="M135">
        <v>0</v>
      </c>
      <c r="N135">
        <v>199</v>
      </c>
      <c r="O135">
        <v>183</v>
      </c>
      <c r="P135">
        <v>310</v>
      </c>
      <c r="S135">
        <v>91</v>
      </c>
      <c r="T135">
        <v>906.59999999999945</v>
      </c>
      <c r="U135">
        <v>971.35000000000036</v>
      </c>
      <c r="V135">
        <v>906.59999999999945</v>
      </c>
      <c r="W135">
        <v>2255.1999999999998</v>
      </c>
      <c r="X135">
        <v>2298.8000000000002</v>
      </c>
      <c r="Y135">
        <v>2461.1999999999998</v>
      </c>
    </row>
    <row r="136" spans="1:25" x14ac:dyDescent="0.35">
      <c r="A136">
        <v>92</v>
      </c>
      <c r="B136">
        <v>906.59999999999945</v>
      </c>
      <c r="C136">
        <v>977.82499999999891</v>
      </c>
      <c r="D136">
        <v>906.59999999999945</v>
      </c>
      <c r="E136">
        <v>-1281.8500000000004</v>
      </c>
      <c r="F136">
        <v>-355.92500000000109</v>
      </c>
      <c r="G136">
        <v>-2136.5500000000002</v>
      </c>
      <c r="J136">
        <v>92</v>
      </c>
      <c r="K136">
        <v>0</v>
      </c>
      <c r="L136">
        <v>0</v>
      </c>
      <c r="M136">
        <v>0</v>
      </c>
      <c r="N136">
        <v>225</v>
      </c>
      <c r="O136">
        <v>187</v>
      </c>
      <c r="P136">
        <v>337</v>
      </c>
      <c r="S136">
        <v>92</v>
      </c>
      <c r="T136">
        <v>906.59999999999945</v>
      </c>
      <c r="U136">
        <v>1010.1999999999989</v>
      </c>
      <c r="V136">
        <v>906.59999999999945</v>
      </c>
      <c r="W136">
        <v>768.79692678175297</v>
      </c>
      <c r="X136">
        <v>2237.375</v>
      </c>
      <c r="Y136">
        <v>2465.1999999999998</v>
      </c>
    </row>
    <row r="137" spans="1:25" x14ac:dyDescent="0.35">
      <c r="A137">
        <v>93</v>
      </c>
      <c r="B137">
        <v>906.59999999999945</v>
      </c>
      <c r="C137">
        <v>964.875</v>
      </c>
      <c r="D137">
        <v>906.59999999999945</v>
      </c>
      <c r="E137">
        <v>-1178.25</v>
      </c>
      <c r="F137">
        <v>-142.25</v>
      </c>
      <c r="G137">
        <v>-2434.4000000000005</v>
      </c>
      <c r="J137">
        <v>93</v>
      </c>
      <c r="K137">
        <v>0</v>
      </c>
      <c r="L137">
        <v>0</v>
      </c>
      <c r="M137">
        <v>0</v>
      </c>
      <c r="N137">
        <v>210</v>
      </c>
      <c r="O137">
        <v>175</v>
      </c>
      <c r="P137">
        <v>343</v>
      </c>
      <c r="S137">
        <v>93</v>
      </c>
      <c r="T137">
        <v>906.59999999999945</v>
      </c>
      <c r="U137">
        <v>984.29999999999927</v>
      </c>
      <c r="V137">
        <v>906.59999999999945</v>
      </c>
      <c r="W137">
        <v>2259.1999999999994</v>
      </c>
      <c r="X137">
        <v>650.23850644885874</v>
      </c>
      <c r="Y137">
        <v>2429.1999999999989</v>
      </c>
    </row>
    <row r="138" spans="1:25" x14ac:dyDescent="0.35">
      <c r="A138">
        <v>94</v>
      </c>
      <c r="B138">
        <v>906.59999999999945</v>
      </c>
      <c r="C138">
        <v>971.34999999999945</v>
      </c>
      <c r="D138">
        <v>919.54999999999927</v>
      </c>
      <c r="E138">
        <v>-1191.2000000000007</v>
      </c>
      <c r="F138">
        <v>-472.47500000000036</v>
      </c>
      <c r="G138">
        <v>-2240.1500000000005</v>
      </c>
      <c r="J138">
        <v>94</v>
      </c>
      <c r="K138">
        <v>0</v>
      </c>
      <c r="L138">
        <v>0</v>
      </c>
      <c r="M138">
        <v>0</v>
      </c>
      <c r="N138">
        <v>231</v>
      </c>
      <c r="O138">
        <v>174</v>
      </c>
      <c r="P138">
        <v>337</v>
      </c>
      <c r="S138">
        <v>94</v>
      </c>
      <c r="T138">
        <v>906.59999999999945</v>
      </c>
      <c r="U138">
        <v>951.92499999999927</v>
      </c>
      <c r="V138">
        <v>906.59999999999945</v>
      </c>
      <c r="W138">
        <v>1374.5630613043922</v>
      </c>
      <c r="X138">
        <v>2195.474999999999</v>
      </c>
      <c r="Y138">
        <v>2437.1999999999989</v>
      </c>
    </row>
    <row r="139" spans="1:25" x14ac:dyDescent="0.35">
      <c r="A139">
        <v>95</v>
      </c>
      <c r="B139">
        <v>906.59999999999945</v>
      </c>
      <c r="C139">
        <v>997.24999999999909</v>
      </c>
      <c r="D139">
        <v>906.59999999999945</v>
      </c>
      <c r="E139">
        <v>-854.5</v>
      </c>
      <c r="F139">
        <v>-763.85000000000036</v>
      </c>
      <c r="G139">
        <v>-2253.1000000000004</v>
      </c>
      <c r="J139">
        <v>95</v>
      </c>
      <c r="K139">
        <v>0</v>
      </c>
      <c r="L139">
        <v>0</v>
      </c>
      <c r="M139">
        <v>0</v>
      </c>
      <c r="N139">
        <v>220</v>
      </c>
      <c r="O139">
        <v>172</v>
      </c>
      <c r="P139">
        <v>332</v>
      </c>
      <c r="S139">
        <v>95</v>
      </c>
      <c r="T139">
        <v>906.59999999999945</v>
      </c>
      <c r="U139">
        <v>958.39999999999964</v>
      </c>
      <c r="V139">
        <v>906.60000000000036</v>
      </c>
      <c r="W139">
        <v>2279.1999999999994</v>
      </c>
      <c r="X139">
        <v>2208.5249999999996</v>
      </c>
      <c r="Y139">
        <v>2242.7874044014679</v>
      </c>
    </row>
    <row r="140" spans="1:25" x14ac:dyDescent="0.35">
      <c r="A140">
        <v>96</v>
      </c>
      <c r="B140">
        <v>906.59999999999945</v>
      </c>
      <c r="C140">
        <v>964.875</v>
      </c>
      <c r="D140">
        <v>906.60000000000036</v>
      </c>
      <c r="E140">
        <v>-854.5</v>
      </c>
      <c r="F140">
        <v>-330.02500000000055</v>
      </c>
      <c r="G140">
        <v>-2032.9500000000007</v>
      </c>
      <c r="J140">
        <v>96</v>
      </c>
      <c r="K140">
        <v>0</v>
      </c>
      <c r="L140">
        <v>0</v>
      </c>
      <c r="M140">
        <v>0</v>
      </c>
      <c r="N140">
        <v>237</v>
      </c>
      <c r="O140">
        <v>186</v>
      </c>
      <c r="P140">
        <v>311</v>
      </c>
      <c r="S140">
        <v>96</v>
      </c>
      <c r="T140">
        <v>906.59999999999945</v>
      </c>
      <c r="U140">
        <v>964.87499999999909</v>
      </c>
      <c r="V140">
        <v>906.59999999999945</v>
      </c>
      <c r="W140">
        <v>2297.1999999999989</v>
      </c>
      <c r="X140">
        <v>2226.0499999999997</v>
      </c>
      <c r="Y140">
        <v>2479.1999999999989</v>
      </c>
    </row>
    <row r="141" spans="1:25" x14ac:dyDescent="0.35">
      <c r="A141">
        <v>97</v>
      </c>
      <c r="B141">
        <v>906.59999999999945</v>
      </c>
      <c r="C141">
        <v>958.39999999999964</v>
      </c>
      <c r="D141">
        <v>906.59999999999945</v>
      </c>
      <c r="E141">
        <v>-1346.6000000000004</v>
      </c>
      <c r="F141">
        <v>-342.97500000000036</v>
      </c>
      <c r="G141">
        <v>-2214.25</v>
      </c>
      <c r="J141">
        <v>97</v>
      </c>
      <c r="K141">
        <v>0</v>
      </c>
      <c r="L141">
        <v>0</v>
      </c>
      <c r="M141">
        <v>0</v>
      </c>
      <c r="N141">
        <v>208</v>
      </c>
      <c r="O141">
        <v>171</v>
      </c>
      <c r="P141">
        <v>316</v>
      </c>
      <c r="S141">
        <v>97</v>
      </c>
      <c r="T141">
        <v>906.59999999999945</v>
      </c>
      <c r="U141">
        <v>1003.7249999999995</v>
      </c>
      <c r="V141">
        <v>906.59999999999945</v>
      </c>
      <c r="W141">
        <v>-789.75</v>
      </c>
      <c r="X141">
        <v>2229.9499999999998</v>
      </c>
      <c r="Y141">
        <v>1222.024487648202</v>
      </c>
    </row>
    <row r="142" spans="1:25" x14ac:dyDescent="0.35">
      <c r="A142">
        <v>98</v>
      </c>
      <c r="B142">
        <v>906.59999999999945</v>
      </c>
      <c r="C142">
        <v>997.25</v>
      </c>
      <c r="D142">
        <v>906.59999999999945</v>
      </c>
      <c r="E142">
        <v>-1035.8000000000002</v>
      </c>
      <c r="F142">
        <v>-608.45000000000073</v>
      </c>
      <c r="G142">
        <v>-2369.6500000000005</v>
      </c>
      <c r="J142">
        <v>98</v>
      </c>
      <c r="K142">
        <v>0</v>
      </c>
      <c r="L142">
        <v>0</v>
      </c>
      <c r="M142">
        <v>0</v>
      </c>
      <c r="N142">
        <v>233</v>
      </c>
      <c r="O142">
        <v>192</v>
      </c>
      <c r="P142">
        <v>322</v>
      </c>
      <c r="S142">
        <v>98</v>
      </c>
      <c r="T142">
        <v>906.59999999999945</v>
      </c>
      <c r="U142">
        <v>977.82499999999891</v>
      </c>
      <c r="V142">
        <v>906.59999999999945</v>
      </c>
      <c r="W142">
        <v>-1476.1000000000004</v>
      </c>
      <c r="X142">
        <v>2151.5749999999994</v>
      </c>
      <c r="Y142">
        <v>2457.1999999999998</v>
      </c>
    </row>
    <row r="143" spans="1:25" x14ac:dyDescent="0.35">
      <c r="A143">
        <v>99</v>
      </c>
      <c r="B143">
        <v>906.59999999999945</v>
      </c>
      <c r="C143">
        <v>951.92500000000018</v>
      </c>
      <c r="D143">
        <v>906.59999999999945</v>
      </c>
      <c r="E143">
        <v>-854.5</v>
      </c>
      <c r="F143">
        <v>-601.97500000000036</v>
      </c>
      <c r="G143">
        <v>-2175.4000000000005</v>
      </c>
      <c r="J143">
        <v>99</v>
      </c>
      <c r="K143">
        <v>0</v>
      </c>
      <c r="L143">
        <v>0</v>
      </c>
      <c r="M143">
        <v>0</v>
      </c>
      <c r="N143">
        <v>212</v>
      </c>
      <c r="O143">
        <v>197</v>
      </c>
      <c r="P143">
        <v>317</v>
      </c>
      <c r="S143">
        <v>99</v>
      </c>
      <c r="T143">
        <v>906.59999999999945</v>
      </c>
      <c r="U143">
        <v>951.92499999999927</v>
      </c>
      <c r="V143">
        <v>919.54999999999927</v>
      </c>
      <c r="W143">
        <v>2289.1999999999994</v>
      </c>
      <c r="X143">
        <v>2290.7999999999997</v>
      </c>
      <c r="Y143">
        <v>117.5791788030856</v>
      </c>
    </row>
    <row r="144" spans="1:25" x14ac:dyDescent="0.35">
      <c r="A144">
        <v>100</v>
      </c>
      <c r="B144">
        <v>906.59999999999945</v>
      </c>
      <c r="C144">
        <v>1023.1499999999987</v>
      </c>
      <c r="D144">
        <v>906.59999999999945</v>
      </c>
      <c r="E144">
        <v>-1100.5500000000002</v>
      </c>
      <c r="F144">
        <v>-304.125</v>
      </c>
      <c r="G144">
        <v>-2576.8500000000004</v>
      </c>
      <c r="J144">
        <v>100</v>
      </c>
      <c r="K144">
        <v>0</v>
      </c>
      <c r="L144">
        <v>0</v>
      </c>
      <c r="M144">
        <v>0</v>
      </c>
      <c r="N144">
        <v>240</v>
      </c>
      <c r="O144">
        <v>166</v>
      </c>
      <c r="P144">
        <v>304</v>
      </c>
      <c r="S144">
        <v>100</v>
      </c>
      <c r="T144">
        <v>906.59999999999945</v>
      </c>
      <c r="U144">
        <v>964.87499999999909</v>
      </c>
      <c r="V144">
        <v>906.59999999999945</v>
      </c>
      <c r="W144">
        <v>2223.1999999999998</v>
      </c>
      <c r="X144">
        <v>2257.9499999999998</v>
      </c>
      <c r="Y144">
        <v>2223.7970042547477</v>
      </c>
    </row>
    <row r="145" spans="1:25" x14ac:dyDescent="0.35">
      <c r="A145">
        <v>101</v>
      </c>
      <c r="B145">
        <v>906.59999999999945</v>
      </c>
      <c r="C145">
        <v>951.92500000000018</v>
      </c>
      <c r="D145">
        <v>906.59999999999945</v>
      </c>
      <c r="E145">
        <v>-802.70000000000073</v>
      </c>
      <c r="F145">
        <v>-653.77499999999964</v>
      </c>
      <c r="G145">
        <v>-2253.1000000000004</v>
      </c>
      <c r="J145">
        <v>101</v>
      </c>
      <c r="K145">
        <v>0</v>
      </c>
      <c r="L145">
        <v>0</v>
      </c>
      <c r="M145">
        <v>0</v>
      </c>
      <c r="N145">
        <v>207</v>
      </c>
      <c r="O145">
        <v>174</v>
      </c>
      <c r="P145">
        <v>344</v>
      </c>
      <c r="S145">
        <v>101</v>
      </c>
      <c r="T145">
        <v>906.59999999999945</v>
      </c>
      <c r="U145">
        <v>964.87499999999909</v>
      </c>
      <c r="V145">
        <v>906.59999999999945</v>
      </c>
      <c r="W145">
        <v>2317.1999999999989</v>
      </c>
      <c r="X145">
        <v>2235.474999999999</v>
      </c>
      <c r="Y145">
        <v>1573.1908529563534</v>
      </c>
    </row>
    <row r="146" spans="1:25" x14ac:dyDescent="0.35">
      <c r="A146">
        <v>102</v>
      </c>
      <c r="B146">
        <v>906.59999999999945</v>
      </c>
      <c r="C146">
        <v>964.87499999999909</v>
      </c>
      <c r="D146">
        <v>906.59999999999945</v>
      </c>
      <c r="E146">
        <v>-1009.9000000000005</v>
      </c>
      <c r="F146">
        <v>-433.625</v>
      </c>
      <c r="G146">
        <v>-2343.75</v>
      </c>
      <c r="J146">
        <v>102</v>
      </c>
      <c r="K146">
        <v>0</v>
      </c>
      <c r="L146">
        <v>0</v>
      </c>
      <c r="M146">
        <v>0</v>
      </c>
      <c r="N146">
        <v>231</v>
      </c>
      <c r="O146">
        <v>192</v>
      </c>
      <c r="P146">
        <v>321</v>
      </c>
      <c r="S146">
        <v>102</v>
      </c>
      <c r="T146">
        <v>906.59999999999945</v>
      </c>
      <c r="U146">
        <v>1016.6750000000002</v>
      </c>
      <c r="V146">
        <v>906.59999999999945</v>
      </c>
      <c r="W146">
        <v>-671.74160920732015</v>
      </c>
      <c r="X146">
        <v>2219.474999999999</v>
      </c>
      <c r="Y146">
        <v>2466.1499999999996</v>
      </c>
    </row>
    <row r="147" spans="1:25" x14ac:dyDescent="0.35">
      <c r="A147">
        <v>103</v>
      </c>
      <c r="B147">
        <v>906.59999999999945</v>
      </c>
      <c r="C147">
        <v>951.92499999999927</v>
      </c>
      <c r="D147">
        <v>906.59999999999945</v>
      </c>
      <c r="E147">
        <v>-1061.7000000000007</v>
      </c>
      <c r="F147">
        <v>-569.60000000000036</v>
      </c>
      <c r="G147">
        <v>-2447.3500000000004</v>
      </c>
      <c r="J147">
        <v>103</v>
      </c>
      <c r="K147">
        <v>0</v>
      </c>
      <c r="L147">
        <v>0</v>
      </c>
      <c r="M147">
        <v>0</v>
      </c>
      <c r="N147">
        <v>215</v>
      </c>
      <c r="O147">
        <v>182</v>
      </c>
      <c r="P147">
        <v>323</v>
      </c>
      <c r="S147">
        <v>103</v>
      </c>
      <c r="T147">
        <v>906.59999999999945</v>
      </c>
      <c r="U147">
        <v>984.29999999999927</v>
      </c>
      <c r="V147">
        <v>906.60000000000036</v>
      </c>
      <c r="W147">
        <v>2189.1999999999994</v>
      </c>
      <c r="X147">
        <v>2209.9499999999998</v>
      </c>
      <c r="Y147">
        <v>1305.5217404011682</v>
      </c>
    </row>
    <row r="148" spans="1:25" x14ac:dyDescent="0.35">
      <c r="A148">
        <v>104</v>
      </c>
      <c r="B148">
        <v>906.59999999999945</v>
      </c>
      <c r="C148">
        <v>1010.1999999999998</v>
      </c>
      <c r="D148">
        <v>906.59999999999945</v>
      </c>
      <c r="E148">
        <v>-996.95000000000073</v>
      </c>
      <c r="F148">
        <v>-841.55000000000109</v>
      </c>
      <c r="G148">
        <v>-2486.1999999999998</v>
      </c>
      <c r="J148">
        <v>104</v>
      </c>
      <c r="K148">
        <v>0</v>
      </c>
      <c r="L148">
        <v>0</v>
      </c>
      <c r="M148">
        <v>0</v>
      </c>
      <c r="N148">
        <v>202</v>
      </c>
      <c r="O148">
        <v>163</v>
      </c>
      <c r="P148">
        <v>311</v>
      </c>
      <c r="S148">
        <v>104</v>
      </c>
      <c r="T148">
        <v>906.59999999999945</v>
      </c>
      <c r="U148">
        <v>984.29999999999927</v>
      </c>
      <c r="V148">
        <v>906.59999999999945</v>
      </c>
      <c r="W148">
        <v>1534.2792813659057</v>
      </c>
      <c r="X148">
        <v>1635.4559390730421</v>
      </c>
      <c r="Y148">
        <v>2427.1999999999989</v>
      </c>
    </row>
    <row r="149" spans="1:25" x14ac:dyDescent="0.35">
      <c r="A149">
        <v>105</v>
      </c>
      <c r="B149">
        <v>906.59999999999945</v>
      </c>
      <c r="C149">
        <v>1003.7249999999995</v>
      </c>
      <c r="D149">
        <v>919.54999999999927</v>
      </c>
      <c r="E149">
        <v>-1191.2000000000007</v>
      </c>
      <c r="F149">
        <v>-388.30000000000109</v>
      </c>
      <c r="G149">
        <v>-2356.6999999999998</v>
      </c>
      <c r="J149">
        <v>105</v>
      </c>
      <c r="K149">
        <v>0</v>
      </c>
      <c r="L149">
        <v>0</v>
      </c>
      <c r="M149">
        <v>0</v>
      </c>
      <c r="N149">
        <v>233</v>
      </c>
      <c r="O149">
        <v>180</v>
      </c>
      <c r="P149">
        <v>340</v>
      </c>
      <c r="S149">
        <v>105</v>
      </c>
      <c r="T149">
        <v>906.59999999999945</v>
      </c>
      <c r="U149">
        <v>951.92499999999927</v>
      </c>
      <c r="V149">
        <v>906.59999999999945</v>
      </c>
      <c r="W149">
        <v>2241.1999999999994</v>
      </c>
      <c r="X149">
        <v>2209.9499999999998</v>
      </c>
      <c r="Y149">
        <v>-605.75365783122993</v>
      </c>
    </row>
    <row r="150" spans="1:25" x14ac:dyDescent="0.35">
      <c r="A150">
        <v>106</v>
      </c>
      <c r="B150">
        <v>906.59999999999945</v>
      </c>
      <c r="C150">
        <v>971.35000000000036</v>
      </c>
      <c r="D150">
        <v>906.60000000000036</v>
      </c>
      <c r="E150">
        <v>-984</v>
      </c>
      <c r="F150">
        <v>-511.32500000000073</v>
      </c>
      <c r="G150">
        <v>-2563.9000000000005</v>
      </c>
      <c r="J150">
        <v>106</v>
      </c>
      <c r="K150">
        <v>0</v>
      </c>
      <c r="L150">
        <v>0</v>
      </c>
      <c r="M150">
        <v>0</v>
      </c>
      <c r="N150">
        <v>208</v>
      </c>
      <c r="O150">
        <v>159</v>
      </c>
      <c r="P150">
        <v>322</v>
      </c>
      <c r="S150">
        <v>106</v>
      </c>
      <c r="T150">
        <v>906.59999999999945</v>
      </c>
      <c r="U150">
        <v>971.35000000000036</v>
      </c>
      <c r="V150">
        <v>906.60000000000036</v>
      </c>
      <c r="W150">
        <v>-1113.5</v>
      </c>
      <c r="X150">
        <v>-811.71572432224309</v>
      </c>
      <c r="Y150">
        <v>-2395.5500000000002</v>
      </c>
    </row>
    <row r="151" spans="1:25" x14ac:dyDescent="0.35">
      <c r="A151">
        <v>107</v>
      </c>
      <c r="B151">
        <v>906.59999999999945</v>
      </c>
      <c r="C151">
        <v>964.875</v>
      </c>
      <c r="D151">
        <v>906.59999999999945</v>
      </c>
      <c r="E151">
        <v>-906.30000000000018</v>
      </c>
      <c r="F151">
        <v>-576.07500000000073</v>
      </c>
      <c r="G151">
        <v>-2201.3000000000002</v>
      </c>
      <c r="J151">
        <v>107</v>
      </c>
      <c r="K151">
        <v>0</v>
      </c>
      <c r="L151">
        <v>0</v>
      </c>
      <c r="M151">
        <v>0</v>
      </c>
      <c r="N151">
        <v>242</v>
      </c>
      <c r="O151">
        <v>188</v>
      </c>
      <c r="P151">
        <v>315</v>
      </c>
      <c r="S151">
        <v>107</v>
      </c>
      <c r="T151">
        <v>906.59999999999945</v>
      </c>
      <c r="U151">
        <v>958.39999999999964</v>
      </c>
      <c r="V151">
        <v>906.59999999999945</v>
      </c>
      <c r="W151">
        <v>-95.494292539433445</v>
      </c>
      <c r="X151">
        <v>2223.4749999999995</v>
      </c>
      <c r="Y151">
        <v>2461.1999999999998</v>
      </c>
    </row>
    <row r="152" spans="1:25" x14ac:dyDescent="0.35">
      <c r="A152">
        <v>108</v>
      </c>
      <c r="B152">
        <v>906.59999999999945</v>
      </c>
      <c r="C152">
        <v>1003.7250000000004</v>
      </c>
      <c r="D152">
        <v>906.60000000000036</v>
      </c>
      <c r="E152">
        <v>-1022.8500000000004</v>
      </c>
      <c r="F152">
        <v>-744.42500000000109</v>
      </c>
      <c r="G152">
        <v>-2809.95</v>
      </c>
      <c r="J152">
        <v>108</v>
      </c>
      <c r="K152">
        <v>0</v>
      </c>
      <c r="L152">
        <v>0</v>
      </c>
      <c r="M152">
        <v>0</v>
      </c>
      <c r="N152">
        <v>222</v>
      </c>
      <c r="O152">
        <v>165</v>
      </c>
      <c r="P152">
        <v>322</v>
      </c>
      <c r="S152">
        <v>108</v>
      </c>
      <c r="T152">
        <v>906.59999999999945</v>
      </c>
      <c r="U152">
        <v>951.92499999999927</v>
      </c>
      <c r="V152">
        <v>906.60000000000036</v>
      </c>
      <c r="W152">
        <v>2247.1999999999989</v>
      </c>
      <c r="X152">
        <v>2226.5249999999992</v>
      </c>
      <c r="Y152">
        <v>2447.1999999999998</v>
      </c>
    </row>
    <row r="153" spans="1:25" x14ac:dyDescent="0.35">
      <c r="A153">
        <v>109</v>
      </c>
      <c r="B153">
        <v>906.59999999999945</v>
      </c>
      <c r="C153">
        <v>1010.1999999999998</v>
      </c>
      <c r="D153">
        <v>906.59999999999945</v>
      </c>
      <c r="E153">
        <v>-893.35000000000036</v>
      </c>
      <c r="F153">
        <v>-491.90000000000055</v>
      </c>
      <c r="G153">
        <v>-2460.3000000000002</v>
      </c>
      <c r="J153">
        <v>109</v>
      </c>
      <c r="K153">
        <v>0</v>
      </c>
      <c r="L153">
        <v>0</v>
      </c>
      <c r="M153">
        <v>0</v>
      </c>
      <c r="N153">
        <v>221</v>
      </c>
      <c r="O153">
        <v>177</v>
      </c>
      <c r="P153">
        <v>304</v>
      </c>
      <c r="S153">
        <v>109</v>
      </c>
      <c r="T153">
        <v>906.59999999999945</v>
      </c>
      <c r="U153">
        <v>1029.625</v>
      </c>
      <c r="V153">
        <v>906.59999999999945</v>
      </c>
      <c r="W153">
        <v>2265.1999999999998</v>
      </c>
      <c r="X153">
        <v>2203.4749999999995</v>
      </c>
      <c r="Y153">
        <v>2441.1999999999998</v>
      </c>
    </row>
    <row r="154" spans="1:25" x14ac:dyDescent="0.35">
      <c r="A154">
        <v>110</v>
      </c>
      <c r="B154">
        <v>906.59999999999945</v>
      </c>
      <c r="C154">
        <v>938.97499999999945</v>
      </c>
      <c r="D154">
        <v>906.59999999999945</v>
      </c>
      <c r="E154">
        <v>-660.25</v>
      </c>
      <c r="F154">
        <v>-530.75</v>
      </c>
      <c r="G154">
        <v>-2032.9500000000007</v>
      </c>
      <c r="J154">
        <v>110</v>
      </c>
      <c r="K154">
        <v>0</v>
      </c>
      <c r="L154">
        <v>0</v>
      </c>
      <c r="M154">
        <v>0</v>
      </c>
      <c r="N154">
        <v>205</v>
      </c>
      <c r="O154">
        <v>180</v>
      </c>
      <c r="P154">
        <v>325</v>
      </c>
      <c r="S154">
        <v>110</v>
      </c>
      <c r="T154">
        <v>906.59999999999945</v>
      </c>
      <c r="U154">
        <v>984.29999999999927</v>
      </c>
      <c r="V154">
        <v>906.59999999999945</v>
      </c>
      <c r="W154">
        <v>2223.1999999999998</v>
      </c>
      <c r="X154">
        <v>2186.5249999999992</v>
      </c>
      <c r="Y154">
        <v>-1290.6568405858322</v>
      </c>
    </row>
    <row r="155" spans="1:25" x14ac:dyDescent="0.35">
      <c r="A155">
        <v>111</v>
      </c>
      <c r="B155">
        <v>906.59999999999945</v>
      </c>
      <c r="C155">
        <v>977.82499999999982</v>
      </c>
      <c r="D155">
        <v>906.59999999999945</v>
      </c>
      <c r="E155">
        <v>-750.90000000000055</v>
      </c>
      <c r="F155">
        <v>-440.10000000000036</v>
      </c>
      <c r="G155">
        <v>-2382.6000000000004</v>
      </c>
      <c r="J155">
        <v>111</v>
      </c>
      <c r="K155">
        <v>0</v>
      </c>
      <c r="L155">
        <v>0</v>
      </c>
      <c r="M155">
        <v>0</v>
      </c>
      <c r="N155">
        <v>224</v>
      </c>
      <c r="O155">
        <v>186</v>
      </c>
      <c r="P155">
        <v>329</v>
      </c>
      <c r="S155">
        <v>111</v>
      </c>
      <c r="T155">
        <v>906.59999999999945</v>
      </c>
      <c r="U155">
        <v>951.92499999999927</v>
      </c>
      <c r="V155">
        <v>906.60000000000036</v>
      </c>
      <c r="W155">
        <v>2259.1999999999994</v>
      </c>
      <c r="X155">
        <v>360.13027510059146</v>
      </c>
      <c r="Y155">
        <v>1606.8436194790979</v>
      </c>
    </row>
    <row r="156" spans="1:25" x14ac:dyDescent="0.35">
      <c r="A156">
        <v>112</v>
      </c>
      <c r="B156">
        <v>906.59999999999945</v>
      </c>
      <c r="C156">
        <v>951.92499999999927</v>
      </c>
      <c r="D156">
        <v>906.60000000000036</v>
      </c>
      <c r="E156">
        <v>-1048.75</v>
      </c>
      <c r="F156">
        <v>-504.85000000000036</v>
      </c>
      <c r="G156">
        <v>-2382.6000000000004</v>
      </c>
      <c r="J156">
        <v>112</v>
      </c>
      <c r="K156">
        <v>0</v>
      </c>
      <c r="L156">
        <v>0</v>
      </c>
      <c r="M156">
        <v>0</v>
      </c>
      <c r="N156">
        <v>220</v>
      </c>
      <c r="O156">
        <v>208</v>
      </c>
      <c r="P156">
        <v>348</v>
      </c>
      <c r="S156">
        <v>112</v>
      </c>
      <c r="T156">
        <v>906.59999999999945</v>
      </c>
      <c r="U156">
        <v>958.39999999999964</v>
      </c>
      <c r="V156">
        <v>906.60000000000036</v>
      </c>
      <c r="W156">
        <v>2235.1999999999998</v>
      </c>
      <c r="X156">
        <v>2224.0500000000002</v>
      </c>
      <c r="Y156">
        <v>2489.1999999999989</v>
      </c>
    </row>
    <row r="157" spans="1:25" x14ac:dyDescent="0.35">
      <c r="A157">
        <v>113</v>
      </c>
      <c r="B157">
        <v>906.59999999999945</v>
      </c>
      <c r="C157">
        <v>964.875</v>
      </c>
      <c r="D157">
        <v>906.60000000000036</v>
      </c>
      <c r="E157">
        <v>-984</v>
      </c>
      <c r="F157">
        <v>-550.17500000000018</v>
      </c>
      <c r="G157">
        <v>-2188.3500000000004</v>
      </c>
      <c r="J157">
        <v>113</v>
      </c>
      <c r="K157">
        <v>0</v>
      </c>
      <c r="L157">
        <v>0</v>
      </c>
      <c r="M157">
        <v>0</v>
      </c>
      <c r="N157">
        <v>209</v>
      </c>
      <c r="O157">
        <v>174</v>
      </c>
      <c r="P157">
        <v>319</v>
      </c>
      <c r="S157">
        <v>113</v>
      </c>
      <c r="T157">
        <v>906.59999999999945</v>
      </c>
      <c r="U157">
        <v>932.5</v>
      </c>
      <c r="V157">
        <v>906.59999999999945</v>
      </c>
      <c r="W157">
        <v>2289.1999999999994</v>
      </c>
      <c r="X157">
        <v>2289.3749999999991</v>
      </c>
      <c r="Y157">
        <v>2471.1999999999998</v>
      </c>
    </row>
    <row r="158" spans="1:25" x14ac:dyDescent="0.35">
      <c r="A158">
        <v>114</v>
      </c>
      <c r="B158">
        <v>906.59999999999945</v>
      </c>
      <c r="C158">
        <v>958.39999999999964</v>
      </c>
      <c r="D158">
        <v>906.59999999999945</v>
      </c>
      <c r="E158">
        <v>-984</v>
      </c>
      <c r="F158">
        <v>-271.75</v>
      </c>
      <c r="G158">
        <v>-2201.3000000000002</v>
      </c>
      <c r="J158">
        <v>114</v>
      </c>
      <c r="K158">
        <v>0</v>
      </c>
      <c r="L158">
        <v>0</v>
      </c>
      <c r="M158">
        <v>0</v>
      </c>
      <c r="N158">
        <v>208</v>
      </c>
      <c r="O158">
        <v>186</v>
      </c>
      <c r="P158">
        <v>320</v>
      </c>
      <c r="S158">
        <v>114</v>
      </c>
      <c r="T158">
        <v>906.59999999999945</v>
      </c>
      <c r="U158">
        <v>958.39999999999964</v>
      </c>
      <c r="V158">
        <v>906.59999999999945</v>
      </c>
      <c r="W158">
        <v>2249.1999999999994</v>
      </c>
      <c r="X158">
        <v>2122.6715429009382</v>
      </c>
      <c r="Y158">
        <v>-2022.1637768183816</v>
      </c>
    </row>
    <row r="159" spans="1:25" x14ac:dyDescent="0.35">
      <c r="A159">
        <v>115</v>
      </c>
      <c r="B159">
        <v>906.59999999999945</v>
      </c>
      <c r="C159">
        <v>971.34999999999945</v>
      </c>
      <c r="D159">
        <v>906.59999999999945</v>
      </c>
      <c r="E159">
        <v>-1022.8500000000004</v>
      </c>
      <c r="F159">
        <v>-660.25</v>
      </c>
      <c r="G159">
        <v>-2162.4500000000007</v>
      </c>
      <c r="J159">
        <v>115</v>
      </c>
      <c r="K159">
        <v>0</v>
      </c>
      <c r="L159">
        <v>0</v>
      </c>
      <c r="M159">
        <v>0</v>
      </c>
      <c r="N159">
        <v>225</v>
      </c>
      <c r="O159">
        <v>170</v>
      </c>
      <c r="P159">
        <v>331</v>
      </c>
      <c r="S159">
        <v>115</v>
      </c>
      <c r="T159">
        <v>906.59999999999945</v>
      </c>
      <c r="U159">
        <v>971.35000000000036</v>
      </c>
      <c r="V159">
        <v>906.60000000000036</v>
      </c>
      <c r="W159">
        <v>-1100.5500000000002</v>
      </c>
      <c r="X159">
        <v>2232.4249999999997</v>
      </c>
      <c r="Y159">
        <v>1458.0131121088489</v>
      </c>
    </row>
    <row r="160" spans="1:25" x14ac:dyDescent="0.35">
      <c r="A160">
        <v>116</v>
      </c>
      <c r="B160">
        <v>906.59999999999945</v>
      </c>
      <c r="C160">
        <v>932.49999999999909</v>
      </c>
      <c r="D160">
        <v>906.60000000000036</v>
      </c>
      <c r="E160">
        <v>-776.80000000000018</v>
      </c>
      <c r="F160">
        <v>-569.60000000000036</v>
      </c>
      <c r="G160">
        <v>-2084.75</v>
      </c>
      <c r="J160">
        <v>116</v>
      </c>
      <c r="K160">
        <v>0</v>
      </c>
      <c r="L160">
        <v>0</v>
      </c>
      <c r="M160">
        <v>0</v>
      </c>
      <c r="N160">
        <v>190</v>
      </c>
      <c r="O160">
        <v>180</v>
      </c>
      <c r="P160">
        <v>313</v>
      </c>
      <c r="S160">
        <v>116</v>
      </c>
      <c r="T160">
        <v>906.59999999999945</v>
      </c>
      <c r="U160">
        <v>1010.1999999999989</v>
      </c>
      <c r="V160">
        <v>919.54999999999927</v>
      </c>
      <c r="W160">
        <v>1009.5762591597422</v>
      </c>
      <c r="X160">
        <v>2263.4749999999995</v>
      </c>
      <c r="Y160">
        <v>2429.1999999999989</v>
      </c>
    </row>
    <row r="161" spans="1:25" x14ac:dyDescent="0.35">
      <c r="A161">
        <v>117</v>
      </c>
      <c r="B161">
        <v>906.59999999999945</v>
      </c>
      <c r="C161">
        <v>990.77499999999964</v>
      </c>
      <c r="D161">
        <v>906.59999999999945</v>
      </c>
      <c r="E161">
        <v>-984</v>
      </c>
      <c r="F161">
        <v>-601.97500000000036</v>
      </c>
      <c r="G161">
        <v>-2499.1500000000005</v>
      </c>
      <c r="J161">
        <v>117</v>
      </c>
      <c r="K161">
        <v>0</v>
      </c>
      <c r="L161">
        <v>0</v>
      </c>
      <c r="M161">
        <v>0</v>
      </c>
      <c r="N161">
        <v>221</v>
      </c>
      <c r="O161">
        <v>207</v>
      </c>
      <c r="P161">
        <v>343</v>
      </c>
      <c r="S161">
        <v>117</v>
      </c>
      <c r="T161">
        <v>906.59999999999945</v>
      </c>
      <c r="U161">
        <v>971.34999999999945</v>
      </c>
      <c r="V161">
        <v>906.59999999999945</v>
      </c>
      <c r="W161">
        <v>2261.1999999999994</v>
      </c>
      <c r="X161">
        <v>2217.4749999999999</v>
      </c>
      <c r="Y161">
        <v>2032.3780200988595</v>
      </c>
    </row>
    <row r="162" spans="1:25" x14ac:dyDescent="0.35">
      <c r="A162">
        <v>118</v>
      </c>
      <c r="B162">
        <v>906.59999999999945</v>
      </c>
      <c r="C162">
        <v>1010.1999999999989</v>
      </c>
      <c r="D162">
        <v>906.59999999999945</v>
      </c>
      <c r="E162">
        <v>-1009.9000000000005</v>
      </c>
      <c r="F162">
        <v>-297.64999999999964</v>
      </c>
      <c r="G162">
        <v>-2538</v>
      </c>
      <c r="J162">
        <v>118</v>
      </c>
      <c r="K162">
        <v>0</v>
      </c>
      <c r="L162">
        <v>0</v>
      </c>
      <c r="M162">
        <v>0</v>
      </c>
      <c r="N162">
        <v>231</v>
      </c>
      <c r="O162">
        <v>198</v>
      </c>
      <c r="P162">
        <v>292</v>
      </c>
      <c r="S162">
        <v>118</v>
      </c>
      <c r="T162">
        <v>906.59999999999945</v>
      </c>
      <c r="U162">
        <v>951.92500000000018</v>
      </c>
      <c r="V162">
        <v>906.59999999999945</v>
      </c>
      <c r="W162">
        <v>2293.1999999999998</v>
      </c>
      <c r="X162">
        <v>1653.939239806313</v>
      </c>
      <c r="Y162">
        <v>2487.1999999999998</v>
      </c>
    </row>
    <row r="163" spans="1:25" x14ac:dyDescent="0.35">
      <c r="A163">
        <v>119</v>
      </c>
      <c r="B163">
        <v>906.59999999999945</v>
      </c>
      <c r="C163">
        <v>958.39999999999873</v>
      </c>
      <c r="D163">
        <v>906.60000000000036</v>
      </c>
      <c r="E163">
        <v>-1048.75</v>
      </c>
      <c r="F163">
        <v>-686.15000000000055</v>
      </c>
      <c r="G163">
        <v>-2563.9000000000005</v>
      </c>
      <c r="J163">
        <v>119</v>
      </c>
      <c r="K163">
        <v>0</v>
      </c>
      <c r="L163">
        <v>0</v>
      </c>
      <c r="M163">
        <v>0</v>
      </c>
      <c r="N163">
        <v>221</v>
      </c>
      <c r="O163">
        <v>188</v>
      </c>
      <c r="P163">
        <v>312</v>
      </c>
      <c r="S163">
        <v>119</v>
      </c>
      <c r="T163">
        <v>906.59999999999945</v>
      </c>
      <c r="U163">
        <v>984.29999999999927</v>
      </c>
      <c r="V163">
        <v>906.59999999999945</v>
      </c>
      <c r="W163">
        <v>202.32927643334256</v>
      </c>
      <c r="X163">
        <v>2239.474999999999</v>
      </c>
      <c r="Y163">
        <v>-2428.8402518544849</v>
      </c>
    </row>
    <row r="164" spans="1:25" x14ac:dyDescent="0.35">
      <c r="A164">
        <v>120</v>
      </c>
      <c r="B164">
        <v>906.59999999999945</v>
      </c>
      <c r="C164">
        <v>964.875</v>
      </c>
      <c r="D164">
        <v>906.59999999999945</v>
      </c>
      <c r="E164">
        <v>-1268.9000000000005</v>
      </c>
      <c r="F164">
        <v>-647.30000000000018</v>
      </c>
      <c r="G164">
        <v>-2382.6000000000004</v>
      </c>
      <c r="J164">
        <v>120</v>
      </c>
      <c r="K164">
        <v>0</v>
      </c>
      <c r="L164">
        <v>0</v>
      </c>
      <c r="M164">
        <v>0</v>
      </c>
      <c r="N164">
        <v>212</v>
      </c>
      <c r="O164">
        <v>163</v>
      </c>
      <c r="P164">
        <v>334</v>
      </c>
      <c r="S164">
        <v>120</v>
      </c>
      <c r="T164">
        <v>906.59999999999945</v>
      </c>
      <c r="U164">
        <v>1023.1499999999987</v>
      </c>
      <c r="V164">
        <v>906.59999999999945</v>
      </c>
      <c r="W164">
        <v>2270.998770036294</v>
      </c>
      <c r="X164">
        <v>2243.3749999999995</v>
      </c>
      <c r="Y164">
        <v>341.47503817963934</v>
      </c>
    </row>
    <row r="165" spans="1:25" x14ac:dyDescent="0.35">
      <c r="A165">
        <v>121</v>
      </c>
      <c r="B165">
        <v>906.59999999999945</v>
      </c>
      <c r="C165">
        <v>932.49999999999909</v>
      </c>
      <c r="D165">
        <v>906.59999999999945</v>
      </c>
      <c r="E165">
        <v>-1048.75</v>
      </c>
      <c r="F165">
        <v>-453.05000000000018</v>
      </c>
      <c r="G165">
        <v>-2253.1000000000004</v>
      </c>
      <c r="J165">
        <v>121</v>
      </c>
      <c r="K165">
        <v>0</v>
      </c>
      <c r="L165">
        <v>0</v>
      </c>
      <c r="M165">
        <v>0</v>
      </c>
      <c r="N165">
        <v>237</v>
      </c>
      <c r="O165">
        <v>189</v>
      </c>
      <c r="P165">
        <v>325</v>
      </c>
      <c r="S165">
        <v>121</v>
      </c>
      <c r="T165">
        <v>906.59999999999945</v>
      </c>
      <c r="U165">
        <v>971.34999999999945</v>
      </c>
      <c r="V165">
        <v>906.60000000000036</v>
      </c>
      <c r="W165">
        <v>-958.10000000000036</v>
      </c>
      <c r="X165">
        <v>2090.4982842596137</v>
      </c>
      <c r="Y165">
        <v>2463.1999999999998</v>
      </c>
    </row>
    <row r="166" spans="1:25" x14ac:dyDescent="0.35">
      <c r="A166">
        <v>122</v>
      </c>
      <c r="B166">
        <v>906.59999999999945</v>
      </c>
      <c r="C166">
        <v>945.44999999999982</v>
      </c>
      <c r="D166">
        <v>906.59999999999945</v>
      </c>
      <c r="E166">
        <v>-1035.8000000000002</v>
      </c>
      <c r="F166">
        <v>-524.27500000000055</v>
      </c>
      <c r="G166">
        <v>-1994.1000000000004</v>
      </c>
      <c r="J166">
        <v>122</v>
      </c>
      <c r="K166">
        <v>0</v>
      </c>
      <c r="L166">
        <v>0</v>
      </c>
      <c r="M166">
        <v>0</v>
      </c>
      <c r="N166">
        <v>223</v>
      </c>
      <c r="O166">
        <v>184</v>
      </c>
      <c r="P166">
        <v>326</v>
      </c>
      <c r="S166">
        <v>122</v>
      </c>
      <c r="T166">
        <v>906.59999999999945</v>
      </c>
      <c r="U166">
        <v>1016.6749999999993</v>
      </c>
      <c r="V166">
        <v>906.60000000000036</v>
      </c>
      <c r="W166">
        <v>2253.1999999999998</v>
      </c>
      <c r="X166">
        <v>2245.474999999999</v>
      </c>
      <c r="Y166">
        <v>2491.1999999999998</v>
      </c>
    </row>
    <row r="167" spans="1:25" x14ac:dyDescent="0.35">
      <c r="A167">
        <v>123</v>
      </c>
      <c r="B167">
        <v>906.59999999999945</v>
      </c>
      <c r="C167">
        <v>977.82499999999891</v>
      </c>
      <c r="D167">
        <v>906.60000000000036</v>
      </c>
      <c r="E167">
        <v>-984</v>
      </c>
      <c r="F167">
        <v>-83.975000000000364</v>
      </c>
      <c r="G167">
        <v>-1955.25</v>
      </c>
      <c r="J167">
        <v>123</v>
      </c>
      <c r="K167">
        <v>0</v>
      </c>
      <c r="L167">
        <v>0</v>
      </c>
      <c r="M167">
        <v>12</v>
      </c>
      <c r="N167">
        <v>224</v>
      </c>
      <c r="O167">
        <v>200</v>
      </c>
      <c r="P167">
        <v>316</v>
      </c>
      <c r="S167">
        <v>123</v>
      </c>
      <c r="T167">
        <v>906.59999999999945</v>
      </c>
      <c r="U167">
        <v>1016.6749999999993</v>
      </c>
      <c r="V167">
        <v>906.60000000000036</v>
      </c>
      <c r="W167">
        <v>462.66566781526308</v>
      </c>
      <c r="X167">
        <v>2238.5249999999996</v>
      </c>
      <c r="Y167">
        <v>2427.1999999999989</v>
      </c>
    </row>
    <row r="168" spans="1:25" x14ac:dyDescent="0.35">
      <c r="A168">
        <v>124</v>
      </c>
      <c r="B168">
        <v>906.59999999999945</v>
      </c>
      <c r="C168">
        <v>977.82499999999982</v>
      </c>
      <c r="D168">
        <v>906.59999999999945</v>
      </c>
      <c r="E168">
        <v>-1527.9000000000005</v>
      </c>
      <c r="F168">
        <v>-563.125</v>
      </c>
      <c r="G168">
        <v>-2434.4000000000005</v>
      </c>
      <c r="J168">
        <v>124</v>
      </c>
      <c r="K168">
        <v>0</v>
      </c>
      <c r="L168">
        <v>0</v>
      </c>
      <c r="M168">
        <v>0</v>
      </c>
      <c r="N168">
        <v>238</v>
      </c>
      <c r="O168">
        <v>187</v>
      </c>
      <c r="P168">
        <v>328</v>
      </c>
      <c r="S168">
        <v>124</v>
      </c>
      <c r="T168">
        <v>906.59999999999945</v>
      </c>
      <c r="U168">
        <v>971.34999999999945</v>
      </c>
      <c r="V168">
        <v>906.60000000000036</v>
      </c>
      <c r="W168">
        <v>1804.461858117696</v>
      </c>
      <c r="X168">
        <v>2228.9999999999995</v>
      </c>
      <c r="Y168">
        <v>2433.1999999999998</v>
      </c>
    </row>
    <row r="169" spans="1:25" x14ac:dyDescent="0.35">
      <c r="A169">
        <v>125</v>
      </c>
      <c r="B169">
        <v>906.59999999999945</v>
      </c>
      <c r="C169">
        <v>971.35000000000036</v>
      </c>
      <c r="D169">
        <v>906.60000000000036</v>
      </c>
      <c r="E169">
        <v>-932.20000000000073</v>
      </c>
      <c r="F169">
        <v>-466</v>
      </c>
      <c r="G169">
        <v>-2291.9499999999998</v>
      </c>
      <c r="J169">
        <v>125</v>
      </c>
      <c r="K169">
        <v>0</v>
      </c>
      <c r="L169">
        <v>0</v>
      </c>
      <c r="M169">
        <v>0</v>
      </c>
      <c r="N169">
        <v>213</v>
      </c>
      <c r="O169">
        <v>177</v>
      </c>
      <c r="P169">
        <v>311</v>
      </c>
      <c r="S169">
        <v>125</v>
      </c>
      <c r="T169">
        <v>906.59999999999945</v>
      </c>
      <c r="U169">
        <v>971.34999999999945</v>
      </c>
      <c r="V169">
        <v>906.60000000000036</v>
      </c>
      <c r="W169">
        <v>-862.22599294216047</v>
      </c>
      <c r="X169">
        <v>2306.3249999999994</v>
      </c>
      <c r="Y169">
        <v>2445.1999999999998</v>
      </c>
    </row>
    <row r="170" spans="1:25" x14ac:dyDescent="0.35">
      <c r="A170">
        <v>126</v>
      </c>
      <c r="B170">
        <v>906.59999999999945</v>
      </c>
      <c r="C170">
        <v>990.77499999999873</v>
      </c>
      <c r="D170">
        <v>906.60000000000036</v>
      </c>
      <c r="E170">
        <v>-1139.4000000000005</v>
      </c>
      <c r="F170">
        <v>-595.5</v>
      </c>
      <c r="G170">
        <v>-2343.75</v>
      </c>
      <c r="J170">
        <v>126</v>
      </c>
      <c r="K170">
        <v>0</v>
      </c>
      <c r="L170">
        <v>0</v>
      </c>
      <c r="M170">
        <v>0</v>
      </c>
      <c r="N170">
        <v>227</v>
      </c>
      <c r="O170">
        <v>168</v>
      </c>
      <c r="P170">
        <v>323</v>
      </c>
      <c r="S170">
        <v>126</v>
      </c>
      <c r="T170">
        <v>906.59999999999945</v>
      </c>
      <c r="U170">
        <v>977.82499999999982</v>
      </c>
      <c r="V170">
        <v>906.59999999999945</v>
      </c>
      <c r="W170">
        <v>-535.75374547600347</v>
      </c>
      <c r="X170">
        <v>568.38955333701574</v>
      </c>
      <c r="Y170">
        <v>2485.1999999999998</v>
      </c>
    </row>
    <row r="171" spans="1:25" x14ac:dyDescent="0.35">
      <c r="A171">
        <v>127</v>
      </c>
      <c r="B171">
        <v>906.59999999999945</v>
      </c>
      <c r="C171">
        <v>1010.1999999999998</v>
      </c>
      <c r="D171">
        <v>906.59999999999945</v>
      </c>
      <c r="E171">
        <v>-867.45000000000073</v>
      </c>
      <c r="F171">
        <v>-291.17500000000109</v>
      </c>
      <c r="G171">
        <v>-2175.4000000000005</v>
      </c>
      <c r="J171">
        <v>127</v>
      </c>
      <c r="K171">
        <v>0</v>
      </c>
      <c r="L171">
        <v>0</v>
      </c>
      <c r="M171">
        <v>0</v>
      </c>
      <c r="N171">
        <v>240</v>
      </c>
      <c r="O171">
        <v>182</v>
      </c>
      <c r="P171">
        <v>323</v>
      </c>
      <c r="S171">
        <v>127</v>
      </c>
      <c r="T171">
        <v>906.59999999999945</v>
      </c>
      <c r="U171">
        <v>977.82499999999982</v>
      </c>
      <c r="V171">
        <v>906.60000000000036</v>
      </c>
      <c r="W171">
        <v>1027.1218763690099</v>
      </c>
      <c r="X171">
        <v>2200.9999999999995</v>
      </c>
      <c r="Y171">
        <v>2429.1999999999989</v>
      </c>
    </row>
    <row r="172" spans="1:25" x14ac:dyDescent="0.35">
      <c r="A172">
        <v>128</v>
      </c>
      <c r="B172">
        <v>906.59999999999945</v>
      </c>
      <c r="C172">
        <v>958.39999999999964</v>
      </c>
      <c r="D172">
        <v>906.59999999999945</v>
      </c>
      <c r="E172">
        <v>-1009.9000000000005</v>
      </c>
      <c r="F172">
        <v>-783.27499999999964</v>
      </c>
      <c r="G172">
        <v>-2473.25</v>
      </c>
      <c r="J172">
        <v>128</v>
      </c>
      <c r="K172">
        <v>0</v>
      </c>
      <c r="L172">
        <v>0</v>
      </c>
      <c r="M172">
        <v>0</v>
      </c>
      <c r="N172">
        <v>221</v>
      </c>
      <c r="O172">
        <v>173</v>
      </c>
      <c r="P172">
        <v>350</v>
      </c>
      <c r="S172">
        <v>128</v>
      </c>
      <c r="T172">
        <v>906.59999999999945</v>
      </c>
      <c r="U172">
        <v>951.92499999999927</v>
      </c>
      <c r="V172">
        <v>906.59999999999945</v>
      </c>
      <c r="W172">
        <v>2235.1999999999998</v>
      </c>
      <c r="X172">
        <v>2221.4750000000004</v>
      </c>
      <c r="Y172">
        <v>-1570.1511010725585</v>
      </c>
    </row>
    <row r="173" spans="1:25" x14ac:dyDescent="0.35">
      <c r="A173">
        <v>129</v>
      </c>
      <c r="B173">
        <v>906.59999999999945</v>
      </c>
      <c r="C173">
        <v>971.35000000000036</v>
      </c>
      <c r="D173">
        <v>906.59999999999945</v>
      </c>
      <c r="E173">
        <v>-1333.6500000000005</v>
      </c>
      <c r="F173">
        <v>-634.35000000000036</v>
      </c>
      <c r="G173">
        <v>-2330.8000000000002</v>
      </c>
      <c r="J173">
        <v>129</v>
      </c>
      <c r="K173">
        <v>0</v>
      </c>
      <c r="L173">
        <v>0</v>
      </c>
      <c r="M173">
        <v>0</v>
      </c>
      <c r="N173">
        <v>224</v>
      </c>
      <c r="O173">
        <v>206</v>
      </c>
      <c r="P173">
        <v>330</v>
      </c>
      <c r="S173">
        <v>129</v>
      </c>
      <c r="T173">
        <v>906.59999999999945</v>
      </c>
      <c r="U173">
        <v>997.25</v>
      </c>
      <c r="V173">
        <v>906.60000000000036</v>
      </c>
      <c r="W173">
        <v>2221.1999999999994</v>
      </c>
      <c r="X173">
        <v>1400.7375931822576</v>
      </c>
      <c r="Y173">
        <v>-30.492971485240105</v>
      </c>
    </row>
    <row r="174" spans="1:25" x14ac:dyDescent="0.35">
      <c r="A174">
        <v>130</v>
      </c>
      <c r="B174">
        <v>906.59999999999945</v>
      </c>
      <c r="C174">
        <v>1016.6749999999993</v>
      </c>
      <c r="D174">
        <v>906.60000000000036</v>
      </c>
      <c r="E174">
        <v>-880.40000000000055</v>
      </c>
      <c r="F174">
        <v>-660.25</v>
      </c>
      <c r="G174">
        <v>-2525.0500000000002</v>
      </c>
      <c r="J174">
        <v>130</v>
      </c>
      <c r="K174">
        <v>0</v>
      </c>
      <c r="L174">
        <v>0</v>
      </c>
      <c r="M174">
        <v>0</v>
      </c>
      <c r="N174">
        <v>197</v>
      </c>
      <c r="O174">
        <v>198</v>
      </c>
      <c r="P174">
        <v>325</v>
      </c>
      <c r="S174">
        <v>130</v>
      </c>
      <c r="T174">
        <v>906.59999999999945</v>
      </c>
      <c r="U174">
        <v>990.77499999999964</v>
      </c>
      <c r="V174">
        <v>906.60000000000036</v>
      </c>
      <c r="W174">
        <v>2283.1999999999998</v>
      </c>
      <c r="X174">
        <v>2221.9499999999994</v>
      </c>
      <c r="Y174">
        <v>2495.1999999999998</v>
      </c>
    </row>
    <row r="175" spans="1:25" x14ac:dyDescent="0.35">
      <c r="A175">
        <v>131</v>
      </c>
      <c r="B175">
        <v>906.59999999999945</v>
      </c>
      <c r="C175">
        <v>977.82499999999982</v>
      </c>
      <c r="D175">
        <v>906.59999999999945</v>
      </c>
      <c r="E175">
        <v>-1281.8500000000004</v>
      </c>
      <c r="F175">
        <v>-524.27500000000055</v>
      </c>
      <c r="G175">
        <v>-2110.6500000000005</v>
      </c>
      <c r="J175">
        <v>131</v>
      </c>
      <c r="K175">
        <v>0</v>
      </c>
      <c r="L175">
        <v>0</v>
      </c>
      <c r="M175">
        <v>0</v>
      </c>
      <c r="N175">
        <v>229</v>
      </c>
      <c r="O175">
        <v>171</v>
      </c>
      <c r="P175">
        <v>322</v>
      </c>
      <c r="S175">
        <v>131</v>
      </c>
      <c r="T175">
        <v>906.59999999999945</v>
      </c>
      <c r="U175">
        <v>1010.1999999999989</v>
      </c>
      <c r="V175">
        <v>906.59999999999945</v>
      </c>
      <c r="W175">
        <v>2285.1999999999998</v>
      </c>
      <c r="X175">
        <v>1212.3870717045172</v>
      </c>
      <c r="Y175">
        <v>618.98234913919123</v>
      </c>
    </row>
    <row r="176" spans="1:25" x14ac:dyDescent="0.35">
      <c r="A176">
        <v>132</v>
      </c>
      <c r="B176">
        <v>906.59999999999945</v>
      </c>
      <c r="C176">
        <v>945.44999999999891</v>
      </c>
      <c r="D176">
        <v>906.59999999999945</v>
      </c>
      <c r="E176">
        <v>-958.10000000000036</v>
      </c>
      <c r="F176">
        <v>-718.52499999999964</v>
      </c>
      <c r="G176">
        <v>-2266.0500000000002</v>
      </c>
      <c r="J176">
        <v>132</v>
      </c>
      <c r="K176">
        <v>0</v>
      </c>
      <c r="L176">
        <v>0</v>
      </c>
      <c r="M176">
        <v>0</v>
      </c>
      <c r="N176">
        <v>226</v>
      </c>
      <c r="O176">
        <v>198</v>
      </c>
      <c r="P176">
        <v>357</v>
      </c>
      <c r="S176">
        <v>132</v>
      </c>
      <c r="T176">
        <v>906.59999999999945</v>
      </c>
      <c r="U176">
        <v>984.29999999999927</v>
      </c>
      <c r="V176">
        <v>906.59999999999945</v>
      </c>
      <c r="W176">
        <v>2305.1999999999998</v>
      </c>
      <c r="X176">
        <v>2235.474999999999</v>
      </c>
      <c r="Y176">
        <v>-1439.4995631632826</v>
      </c>
    </row>
    <row r="177" spans="1:25" x14ac:dyDescent="0.35">
      <c r="A177">
        <v>133</v>
      </c>
      <c r="B177">
        <v>906.59999999999945</v>
      </c>
      <c r="C177">
        <v>945.44999999999891</v>
      </c>
      <c r="D177">
        <v>906.59999999999945</v>
      </c>
      <c r="E177">
        <v>-1113.5</v>
      </c>
      <c r="F177">
        <v>-485.42500000000018</v>
      </c>
      <c r="G177">
        <v>-2253.1000000000004</v>
      </c>
      <c r="J177">
        <v>133</v>
      </c>
      <c r="K177">
        <v>0</v>
      </c>
      <c r="L177">
        <v>0</v>
      </c>
      <c r="M177">
        <v>0</v>
      </c>
      <c r="N177">
        <v>211</v>
      </c>
      <c r="O177">
        <v>191</v>
      </c>
      <c r="P177">
        <v>306</v>
      </c>
      <c r="S177">
        <v>133</v>
      </c>
      <c r="T177">
        <v>906.59999999999945</v>
      </c>
      <c r="U177">
        <v>964.87499999999909</v>
      </c>
      <c r="V177">
        <v>906.59999999999945</v>
      </c>
      <c r="W177">
        <v>2157.6172241842801</v>
      </c>
      <c r="X177">
        <v>2204.4249999999993</v>
      </c>
      <c r="Y177">
        <v>2457.1999999999998</v>
      </c>
    </row>
    <row r="178" spans="1:25" x14ac:dyDescent="0.35">
      <c r="A178">
        <v>134</v>
      </c>
      <c r="B178">
        <v>906.59999999999945</v>
      </c>
      <c r="C178">
        <v>951.92499999999927</v>
      </c>
      <c r="D178">
        <v>906.59999999999945</v>
      </c>
      <c r="E178">
        <v>-971.05000000000018</v>
      </c>
      <c r="F178">
        <v>-537.22500000000036</v>
      </c>
      <c r="G178">
        <v>-2486.1999999999998</v>
      </c>
      <c r="J178">
        <v>134</v>
      </c>
      <c r="K178">
        <v>0</v>
      </c>
      <c r="L178">
        <v>0</v>
      </c>
      <c r="M178">
        <v>0</v>
      </c>
      <c r="N178">
        <v>201</v>
      </c>
      <c r="O178">
        <v>196</v>
      </c>
      <c r="P178">
        <v>327</v>
      </c>
      <c r="S178">
        <v>134</v>
      </c>
      <c r="T178">
        <v>906.59999999999945</v>
      </c>
      <c r="U178">
        <v>977.82499999999982</v>
      </c>
      <c r="V178">
        <v>906.60000000000036</v>
      </c>
      <c r="W178">
        <v>2303.1999999999998</v>
      </c>
      <c r="X178">
        <v>2224.9</v>
      </c>
      <c r="Y178">
        <v>2465.1999999999998</v>
      </c>
    </row>
    <row r="179" spans="1:25" x14ac:dyDescent="0.35">
      <c r="A179">
        <v>135</v>
      </c>
      <c r="B179">
        <v>906.59999999999945</v>
      </c>
      <c r="C179">
        <v>984.29999999999927</v>
      </c>
      <c r="D179">
        <v>906.59999999999945</v>
      </c>
      <c r="E179">
        <v>-1165.3000000000002</v>
      </c>
      <c r="F179">
        <v>-440.10000000000036</v>
      </c>
      <c r="G179">
        <v>-2641.6000000000004</v>
      </c>
      <c r="J179">
        <v>135</v>
      </c>
      <c r="K179">
        <v>0</v>
      </c>
      <c r="L179">
        <v>0</v>
      </c>
      <c r="M179">
        <v>0</v>
      </c>
      <c r="N179">
        <v>201</v>
      </c>
      <c r="O179">
        <v>187</v>
      </c>
      <c r="P179">
        <v>301</v>
      </c>
      <c r="S179">
        <v>135</v>
      </c>
      <c r="T179">
        <v>906.59999999999945</v>
      </c>
      <c r="U179">
        <v>945.44999999999982</v>
      </c>
      <c r="V179">
        <v>906.59999999999945</v>
      </c>
      <c r="W179">
        <v>2307.1999999999989</v>
      </c>
      <c r="X179">
        <v>2277.9499999999998</v>
      </c>
      <c r="Y179">
        <v>-2369.6500000000005</v>
      </c>
    </row>
    <row r="180" spans="1:25" x14ac:dyDescent="0.35">
      <c r="A180">
        <v>136</v>
      </c>
      <c r="B180">
        <v>906.59999999999945</v>
      </c>
      <c r="C180">
        <v>990.77499999999964</v>
      </c>
      <c r="D180">
        <v>906.60000000000036</v>
      </c>
      <c r="E180">
        <v>-1217.1000000000004</v>
      </c>
      <c r="F180">
        <v>-491.90000000000055</v>
      </c>
      <c r="G180">
        <v>-2356.6999999999998</v>
      </c>
      <c r="J180">
        <v>136</v>
      </c>
      <c r="K180">
        <v>0</v>
      </c>
      <c r="L180">
        <v>0</v>
      </c>
      <c r="M180">
        <v>0</v>
      </c>
      <c r="N180">
        <v>229</v>
      </c>
      <c r="O180">
        <v>171</v>
      </c>
      <c r="P180">
        <v>325</v>
      </c>
      <c r="S180">
        <v>136</v>
      </c>
      <c r="T180">
        <v>906.59999999999945</v>
      </c>
      <c r="U180">
        <v>997.25</v>
      </c>
      <c r="V180">
        <v>906.59999999999945</v>
      </c>
      <c r="W180">
        <v>2263.1999999999998</v>
      </c>
      <c r="X180">
        <v>2266.8999999999992</v>
      </c>
      <c r="Y180">
        <v>2479.1999999999989</v>
      </c>
    </row>
    <row r="181" spans="1:25" x14ac:dyDescent="0.35">
      <c r="A181">
        <v>137</v>
      </c>
      <c r="B181">
        <v>906.59999999999945</v>
      </c>
      <c r="C181">
        <v>984.29999999999927</v>
      </c>
      <c r="D181">
        <v>906.59999999999945</v>
      </c>
      <c r="E181">
        <v>-1230.0500000000002</v>
      </c>
      <c r="F181">
        <v>-530.75</v>
      </c>
      <c r="G181">
        <v>-2356.6999999999998</v>
      </c>
      <c r="J181">
        <v>137</v>
      </c>
      <c r="K181">
        <v>0</v>
      </c>
      <c r="L181">
        <v>0</v>
      </c>
      <c r="M181">
        <v>0</v>
      </c>
      <c r="N181">
        <v>220</v>
      </c>
      <c r="O181">
        <v>180</v>
      </c>
      <c r="P181">
        <v>350</v>
      </c>
      <c r="S181">
        <v>137</v>
      </c>
      <c r="T181">
        <v>906.59999999999945</v>
      </c>
      <c r="U181">
        <v>951.92499999999927</v>
      </c>
      <c r="V181">
        <v>906.59999999999945</v>
      </c>
      <c r="W181">
        <v>2267.1999999999989</v>
      </c>
      <c r="X181">
        <v>2007.3838189268722</v>
      </c>
      <c r="Y181">
        <v>2467.1999999999998</v>
      </c>
    </row>
    <row r="182" spans="1:25" x14ac:dyDescent="0.35">
      <c r="A182">
        <v>138</v>
      </c>
      <c r="B182">
        <v>906.59999999999945</v>
      </c>
      <c r="C182">
        <v>958.39999999999964</v>
      </c>
      <c r="D182">
        <v>919.55000000000018</v>
      </c>
      <c r="E182">
        <v>-958.10000000000036</v>
      </c>
      <c r="F182">
        <v>-569.60000000000036</v>
      </c>
      <c r="G182">
        <v>-2421.4499999999998</v>
      </c>
      <c r="J182">
        <v>138</v>
      </c>
      <c r="K182">
        <v>0</v>
      </c>
      <c r="L182">
        <v>0</v>
      </c>
      <c r="M182">
        <v>0</v>
      </c>
      <c r="N182">
        <v>237</v>
      </c>
      <c r="O182">
        <v>152</v>
      </c>
      <c r="P182">
        <v>327</v>
      </c>
      <c r="S182">
        <v>138</v>
      </c>
      <c r="T182">
        <v>906.59999999999945</v>
      </c>
      <c r="U182">
        <v>990.77499999999964</v>
      </c>
      <c r="V182">
        <v>906.59999999999945</v>
      </c>
      <c r="W182">
        <v>2275.1999999999998</v>
      </c>
      <c r="X182">
        <v>2248.8999999999992</v>
      </c>
      <c r="Y182">
        <v>2465.1999999999998</v>
      </c>
    </row>
    <row r="183" spans="1:25" x14ac:dyDescent="0.35">
      <c r="A183">
        <v>139</v>
      </c>
      <c r="B183">
        <v>906.59999999999945</v>
      </c>
      <c r="C183">
        <v>1010.1999999999998</v>
      </c>
      <c r="D183">
        <v>906.60000000000036</v>
      </c>
      <c r="E183">
        <v>-932.20000000000073</v>
      </c>
      <c r="F183">
        <v>-491.90000000000055</v>
      </c>
      <c r="G183">
        <v>-2421.4499999999998</v>
      </c>
      <c r="J183">
        <v>139</v>
      </c>
      <c r="K183">
        <v>0</v>
      </c>
      <c r="L183">
        <v>0</v>
      </c>
      <c r="M183">
        <v>0</v>
      </c>
      <c r="N183">
        <v>237</v>
      </c>
      <c r="O183">
        <v>160</v>
      </c>
      <c r="P183">
        <v>328</v>
      </c>
      <c r="S183">
        <v>139</v>
      </c>
      <c r="T183">
        <v>906.59999999999945</v>
      </c>
      <c r="U183">
        <v>997.24999999999909</v>
      </c>
      <c r="V183">
        <v>906.59999999999945</v>
      </c>
      <c r="W183">
        <v>2267.1999999999989</v>
      </c>
      <c r="X183">
        <v>2312.7999999999988</v>
      </c>
      <c r="Y183">
        <v>2417.1999999999989</v>
      </c>
    </row>
    <row r="184" spans="1:25" x14ac:dyDescent="0.35">
      <c r="A184">
        <v>140</v>
      </c>
      <c r="B184">
        <v>906.59999999999945</v>
      </c>
      <c r="C184">
        <v>1003.7249999999985</v>
      </c>
      <c r="D184">
        <v>906.60000000000036</v>
      </c>
      <c r="E184">
        <v>-1527.9000000000005</v>
      </c>
      <c r="F184">
        <v>-647.30000000000018</v>
      </c>
      <c r="G184">
        <v>-2123.6000000000004</v>
      </c>
      <c r="J184">
        <v>140</v>
      </c>
      <c r="K184">
        <v>0</v>
      </c>
      <c r="L184">
        <v>0</v>
      </c>
      <c r="M184">
        <v>0</v>
      </c>
      <c r="N184">
        <v>234</v>
      </c>
      <c r="O184">
        <v>208</v>
      </c>
      <c r="P184">
        <v>344</v>
      </c>
      <c r="S184">
        <v>140</v>
      </c>
      <c r="T184">
        <v>906.59999999999945</v>
      </c>
      <c r="U184">
        <v>977.82499999999891</v>
      </c>
      <c r="V184">
        <v>906.59999999999945</v>
      </c>
      <c r="W184">
        <v>2243.1999999999998</v>
      </c>
      <c r="X184">
        <v>1930.0979541022325</v>
      </c>
      <c r="Y184">
        <v>2485.1999999999998</v>
      </c>
    </row>
    <row r="185" spans="1:25" x14ac:dyDescent="0.35">
      <c r="A185">
        <v>141</v>
      </c>
      <c r="B185">
        <v>906.59999999999945</v>
      </c>
      <c r="C185">
        <v>971.34999999999854</v>
      </c>
      <c r="D185">
        <v>906.59999999999945</v>
      </c>
      <c r="E185">
        <v>-1035.8000000000002</v>
      </c>
      <c r="F185">
        <v>-96.925000000000182</v>
      </c>
      <c r="G185">
        <v>-2421.4499999999998</v>
      </c>
      <c r="J185">
        <v>141</v>
      </c>
      <c r="K185">
        <v>0</v>
      </c>
      <c r="L185">
        <v>0</v>
      </c>
      <c r="M185">
        <v>0</v>
      </c>
      <c r="N185">
        <v>204</v>
      </c>
      <c r="O185">
        <v>170</v>
      </c>
      <c r="P185">
        <v>322</v>
      </c>
      <c r="S185">
        <v>141</v>
      </c>
      <c r="T185">
        <v>906.59999999999945</v>
      </c>
      <c r="U185">
        <v>958.39999999999964</v>
      </c>
      <c r="V185">
        <v>906.60000000000036</v>
      </c>
      <c r="W185">
        <v>1965.5967134065081</v>
      </c>
      <c r="X185">
        <v>1853.4644209581461</v>
      </c>
      <c r="Y185">
        <v>-95.303549241921246</v>
      </c>
    </row>
    <row r="186" spans="1:25" x14ac:dyDescent="0.35">
      <c r="A186">
        <v>142</v>
      </c>
      <c r="B186">
        <v>906.59999999999945</v>
      </c>
      <c r="C186">
        <v>951.92499999999927</v>
      </c>
      <c r="D186">
        <v>906.59999999999945</v>
      </c>
      <c r="E186">
        <v>-1074.6500000000005</v>
      </c>
      <c r="F186">
        <v>-614.92500000000018</v>
      </c>
      <c r="G186">
        <v>-2214.25</v>
      </c>
      <c r="J186">
        <v>142</v>
      </c>
      <c r="K186">
        <v>0</v>
      </c>
      <c r="L186">
        <v>0</v>
      </c>
      <c r="M186">
        <v>0</v>
      </c>
      <c r="N186">
        <v>229</v>
      </c>
      <c r="O186">
        <v>184</v>
      </c>
      <c r="P186">
        <v>342</v>
      </c>
      <c r="S186">
        <v>142</v>
      </c>
      <c r="T186">
        <v>906.59999999999945</v>
      </c>
      <c r="U186">
        <v>997.25</v>
      </c>
      <c r="V186">
        <v>906.59999999999945</v>
      </c>
      <c r="W186">
        <v>2217.1999999999989</v>
      </c>
      <c r="X186">
        <v>2258.4249999999997</v>
      </c>
      <c r="Y186">
        <v>2481.1999999999998</v>
      </c>
    </row>
    <row r="187" spans="1:25" x14ac:dyDescent="0.35">
      <c r="A187">
        <v>143</v>
      </c>
      <c r="B187">
        <v>906.59999999999945</v>
      </c>
      <c r="C187">
        <v>964.87499999999909</v>
      </c>
      <c r="D187">
        <v>906.60000000000036</v>
      </c>
      <c r="E187">
        <v>-1074.6500000000005</v>
      </c>
      <c r="F187">
        <v>-647.30000000000018</v>
      </c>
      <c r="G187">
        <v>-2512.1000000000004</v>
      </c>
      <c r="J187">
        <v>143</v>
      </c>
      <c r="K187">
        <v>0</v>
      </c>
      <c r="L187">
        <v>0</v>
      </c>
      <c r="M187">
        <v>0</v>
      </c>
      <c r="N187">
        <v>217</v>
      </c>
      <c r="O187">
        <v>176</v>
      </c>
      <c r="P187">
        <v>322</v>
      </c>
      <c r="S187">
        <v>143</v>
      </c>
      <c r="T187">
        <v>906.59999999999945</v>
      </c>
      <c r="U187">
        <v>984.29999999999927</v>
      </c>
      <c r="V187">
        <v>906.60000000000036</v>
      </c>
      <c r="W187">
        <v>2259.1999999999994</v>
      </c>
      <c r="X187">
        <v>2154.0500000000002</v>
      </c>
      <c r="Y187">
        <v>2435.1999999999998</v>
      </c>
    </row>
    <row r="188" spans="1:25" x14ac:dyDescent="0.35">
      <c r="A188">
        <v>144</v>
      </c>
      <c r="B188">
        <v>906.59999999999945</v>
      </c>
      <c r="C188">
        <v>951.92499999999927</v>
      </c>
      <c r="D188">
        <v>906.59999999999945</v>
      </c>
      <c r="E188">
        <v>-1437.25</v>
      </c>
      <c r="F188">
        <v>-459.52500000000055</v>
      </c>
      <c r="G188">
        <v>-2486.1999999999998</v>
      </c>
      <c r="J188">
        <v>144</v>
      </c>
      <c r="K188">
        <v>0</v>
      </c>
      <c r="L188">
        <v>0</v>
      </c>
      <c r="M188">
        <v>0</v>
      </c>
      <c r="N188">
        <v>212</v>
      </c>
      <c r="O188">
        <v>185</v>
      </c>
      <c r="P188">
        <v>320</v>
      </c>
      <c r="S188">
        <v>144</v>
      </c>
      <c r="T188">
        <v>906.59999999999945</v>
      </c>
      <c r="U188">
        <v>977.82499999999891</v>
      </c>
      <c r="V188">
        <v>906.59999999999945</v>
      </c>
      <c r="W188">
        <v>2261.1999999999994</v>
      </c>
      <c r="X188">
        <v>2288.4249999999993</v>
      </c>
      <c r="Y188">
        <v>2489.1999999999989</v>
      </c>
    </row>
    <row r="189" spans="1:25" x14ac:dyDescent="0.35">
      <c r="A189">
        <v>145</v>
      </c>
      <c r="B189">
        <v>906.59999999999945</v>
      </c>
      <c r="C189">
        <v>984.29999999999927</v>
      </c>
      <c r="D189">
        <v>906.60000000000036</v>
      </c>
      <c r="E189">
        <v>-1061.7000000000007</v>
      </c>
      <c r="F189">
        <v>-550.17500000000018</v>
      </c>
      <c r="G189">
        <v>-2240.1500000000005</v>
      </c>
      <c r="J189">
        <v>145</v>
      </c>
      <c r="K189">
        <v>0</v>
      </c>
      <c r="L189">
        <v>0</v>
      </c>
      <c r="M189">
        <v>0</v>
      </c>
      <c r="N189">
        <v>214</v>
      </c>
      <c r="O189">
        <v>206</v>
      </c>
      <c r="P189">
        <v>323</v>
      </c>
      <c r="S189">
        <v>145</v>
      </c>
      <c r="T189">
        <v>906.59999999999945</v>
      </c>
      <c r="U189">
        <v>1003.7249999999995</v>
      </c>
      <c r="V189">
        <v>919.54999999999927</v>
      </c>
      <c r="W189">
        <v>2307.1999999999989</v>
      </c>
      <c r="X189">
        <v>2181.0999999999995</v>
      </c>
      <c r="Y189">
        <v>238.11693865374127</v>
      </c>
    </row>
    <row r="190" spans="1:25" x14ac:dyDescent="0.35">
      <c r="A190">
        <v>146</v>
      </c>
      <c r="B190">
        <v>906.59999999999945</v>
      </c>
      <c r="C190">
        <v>938.97499999999945</v>
      </c>
      <c r="D190">
        <v>906.60000000000036</v>
      </c>
      <c r="E190">
        <v>-1217.1000000000004</v>
      </c>
      <c r="F190">
        <v>-219.95000000000073</v>
      </c>
      <c r="G190">
        <v>-2317.8500000000004</v>
      </c>
      <c r="J190">
        <v>146</v>
      </c>
      <c r="K190">
        <v>0</v>
      </c>
      <c r="L190">
        <v>0</v>
      </c>
      <c r="M190">
        <v>0</v>
      </c>
      <c r="N190">
        <v>188</v>
      </c>
      <c r="O190">
        <v>182</v>
      </c>
      <c r="P190">
        <v>320</v>
      </c>
      <c r="S190">
        <v>146</v>
      </c>
      <c r="T190">
        <v>906.59999999999945</v>
      </c>
      <c r="U190">
        <v>932.5</v>
      </c>
      <c r="V190">
        <v>906.59999999999945</v>
      </c>
      <c r="W190">
        <v>2295.1999999999998</v>
      </c>
      <c r="X190">
        <v>2215</v>
      </c>
      <c r="Y190">
        <v>-781.47697499405081</v>
      </c>
    </row>
    <row r="191" spans="1:25" x14ac:dyDescent="0.35">
      <c r="A191">
        <v>147</v>
      </c>
      <c r="B191">
        <v>906.59999999999945</v>
      </c>
      <c r="C191">
        <v>964.87499999999909</v>
      </c>
      <c r="D191">
        <v>906.59999999999945</v>
      </c>
      <c r="E191">
        <v>-1035.8000000000002</v>
      </c>
      <c r="F191">
        <v>-381.82500000000073</v>
      </c>
      <c r="G191">
        <v>-2123.6000000000004</v>
      </c>
      <c r="J191">
        <v>147</v>
      </c>
      <c r="K191">
        <v>0</v>
      </c>
      <c r="L191">
        <v>0</v>
      </c>
      <c r="M191">
        <v>0</v>
      </c>
      <c r="N191">
        <v>258</v>
      </c>
      <c r="O191">
        <v>170</v>
      </c>
      <c r="P191">
        <v>306</v>
      </c>
      <c r="S191">
        <v>147</v>
      </c>
      <c r="T191">
        <v>906.59999999999945</v>
      </c>
      <c r="U191">
        <v>951.92499999999927</v>
      </c>
      <c r="V191">
        <v>906.60000000000036</v>
      </c>
      <c r="W191">
        <v>2265.1999999999998</v>
      </c>
      <c r="X191">
        <v>2220.5249999999996</v>
      </c>
      <c r="Y191">
        <v>1538.410500032554</v>
      </c>
    </row>
    <row r="192" spans="1:25" x14ac:dyDescent="0.35">
      <c r="A192">
        <v>148</v>
      </c>
      <c r="B192">
        <v>906.59999999999945</v>
      </c>
      <c r="C192">
        <v>971.34999999999945</v>
      </c>
      <c r="D192">
        <v>906.59999999999945</v>
      </c>
      <c r="E192">
        <v>-919.25</v>
      </c>
      <c r="F192">
        <v>-323.55000000000018</v>
      </c>
      <c r="G192">
        <v>-2330.8000000000002</v>
      </c>
      <c r="J192">
        <v>148</v>
      </c>
      <c r="K192">
        <v>0</v>
      </c>
      <c r="L192">
        <v>0</v>
      </c>
      <c r="M192">
        <v>0</v>
      </c>
      <c r="N192">
        <v>230</v>
      </c>
      <c r="O192">
        <v>191</v>
      </c>
      <c r="P192">
        <v>322</v>
      </c>
      <c r="S192">
        <v>148</v>
      </c>
      <c r="T192">
        <v>906.59999999999945</v>
      </c>
      <c r="U192">
        <v>964.87499999999909</v>
      </c>
      <c r="V192">
        <v>906.59999999999945</v>
      </c>
      <c r="W192">
        <v>2277.1999999999989</v>
      </c>
      <c r="X192">
        <v>2175.474999999999</v>
      </c>
      <c r="Y192">
        <v>2332.1101248575587</v>
      </c>
    </row>
    <row r="193" spans="1:25" x14ac:dyDescent="0.35">
      <c r="A193">
        <v>149</v>
      </c>
      <c r="B193">
        <v>906.59999999999945</v>
      </c>
      <c r="C193">
        <v>1029.6249999999991</v>
      </c>
      <c r="D193">
        <v>906.59999999999945</v>
      </c>
      <c r="E193">
        <v>-893.35000000000036</v>
      </c>
      <c r="F193">
        <v>-381.82500000000073</v>
      </c>
      <c r="G193">
        <v>-2175.4000000000005</v>
      </c>
      <c r="J193">
        <v>149</v>
      </c>
      <c r="K193">
        <v>0</v>
      </c>
      <c r="L193">
        <v>0</v>
      </c>
      <c r="M193">
        <v>0</v>
      </c>
      <c r="N193">
        <v>234</v>
      </c>
      <c r="O193">
        <v>188</v>
      </c>
      <c r="P193">
        <v>298</v>
      </c>
      <c r="S193">
        <v>149</v>
      </c>
      <c r="T193">
        <v>906.59999999999945</v>
      </c>
      <c r="U193">
        <v>990.77499999999964</v>
      </c>
      <c r="V193">
        <v>906.59999999999945</v>
      </c>
      <c r="W193">
        <v>2039.5079068019199</v>
      </c>
      <c r="X193">
        <v>1317.2444113221586</v>
      </c>
      <c r="Y193">
        <v>-2447.3500000000004</v>
      </c>
    </row>
    <row r="194" spans="1:25" x14ac:dyDescent="0.35">
      <c r="A194">
        <v>150</v>
      </c>
      <c r="B194">
        <v>906.59999999999945</v>
      </c>
      <c r="C194">
        <v>945.44999999999982</v>
      </c>
      <c r="D194">
        <v>906.59999999999945</v>
      </c>
      <c r="E194">
        <v>-815.65000000000055</v>
      </c>
      <c r="F194">
        <v>-407.72500000000036</v>
      </c>
      <c r="G194">
        <v>-2408.5</v>
      </c>
      <c r="J194">
        <v>150</v>
      </c>
      <c r="K194">
        <v>0</v>
      </c>
      <c r="L194">
        <v>0</v>
      </c>
      <c r="M194">
        <v>0</v>
      </c>
      <c r="N194">
        <v>233</v>
      </c>
      <c r="O194">
        <v>164</v>
      </c>
      <c r="P194">
        <v>314</v>
      </c>
      <c r="S194">
        <v>150</v>
      </c>
      <c r="T194">
        <v>906.59999999999945</v>
      </c>
      <c r="U194">
        <v>990.77499999999964</v>
      </c>
      <c r="V194">
        <v>906.59999999999945</v>
      </c>
      <c r="W194">
        <v>2277.1999999999989</v>
      </c>
      <c r="X194">
        <v>2280.8999999999996</v>
      </c>
      <c r="Y194">
        <v>2392.2972745601237</v>
      </c>
    </row>
    <row r="195" spans="1:25" x14ac:dyDescent="0.35">
      <c r="A195">
        <v>151</v>
      </c>
      <c r="B195">
        <v>906.59999999999945</v>
      </c>
      <c r="C195">
        <v>977.82499999999982</v>
      </c>
      <c r="D195">
        <v>906.59999999999945</v>
      </c>
      <c r="E195">
        <v>-1178.25</v>
      </c>
      <c r="F195">
        <v>-200.52499999999964</v>
      </c>
      <c r="G195">
        <v>-2408.5</v>
      </c>
      <c r="J195">
        <v>151</v>
      </c>
      <c r="K195">
        <v>0</v>
      </c>
      <c r="L195">
        <v>0</v>
      </c>
      <c r="M195">
        <v>0</v>
      </c>
      <c r="N195">
        <v>232</v>
      </c>
      <c r="O195">
        <v>182</v>
      </c>
      <c r="P195">
        <v>341</v>
      </c>
      <c r="S195">
        <v>151</v>
      </c>
      <c r="T195">
        <v>906.59999999999945</v>
      </c>
      <c r="U195">
        <v>958.39999999999964</v>
      </c>
      <c r="V195">
        <v>906.59999999999945</v>
      </c>
      <c r="W195">
        <v>-880.12204837192633</v>
      </c>
      <c r="X195">
        <v>2268.8999999999992</v>
      </c>
      <c r="Y195">
        <v>2423.1999999999998</v>
      </c>
    </row>
    <row r="196" spans="1:25" x14ac:dyDescent="0.35">
      <c r="A196">
        <v>152</v>
      </c>
      <c r="B196">
        <v>906.59999999999945</v>
      </c>
      <c r="C196">
        <v>990.77499999999964</v>
      </c>
      <c r="D196">
        <v>906.59999999999945</v>
      </c>
      <c r="E196">
        <v>-1100.5500000000002</v>
      </c>
      <c r="F196">
        <v>-245.85000000000036</v>
      </c>
      <c r="G196">
        <v>-2279</v>
      </c>
      <c r="J196">
        <v>152</v>
      </c>
      <c r="K196">
        <v>0</v>
      </c>
      <c r="L196">
        <v>0</v>
      </c>
      <c r="M196">
        <v>0</v>
      </c>
      <c r="N196">
        <v>223</v>
      </c>
      <c r="O196">
        <v>172</v>
      </c>
      <c r="P196">
        <v>304</v>
      </c>
      <c r="S196">
        <v>152</v>
      </c>
      <c r="T196">
        <v>906.59999999999945</v>
      </c>
      <c r="U196">
        <v>977.82499999999891</v>
      </c>
      <c r="V196">
        <v>906.59999999999945</v>
      </c>
      <c r="W196">
        <v>-1217.1000000000004</v>
      </c>
      <c r="X196">
        <v>2259.3749999999991</v>
      </c>
      <c r="Y196">
        <v>-607.18781462969037</v>
      </c>
    </row>
    <row r="197" spans="1:25" x14ac:dyDescent="0.35">
      <c r="A197">
        <v>153</v>
      </c>
      <c r="B197">
        <v>906.59999999999945</v>
      </c>
      <c r="C197">
        <v>984.29999999999927</v>
      </c>
      <c r="D197">
        <v>906.59999999999945</v>
      </c>
      <c r="E197">
        <v>-1061.7000000000007</v>
      </c>
      <c r="F197">
        <v>-148.72500000000036</v>
      </c>
      <c r="G197">
        <v>-2266.0500000000002</v>
      </c>
      <c r="J197">
        <v>153</v>
      </c>
      <c r="K197">
        <v>0</v>
      </c>
      <c r="L197">
        <v>0</v>
      </c>
      <c r="M197">
        <v>0</v>
      </c>
      <c r="N197">
        <v>223</v>
      </c>
      <c r="O197">
        <v>188</v>
      </c>
      <c r="P197">
        <v>330</v>
      </c>
      <c r="S197">
        <v>153</v>
      </c>
      <c r="T197">
        <v>906.59999999999945</v>
      </c>
      <c r="U197">
        <v>977.82499999999982</v>
      </c>
      <c r="V197">
        <v>906.59999999999945</v>
      </c>
      <c r="W197">
        <v>-100.38681949387342</v>
      </c>
      <c r="X197">
        <v>2182.9999999999995</v>
      </c>
      <c r="Y197">
        <v>2457.1999999999998</v>
      </c>
    </row>
    <row r="198" spans="1:25" x14ac:dyDescent="0.35">
      <c r="A198">
        <v>154</v>
      </c>
      <c r="B198">
        <v>906.59999999999945</v>
      </c>
      <c r="C198">
        <v>997.24999999999909</v>
      </c>
      <c r="D198">
        <v>906.59999999999945</v>
      </c>
      <c r="E198">
        <v>-893.35000000000036</v>
      </c>
      <c r="F198">
        <v>-530.75</v>
      </c>
      <c r="G198">
        <v>-2123.6000000000004</v>
      </c>
      <c r="J198">
        <v>154</v>
      </c>
      <c r="K198">
        <v>0</v>
      </c>
      <c r="L198">
        <v>0</v>
      </c>
      <c r="M198">
        <v>0</v>
      </c>
      <c r="N198">
        <v>230</v>
      </c>
      <c r="O198">
        <v>174</v>
      </c>
      <c r="P198">
        <v>323</v>
      </c>
      <c r="S198">
        <v>154</v>
      </c>
      <c r="T198">
        <v>906.59999999999945</v>
      </c>
      <c r="U198">
        <v>958.39999999999873</v>
      </c>
      <c r="V198">
        <v>906.60000000000036</v>
      </c>
      <c r="W198">
        <v>2265.1999999999998</v>
      </c>
      <c r="X198">
        <v>2225.1</v>
      </c>
      <c r="Y198">
        <v>-2025.3681367109386</v>
      </c>
    </row>
    <row r="199" spans="1:25" x14ac:dyDescent="0.35">
      <c r="A199">
        <v>155</v>
      </c>
      <c r="B199">
        <v>906.59999999999945</v>
      </c>
      <c r="C199">
        <v>938.97499999999945</v>
      </c>
      <c r="D199">
        <v>906.60000000000036</v>
      </c>
      <c r="E199">
        <v>-1411.3500000000004</v>
      </c>
      <c r="F199">
        <v>-375.35000000000036</v>
      </c>
      <c r="G199">
        <v>-2369.6500000000005</v>
      </c>
      <c r="J199">
        <v>155</v>
      </c>
      <c r="K199">
        <v>0</v>
      </c>
      <c r="L199">
        <v>0</v>
      </c>
      <c r="M199">
        <v>0</v>
      </c>
      <c r="N199">
        <v>212</v>
      </c>
      <c r="O199">
        <v>176</v>
      </c>
      <c r="P199">
        <v>329</v>
      </c>
      <c r="S199">
        <v>155</v>
      </c>
      <c r="T199">
        <v>906.59999999999945</v>
      </c>
      <c r="U199">
        <v>977.82499999999982</v>
      </c>
      <c r="V199">
        <v>906.60000000000036</v>
      </c>
      <c r="W199">
        <v>2273.1999999999998</v>
      </c>
      <c r="X199">
        <v>1097.3709624808714</v>
      </c>
      <c r="Y199">
        <v>2423.1999999999998</v>
      </c>
    </row>
    <row r="200" spans="1:25" x14ac:dyDescent="0.35">
      <c r="A200">
        <v>156</v>
      </c>
      <c r="B200">
        <v>906.59999999999945</v>
      </c>
      <c r="C200">
        <v>990.77499999999964</v>
      </c>
      <c r="D200">
        <v>906.60000000000036</v>
      </c>
      <c r="E200">
        <v>-919.25</v>
      </c>
      <c r="F200">
        <v>-530.75</v>
      </c>
      <c r="G200">
        <v>-2227.2000000000007</v>
      </c>
      <c r="J200">
        <v>156</v>
      </c>
      <c r="K200">
        <v>0</v>
      </c>
      <c r="L200">
        <v>0</v>
      </c>
      <c r="M200">
        <v>0</v>
      </c>
      <c r="N200">
        <v>211</v>
      </c>
      <c r="O200">
        <v>182</v>
      </c>
      <c r="P200">
        <v>320</v>
      </c>
      <c r="S200">
        <v>156</v>
      </c>
      <c r="T200">
        <v>906.59999999999945</v>
      </c>
      <c r="U200">
        <v>951.92499999999927</v>
      </c>
      <c r="V200">
        <v>906.59999999999945</v>
      </c>
      <c r="W200">
        <v>1916.7312248498761</v>
      </c>
      <c r="X200">
        <v>2237.375</v>
      </c>
      <c r="Y200">
        <v>1403.1048280673895</v>
      </c>
    </row>
    <row r="201" spans="1:25" x14ac:dyDescent="0.35">
      <c r="A201">
        <v>157</v>
      </c>
      <c r="B201">
        <v>906.59999999999945</v>
      </c>
      <c r="C201">
        <v>984.29999999999927</v>
      </c>
      <c r="D201">
        <v>906.59999999999945</v>
      </c>
      <c r="E201">
        <v>-1152.3500000000004</v>
      </c>
      <c r="F201">
        <v>-576.07500000000073</v>
      </c>
      <c r="G201">
        <v>-2007.0500000000002</v>
      </c>
      <c r="J201">
        <v>157</v>
      </c>
      <c r="K201">
        <v>0</v>
      </c>
      <c r="L201">
        <v>0</v>
      </c>
      <c r="M201">
        <v>0</v>
      </c>
      <c r="N201">
        <v>208</v>
      </c>
      <c r="O201">
        <v>168</v>
      </c>
      <c r="P201">
        <v>310</v>
      </c>
      <c r="S201">
        <v>157</v>
      </c>
      <c r="T201">
        <v>906.59999999999945</v>
      </c>
      <c r="U201">
        <v>1003.7250000000004</v>
      </c>
      <c r="V201">
        <v>919.55000000000018</v>
      </c>
      <c r="W201">
        <v>2229.1999999999994</v>
      </c>
      <c r="X201">
        <v>2250.3249999999998</v>
      </c>
      <c r="Y201">
        <v>2427.1999999999989</v>
      </c>
    </row>
    <row r="202" spans="1:25" x14ac:dyDescent="0.35">
      <c r="A202">
        <v>158</v>
      </c>
      <c r="B202">
        <v>906.59999999999945</v>
      </c>
      <c r="C202">
        <v>958.39999999999964</v>
      </c>
      <c r="D202">
        <v>906.59999999999945</v>
      </c>
      <c r="E202">
        <v>-1087.6000000000004</v>
      </c>
      <c r="F202">
        <v>-640.82500000000073</v>
      </c>
      <c r="G202">
        <v>-2071.8000000000002</v>
      </c>
      <c r="J202">
        <v>158</v>
      </c>
      <c r="K202">
        <v>0</v>
      </c>
      <c r="L202">
        <v>0</v>
      </c>
      <c r="M202">
        <v>0</v>
      </c>
      <c r="N202">
        <v>220</v>
      </c>
      <c r="O202">
        <v>160</v>
      </c>
      <c r="P202">
        <v>319</v>
      </c>
      <c r="S202">
        <v>158</v>
      </c>
      <c r="T202">
        <v>906.59999999999945</v>
      </c>
      <c r="U202">
        <v>990.77499999999964</v>
      </c>
      <c r="V202">
        <v>906.60000000000036</v>
      </c>
      <c r="W202">
        <v>2281.1999999999994</v>
      </c>
      <c r="X202">
        <v>2267.4749999999999</v>
      </c>
      <c r="Y202">
        <v>1622.0864042504359</v>
      </c>
    </row>
    <row r="203" spans="1:25" x14ac:dyDescent="0.35">
      <c r="A203">
        <v>159</v>
      </c>
      <c r="B203">
        <v>906.59999999999945</v>
      </c>
      <c r="C203">
        <v>990.77499999999873</v>
      </c>
      <c r="D203">
        <v>906.59999999999945</v>
      </c>
      <c r="E203">
        <v>-893.35000000000036</v>
      </c>
      <c r="F203">
        <v>-789.75</v>
      </c>
      <c r="G203">
        <v>-2201.3000000000002</v>
      </c>
      <c r="J203">
        <v>159</v>
      </c>
      <c r="K203">
        <v>0</v>
      </c>
      <c r="L203">
        <v>0</v>
      </c>
      <c r="M203">
        <v>0</v>
      </c>
      <c r="N203">
        <v>229</v>
      </c>
      <c r="O203">
        <v>200</v>
      </c>
      <c r="P203">
        <v>343</v>
      </c>
      <c r="S203">
        <v>159</v>
      </c>
      <c r="T203">
        <v>906.59999999999945</v>
      </c>
      <c r="U203">
        <v>971.35000000000036</v>
      </c>
      <c r="V203">
        <v>906.60000000000036</v>
      </c>
      <c r="W203">
        <v>2277.1999999999989</v>
      </c>
      <c r="X203">
        <v>2298.8000000000002</v>
      </c>
      <c r="Y203">
        <v>2477.1999999999998</v>
      </c>
    </row>
    <row r="204" spans="1:25" x14ac:dyDescent="0.35">
      <c r="A204">
        <v>160</v>
      </c>
      <c r="B204">
        <v>906.59999999999945</v>
      </c>
      <c r="C204">
        <v>990.77499999999964</v>
      </c>
      <c r="D204">
        <v>906.60000000000036</v>
      </c>
      <c r="E204">
        <v>-1126.4500000000007</v>
      </c>
      <c r="F204">
        <v>-407.72500000000036</v>
      </c>
      <c r="G204">
        <v>-2291.9499999999998</v>
      </c>
      <c r="J204">
        <v>160</v>
      </c>
      <c r="K204">
        <v>0</v>
      </c>
      <c r="L204">
        <v>0</v>
      </c>
      <c r="M204">
        <v>0</v>
      </c>
      <c r="N204">
        <v>226</v>
      </c>
      <c r="O204">
        <v>190</v>
      </c>
      <c r="P204">
        <v>349</v>
      </c>
      <c r="S204">
        <v>160</v>
      </c>
      <c r="T204">
        <v>906.59999999999945</v>
      </c>
      <c r="U204">
        <v>990.77499999999964</v>
      </c>
      <c r="V204">
        <v>906.59999999999945</v>
      </c>
      <c r="W204">
        <v>2261.1999999999994</v>
      </c>
      <c r="X204">
        <v>2218.9999999999995</v>
      </c>
      <c r="Y204">
        <v>2473.1999999999998</v>
      </c>
    </row>
    <row r="205" spans="1:25" x14ac:dyDescent="0.35">
      <c r="A205">
        <v>161</v>
      </c>
      <c r="B205">
        <v>906.59999999999945</v>
      </c>
      <c r="C205">
        <v>964.875</v>
      </c>
      <c r="D205">
        <v>906.59999999999945</v>
      </c>
      <c r="E205">
        <v>-1592.6500000000005</v>
      </c>
      <c r="F205">
        <v>-336.5</v>
      </c>
      <c r="G205">
        <v>-2201.3000000000002</v>
      </c>
      <c r="J205">
        <v>161</v>
      </c>
      <c r="K205">
        <v>0</v>
      </c>
      <c r="L205">
        <v>0</v>
      </c>
      <c r="M205">
        <v>0</v>
      </c>
      <c r="N205">
        <v>223</v>
      </c>
      <c r="O205">
        <v>170</v>
      </c>
      <c r="P205">
        <v>302</v>
      </c>
      <c r="S205">
        <v>161</v>
      </c>
      <c r="T205">
        <v>906.59999999999945</v>
      </c>
      <c r="U205">
        <v>945.44999999999982</v>
      </c>
      <c r="V205">
        <v>906.59999999999945</v>
      </c>
      <c r="W205">
        <v>2237.1999999999989</v>
      </c>
      <c r="X205">
        <v>-330.02500000000055</v>
      </c>
      <c r="Y205">
        <v>2447.1999999999998</v>
      </c>
    </row>
    <row r="206" spans="1:25" x14ac:dyDescent="0.35">
      <c r="A206">
        <v>162</v>
      </c>
      <c r="B206">
        <v>906.59999999999945</v>
      </c>
      <c r="C206">
        <v>971.34999999999945</v>
      </c>
      <c r="D206">
        <v>906.59999999999945</v>
      </c>
      <c r="E206">
        <v>-1035.8000000000002</v>
      </c>
      <c r="F206">
        <v>-563.125</v>
      </c>
      <c r="G206">
        <v>-2201.3000000000002</v>
      </c>
      <c r="J206">
        <v>162</v>
      </c>
      <c r="K206">
        <v>0</v>
      </c>
      <c r="L206">
        <v>0</v>
      </c>
      <c r="M206">
        <v>0</v>
      </c>
      <c r="N206">
        <v>206</v>
      </c>
      <c r="O206">
        <v>208</v>
      </c>
      <c r="P206">
        <v>310</v>
      </c>
      <c r="S206">
        <v>162</v>
      </c>
      <c r="T206">
        <v>906.59999999999945</v>
      </c>
      <c r="U206">
        <v>932.5</v>
      </c>
      <c r="V206">
        <v>906.59999999999945</v>
      </c>
      <c r="W206">
        <v>2269.1999999999994</v>
      </c>
      <c r="X206">
        <v>2305.7499999999995</v>
      </c>
      <c r="Y206">
        <v>-2486.1999999999998</v>
      </c>
    </row>
    <row r="207" spans="1:25" x14ac:dyDescent="0.35">
      <c r="A207">
        <v>163</v>
      </c>
      <c r="B207">
        <v>906.59999999999945</v>
      </c>
      <c r="C207">
        <v>971.35000000000036</v>
      </c>
      <c r="D207">
        <v>906.60000000000036</v>
      </c>
      <c r="E207">
        <v>-1450.2000000000007</v>
      </c>
      <c r="F207">
        <v>-640.82500000000073</v>
      </c>
      <c r="G207">
        <v>-2421.4499999999998</v>
      </c>
      <c r="J207">
        <v>163</v>
      </c>
      <c r="K207">
        <v>0</v>
      </c>
      <c r="L207">
        <v>0</v>
      </c>
      <c r="M207">
        <v>0</v>
      </c>
      <c r="N207">
        <v>193</v>
      </c>
      <c r="O207">
        <v>178</v>
      </c>
      <c r="P207">
        <v>312</v>
      </c>
      <c r="S207">
        <v>163</v>
      </c>
      <c r="T207">
        <v>906.59999999999945</v>
      </c>
      <c r="U207">
        <v>1029.625</v>
      </c>
      <c r="V207">
        <v>906.59999999999945</v>
      </c>
      <c r="W207">
        <v>2064.8983900266189</v>
      </c>
      <c r="X207">
        <v>-381.82500000000073</v>
      </c>
      <c r="Y207">
        <v>-1413.9500320656221</v>
      </c>
    </row>
    <row r="208" spans="1:25" x14ac:dyDescent="0.35">
      <c r="A208">
        <v>164</v>
      </c>
      <c r="B208">
        <v>906.59999999999945</v>
      </c>
      <c r="C208">
        <v>1010.1999999999998</v>
      </c>
      <c r="D208">
        <v>906.59999999999945</v>
      </c>
      <c r="E208">
        <v>-1191.2000000000007</v>
      </c>
      <c r="F208">
        <v>-699.10000000000036</v>
      </c>
      <c r="G208">
        <v>-2382.6000000000004</v>
      </c>
      <c r="J208">
        <v>164</v>
      </c>
      <c r="K208">
        <v>0</v>
      </c>
      <c r="L208">
        <v>0</v>
      </c>
      <c r="M208">
        <v>0</v>
      </c>
      <c r="N208">
        <v>236</v>
      </c>
      <c r="O208">
        <v>164</v>
      </c>
      <c r="P208">
        <v>311</v>
      </c>
      <c r="S208">
        <v>164</v>
      </c>
      <c r="T208">
        <v>906.59999999999945</v>
      </c>
      <c r="U208">
        <v>997.24999999999909</v>
      </c>
      <c r="V208">
        <v>906.59999999999945</v>
      </c>
      <c r="W208">
        <v>2249.1999999999994</v>
      </c>
      <c r="X208">
        <v>396.49525326157845</v>
      </c>
      <c r="Y208">
        <v>-1509.5534566586316</v>
      </c>
    </row>
    <row r="209" spans="1:25" x14ac:dyDescent="0.35">
      <c r="A209">
        <v>165</v>
      </c>
      <c r="B209">
        <v>906.59999999999945</v>
      </c>
      <c r="C209">
        <v>964.875</v>
      </c>
      <c r="D209">
        <v>906.60000000000036</v>
      </c>
      <c r="E209">
        <v>-1191.2000000000007</v>
      </c>
      <c r="F209">
        <v>-848.02499999999964</v>
      </c>
      <c r="G209">
        <v>-2020</v>
      </c>
      <c r="J209">
        <v>165</v>
      </c>
      <c r="K209">
        <v>0</v>
      </c>
      <c r="L209">
        <v>0</v>
      </c>
      <c r="M209">
        <v>0</v>
      </c>
      <c r="N209">
        <v>244</v>
      </c>
      <c r="O209">
        <v>159</v>
      </c>
      <c r="P209">
        <v>315</v>
      </c>
      <c r="S209">
        <v>165</v>
      </c>
      <c r="T209">
        <v>906.59999999999945</v>
      </c>
      <c r="U209">
        <v>977.82499999999891</v>
      </c>
      <c r="V209">
        <v>906.59999999999945</v>
      </c>
      <c r="W209">
        <v>2253.1999999999998</v>
      </c>
      <c r="X209">
        <v>911.86544822401629</v>
      </c>
      <c r="Y209">
        <v>2441.1999999999998</v>
      </c>
    </row>
    <row r="210" spans="1:25" x14ac:dyDescent="0.35">
      <c r="A210">
        <v>166</v>
      </c>
      <c r="B210">
        <v>906.59999999999945</v>
      </c>
      <c r="C210">
        <v>938.97500000000036</v>
      </c>
      <c r="D210">
        <v>906.59999999999945</v>
      </c>
      <c r="E210">
        <v>-919.25</v>
      </c>
      <c r="F210">
        <v>-368.875</v>
      </c>
      <c r="G210">
        <v>-2343.75</v>
      </c>
      <c r="J210">
        <v>166</v>
      </c>
      <c r="K210">
        <v>0</v>
      </c>
      <c r="L210">
        <v>0</v>
      </c>
      <c r="M210">
        <v>0</v>
      </c>
      <c r="N210">
        <v>228</v>
      </c>
      <c r="O210">
        <v>198</v>
      </c>
      <c r="P210">
        <v>320</v>
      </c>
      <c r="S210">
        <v>166</v>
      </c>
      <c r="T210">
        <v>906.59999999999945</v>
      </c>
      <c r="U210">
        <v>971.34999999999854</v>
      </c>
      <c r="V210">
        <v>906.60000000000036</v>
      </c>
      <c r="W210">
        <v>2229.1999999999994</v>
      </c>
      <c r="X210">
        <v>2192.5250000000001</v>
      </c>
      <c r="Y210">
        <v>2431.1999999999998</v>
      </c>
    </row>
    <row r="211" spans="1:25" x14ac:dyDescent="0.35">
      <c r="A211">
        <v>167</v>
      </c>
      <c r="B211">
        <v>906.59999999999945</v>
      </c>
      <c r="C211">
        <v>977.82499999999891</v>
      </c>
      <c r="D211">
        <v>906.60000000000036</v>
      </c>
      <c r="E211">
        <v>-1139.4000000000005</v>
      </c>
      <c r="F211">
        <v>-323.55000000000109</v>
      </c>
      <c r="G211">
        <v>-2745.2</v>
      </c>
      <c r="J211">
        <v>167</v>
      </c>
      <c r="K211">
        <v>0</v>
      </c>
      <c r="L211">
        <v>0</v>
      </c>
      <c r="M211">
        <v>0</v>
      </c>
      <c r="N211">
        <v>227</v>
      </c>
      <c r="O211">
        <v>150</v>
      </c>
      <c r="P211">
        <v>308</v>
      </c>
      <c r="S211">
        <v>167</v>
      </c>
      <c r="T211">
        <v>906.59999999999945</v>
      </c>
      <c r="U211">
        <v>1023.1499999999996</v>
      </c>
      <c r="V211">
        <v>906.59999999999945</v>
      </c>
      <c r="W211">
        <v>2253.1999999999998</v>
      </c>
      <c r="X211">
        <v>2213.4749999999995</v>
      </c>
      <c r="Y211">
        <v>2465.1999999999998</v>
      </c>
    </row>
    <row r="212" spans="1:25" x14ac:dyDescent="0.35">
      <c r="A212">
        <v>168</v>
      </c>
      <c r="B212">
        <v>906.59999999999945</v>
      </c>
      <c r="C212">
        <v>958.39999999999964</v>
      </c>
      <c r="D212">
        <v>906.59999999999945</v>
      </c>
      <c r="E212">
        <v>-1372.5</v>
      </c>
      <c r="F212">
        <v>-556.64999999999964</v>
      </c>
      <c r="G212">
        <v>-2291.9499999999998</v>
      </c>
      <c r="J212">
        <v>168</v>
      </c>
      <c r="K212">
        <v>0</v>
      </c>
      <c r="L212">
        <v>0</v>
      </c>
      <c r="M212">
        <v>0</v>
      </c>
      <c r="N212">
        <v>228</v>
      </c>
      <c r="O212">
        <v>167</v>
      </c>
      <c r="P212">
        <v>340</v>
      </c>
      <c r="S212">
        <v>168</v>
      </c>
      <c r="T212">
        <v>906.59999999999945</v>
      </c>
      <c r="U212">
        <v>951.92499999999927</v>
      </c>
      <c r="V212">
        <v>906.59999999999945</v>
      </c>
      <c r="W212">
        <v>2285.1999999999998</v>
      </c>
      <c r="X212">
        <v>2235.474999999999</v>
      </c>
      <c r="Y212">
        <v>1635.8056243488313</v>
      </c>
    </row>
    <row r="213" spans="1:25" x14ac:dyDescent="0.35">
      <c r="A213">
        <v>169</v>
      </c>
      <c r="B213">
        <v>906.59999999999945</v>
      </c>
      <c r="C213">
        <v>971.34999999999945</v>
      </c>
      <c r="D213">
        <v>919.54999999999927</v>
      </c>
      <c r="E213">
        <v>-1126.4500000000007</v>
      </c>
      <c r="F213">
        <v>-517.80000000000109</v>
      </c>
      <c r="G213">
        <v>-2460.3000000000002</v>
      </c>
      <c r="J213">
        <v>169</v>
      </c>
      <c r="K213">
        <v>0</v>
      </c>
      <c r="L213">
        <v>0</v>
      </c>
      <c r="M213">
        <v>0</v>
      </c>
      <c r="N213">
        <v>229</v>
      </c>
      <c r="O213">
        <v>194</v>
      </c>
      <c r="P213">
        <v>298</v>
      </c>
      <c r="S213">
        <v>169</v>
      </c>
      <c r="T213">
        <v>906.59999999999945</v>
      </c>
      <c r="U213">
        <v>984.29999999999927</v>
      </c>
      <c r="V213">
        <v>906.59999999999945</v>
      </c>
      <c r="W213">
        <v>2301.1999999999994</v>
      </c>
      <c r="X213">
        <v>2349.2749999999992</v>
      </c>
      <c r="Y213">
        <v>2433.1999999999998</v>
      </c>
    </row>
    <row r="214" spans="1:25" x14ac:dyDescent="0.35">
      <c r="A214">
        <v>170</v>
      </c>
      <c r="B214">
        <v>906.59999999999945</v>
      </c>
      <c r="C214">
        <v>964.875</v>
      </c>
      <c r="D214">
        <v>906.59999999999945</v>
      </c>
      <c r="E214">
        <v>-1152.3500000000004</v>
      </c>
      <c r="F214">
        <v>-660.25</v>
      </c>
      <c r="G214">
        <v>-2227.2000000000007</v>
      </c>
      <c r="J214">
        <v>170</v>
      </c>
      <c r="K214">
        <v>0</v>
      </c>
      <c r="L214">
        <v>0</v>
      </c>
      <c r="M214">
        <v>0</v>
      </c>
      <c r="N214">
        <v>240</v>
      </c>
      <c r="O214">
        <v>183</v>
      </c>
      <c r="P214">
        <v>313</v>
      </c>
      <c r="S214">
        <v>170</v>
      </c>
      <c r="T214">
        <v>906.59999999999945</v>
      </c>
      <c r="U214">
        <v>1003.7249999999995</v>
      </c>
      <c r="V214">
        <v>919.54999999999927</v>
      </c>
      <c r="W214">
        <v>2239.1999999999994</v>
      </c>
      <c r="X214">
        <v>2261.849999999999</v>
      </c>
      <c r="Y214">
        <v>2479.1999999999989</v>
      </c>
    </row>
    <row r="215" spans="1:25" x14ac:dyDescent="0.35">
      <c r="A215">
        <v>171</v>
      </c>
      <c r="B215">
        <v>906.59999999999945</v>
      </c>
      <c r="C215">
        <v>964.87499999999909</v>
      </c>
      <c r="D215">
        <v>906.59999999999945</v>
      </c>
      <c r="E215">
        <v>-984</v>
      </c>
      <c r="F215">
        <v>-414.20000000000073</v>
      </c>
      <c r="G215">
        <v>-2188.3500000000004</v>
      </c>
      <c r="J215">
        <v>171</v>
      </c>
      <c r="K215">
        <v>0</v>
      </c>
      <c r="L215">
        <v>0</v>
      </c>
      <c r="M215">
        <v>0</v>
      </c>
      <c r="N215">
        <v>223</v>
      </c>
      <c r="O215">
        <v>191</v>
      </c>
      <c r="P215">
        <v>304</v>
      </c>
      <c r="S215">
        <v>171</v>
      </c>
      <c r="T215">
        <v>906.59999999999945</v>
      </c>
      <c r="U215">
        <v>971.34999999999945</v>
      </c>
      <c r="V215">
        <v>906.59999999999945</v>
      </c>
      <c r="W215">
        <v>-1268.9000000000005</v>
      </c>
      <c r="X215">
        <v>2232.9999999999995</v>
      </c>
      <c r="Y215">
        <v>2498.1499999999996</v>
      </c>
    </row>
    <row r="216" spans="1:25" x14ac:dyDescent="0.35">
      <c r="A216">
        <v>172</v>
      </c>
      <c r="B216">
        <v>906.59999999999945</v>
      </c>
      <c r="C216">
        <v>997.25</v>
      </c>
      <c r="D216">
        <v>906.59999999999945</v>
      </c>
      <c r="E216">
        <v>-1346.6000000000004</v>
      </c>
      <c r="F216">
        <v>-466</v>
      </c>
      <c r="G216">
        <v>-2136.5500000000002</v>
      </c>
      <c r="J216">
        <v>172</v>
      </c>
      <c r="K216">
        <v>0</v>
      </c>
      <c r="L216">
        <v>0</v>
      </c>
      <c r="M216">
        <v>0</v>
      </c>
      <c r="N216">
        <v>229</v>
      </c>
      <c r="O216">
        <v>182</v>
      </c>
      <c r="P216">
        <v>333</v>
      </c>
      <c r="S216">
        <v>172</v>
      </c>
      <c r="T216">
        <v>906.59999999999945</v>
      </c>
      <c r="U216">
        <v>984.30000000000018</v>
      </c>
      <c r="V216">
        <v>906.60000000000036</v>
      </c>
      <c r="W216">
        <v>2279.1999999999994</v>
      </c>
      <c r="X216">
        <v>2219.9499999999998</v>
      </c>
      <c r="Y216">
        <v>-523.18379501978893</v>
      </c>
    </row>
    <row r="217" spans="1:25" x14ac:dyDescent="0.35">
      <c r="A217">
        <v>173</v>
      </c>
      <c r="B217">
        <v>906.59999999999945</v>
      </c>
      <c r="C217">
        <v>964.875</v>
      </c>
      <c r="D217">
        <v>906.59999999999945</v>
      </c>
      <c r="E217">
        <v>-1191.2000000000007</v>
      </c>
      <c r="F217">
        <v>-414.20000000000073</v>
      </c>
      <c r="G217">
        <v>-2473.25</v>
      </c>
      <c r="J217">
        <v>173</v>
      </c>
      <c r="K217">
        <v>0</v>
      </c>
      <c r="L217">
        <v>0</v>
      </c>
      <c r="M217">
        <v>0</v>
      </c>
      <c r="N217">
        <v>222</v>
      </c>
      <c r="O217">
        <v>168</v>
      </c>
      <c r="P217">
        <v>320</v>
      </c>
      <c r="S217">
        <v>173</v>
      </c>
      <c r="T217">
        <v>906.59999999999945</v>
      </c>
      <c r="U217">
        <v>990.77499999999873</v>
      </c>
      <c r="V217">
        <v>919.54999999999927</v>
      </c>
      <c r="W217">
        <v>2263.1999999999998</v>
      </c>
      <c r="X217">
        <v>2239.3749999999991</v>
      </c>
      <c r="Y217">
        <v>732.61973156521481</v>
      </c>
    </row>
    <row r="218" spans="1:25" x14ac:dyDescent="0.35">
      <c r="A218">
        <v>174</v>
      </c>
      <c r="B218">
        <v>906.59999999999945</v>
      </c>
      <c r="C218">
        <v>964.87499999999909</v>
      </c>
      <c r="D218">
        <v>906.60000000000036</v>
      </c>
      <c r="E218">
        <v>-893.35000000000036</v>
      </c>
      <c r="F218">
        <v>-362.40000000000055</v>
      </c>
      <c r="G218">
        <v>-2227.2000000000007</v>
      </c>
      <c r="J218">
        <v>174</v>
      </c>
      <c r="K218">
        <v>0</v>
      </c>
      <c r="L218">
        <v>0</v>
      </c>
      <c r="M218">
        <v>0</v>
      </c>
      <c r="N218">
        <v>215</v>
      </c>
      <c r="O218">
        <v>177</v>
      </c>
      <c r="P218">
        <v>334</v>
      </c>
      <c r="S218">
        <v>174</v>
      </c>
      <c r="T218">
        <v>906.59999999999945</v>
      </c>
      <c r="U218">
        <v>977.82499999999982</v>
      </c>
      <c r="V218">
        <v>906.60000000000036</v>
      </c>
      <c r="W218">
        <v>2259.1999999999994</v>
      </c>
      <c r="X218">
        <v>2250.9999999999995</v>
      </c>
      <c r="Y218">
        <v>-2356.6999999999998</v>
      </c>
    </row>
    <row r="219" spans="1:25" x14ac:dyDescent="0.35">
      <c r="A219">
        <v>175</v>
      </c>
      <c r="B219">
        <v>906.59999999999945</v>
      </c>
      <c r="C219">
        <v>971.34999999999945</v>
      </c>
      <c r="D219">
        <v>906.59999999999945</v>
      </c>
      <c r="E219">
        <v>-1087.6000000000004</v>
      </c>
      <c r="F219">
        <v>-621.40000000000055</v>
      </c>
      <c r="G219">
        <v>-2227.2000000000007</v>
      </c>
      <c r="J219">
        <v>175</v>
      </c>
      <c r="K219">
        <v>0</v>
      </c>
      <c r="L219">
        <v>0</v>
      </c>
      <c r="M219">
        <v>0</v>
      </c>
      <c r="N219">
        <v>222</v>
      </c>
      <c r="O219">
        <v>215</v>
      </c>
      <c r="P219">
        <v>312</v>
      </c>
      <c r="S219">
        <v>175</v>
      </c>
      <c r="T219">
        <v>906.59999999999945</v>
      </c>
      <c r="U219">
        <v>990.77499999999873</v>
      </c>
      <c r="V219">
        <v>906.59999999999945</v>
      </c>
      <c r="W219">
        <v>-1178.25</v>
      </c>
      <c r="X219">
        <v>2227.4749999999999</v>
      </c>
      <c r="Y219">
        <v>1737.5670902619054</v>
      </c>
    </row>
    <row r="220" spans="1:25" x14ac:dyDescent="0.35">
      <c r="A220">
        <v>176</v>
      </c>
      <c r="B220">
        <v>906.59999999999945</v>
      </c>
      <c r="C220">
        <v>964.87499999999909</v>
      </c>
      <c r="D220">
        <v>906.60000000000036</v>
      </c>
      <c r="E220">
        <v>-1281.8500000000004</v>
      </c>
      <c r="F220">
        <v>-485.42500000000109</v>
      </c>
      <c r="G220">
        <v>-2421.4499999999998</v>
      </c>
      <c r="J220">
        <v>176</v>
      </c>
      <c r="K220">
        <v>0</v>
      </c>
      <c r="L220">
        <v>0</v>
      </c>
      <c r="M220">
        <v>0</v>
      </c>
      <c r="N220">
        <v>204</v>
      </c>
      <c r="O220">
        <v>197</v>
      </c>
      <c r="P220">
        <v>333</v>
      </c>
      <c r="S220">
        <v>176</v>
      </c>
      <c r="T220">
        <v>906.59999999999945</v>
      </c>
      <c r="U220">
        <v>997.24999999999909</v>
      </c>
      <c r="V220">
        <v>906.59999999999945</v>
      </c>
      <c r="W220">
        <v>2295.1999999999998</v>
      </c>
      <c r="X220">
        <v>2227.4749999999999</v>
      </c>
      <c r="Y220">
        <v>1951.1737754161077</v>
      </c>
    </row>
    <row r="221" spans="1:25" x14ac:dyDescent="0.35">
      <c r="A221">
        <v>177</v>
      </c>
      <c r="B221">
        <v>906.59999999999945</v>
      </c>
      <c r="C221">
        <v>958.39999999999964</v>
      </c>
      <c r="D221">
        <v>919.54999999999927</v>
      </c>
      <c r="E221">
        <v>-1178.25</v>
      </c>
      <c r="F221">
        <v>-168.15000000000055</v>
      </c>
      <c r="G221">
        <v>-2486.1999999999998</v>
      </c>
      <c r="J221">
        <v>177</v>
      </c>
      <c r="K221">
        <v>0</v>
      </c>
      <c r="L221">
        <v>0</v>
      </c>
      <c r="M221">
        <v>5</v>
      </c>
      <c r="N221">
        <v>211</v>
      </c>
      <c r="O221">
        <v>185</v>
      </c>
      <c r="P221">
        <v>317</v>
      </c>
      <c r="S221">
        <v>177</v>
      </c>
      <c r="T221">
        <v>906.59999999999945</v>
      </c>
      <c r="U221">
        <v>1036.0999999999995</v>
      </c>
      <c r="V221">
        <v>906.59999999999945</v>
      </c>
      <c r="W221">
        <v>2299.1999999999994</v>
      </c>
      <c r="X221">
        <v>2125.4303599660498</v>
      </c>
      <c r="Y221">
        <v>-1598.2061298213391</v>
      </c>
    </row>
    <row r="222" spans="1:25" x14ac:dyDescent="0.35">
      <c r="A222">
        <v>178</v>
      </c>
      <c r="B222">
        <v>906.59999999999945</v>
      </c>
      <c r="C222">
        <v>1010.1999999999998</v>
      </c>
      <c r="D222">
        <v>906.60000000000036</v>
      </c>
      <c r="E222">
        <v>-1450.2000000000007</v>
      </c>
      <c r="F222">
        <v>-297.64999999999964</v>
      </c>
      <c r="G222">
        <v>-2343.75</v>
      </c>
      <c r="J222">
        <v>178</v>
      </c>
      <c r="K222">
        <v>0</v>
      </c>
      <c r="L222">
        <v>0</v>
      </c>
      <c r="M222">
        <v>0</v>
      </c>
      <c r="N222">
        <v>246</v>
      </c>
      <c r="O222">
        <v>187</v>
      </c>
      <c r="P222">
        <v>333</v>
      </c>
      <c r="S222">
        <v>178</v>
      </c>
      <c r="T222">
        <v>906.59999999999945</v>
      </c>
      <c r="U222">
        <v>990.77499999999873</v>
      </c>
      <c r="V222">
        <v>906.59999999999945</v>
      </c>
      <c r="W222">
        <v>-737.95000000000073</v>
      </c>
      <c r="X222">
        <v>2283.2749999999996</v>
      </c>
      <c r="Y222">
        <v>2469.1999999999989</v>
      </c>
    </row>
    <row r="223" spans="1:25" x14ac:dyDescent="0.35">
      <c r="A223">
        <v>179</v>
      </c>
      <c r="B223">
        <v>906.59999999999945</v>
      </c>
      <c r="C223">
        <v>990.77499999999873</v>
      </c>
      <c r="D223">
        <v>906.59999999999945</v>
      </c>
      <c r="E223">
        <v>-880.40000000000055</v>
      </c>
      <c r="F223">
        <v>-472.47500000000036</v>
      </c>
      <c r="G223">
        <v>-2201.3000000000002</v>
      </c>
      <c r="J223">
        <v>179</v>
      </c>
      <c r="K223">
        <v>0</v>
      </c>
      <c r="L223">
        <v>0</v>
      </c>
      <c r="M223">
        <v>0</v>
      </c>
      <c r="N223">
        <v>197</v>
      </c>
      <c r="O223">
        <v>181</v>
      </c>
      <c r="P223">
        <v>333</v>
      </c>
      <c r="S223">
        <v>179</v>
      </c>
      <c r="T223">
        <v>906.59999999999945</v>
      </c>
      <c r="U223">
        <v>971.34999999999854</v>
      </c>
      <c r="V223">
        <v>919.54999999999927</v>
      </c>
      <c r="W223">
        <v>2273.1999999999998</v>
      </c>
      <c r="X223">
        <v>2314.7999999999997</v>
      </c>
      <c r="Y223">
        <v>2255.8677901655838</v>
      </c>
    </row>
    <row r="224" spans="1:25" x14ac:dyDescent="0.35">
      <c r="A224">
        <v>180</v>
      </c>
      <c r="B224">
        <v>906.59999999999945</v>
      </c>
      <c r="C224">
        <v>984.29999999999927</v>
      </c>
      <c r="D224">
        <v>906.60000000000036</v>
      </c>
      <c r="E224">
        <v>-880.40000000000055</v>
      </c>
      <c r="F224">
        <v>-440.10000000000036</v>
      </c>
      <c r="G224">
        <v>-2214.25</v>
      </c>
      <c r="J224">
        <v>180</v>
      </c>
      <c r="K224">
        <v>0</v>
      </c>
      <c r="L224">
        <v>0</v>
      </c>
      <c r="M224">
        <v>0</v>
      </c>
      <c r="N224">
        <v>219</v>
      </c>
      <c r="O224">
        <v>185</v>
      </c>
      <c r="P224">
        <v>322</v>
      </c>
      <c r="S224">
        <v>180</v>
      </c>
      <c r="T224">
        <v>906.59999999999945</v>
      </c>
      <c r="U224">
        <v>951.92499999999927</v>
      </c>
      <c r="V224">
        <v>906.59999999999945</v>
      </c>
      <c r="W224">
        <v>2253.1999999999998</v>
      </c>
      <c r="X224">
        <v>2201.4750000000004</v>
      </c>
      <c r="Y224">
        <v>2457.1999999999998</v>
      </c>
    </row>
    <row r="225" spans="1:25" x14ac:dyDescent="0.35">
      <c r="A225">
        <v>181</v>
      </c>
      <c r="B225">
        <v>906.59999999999945</v>
      </c>
      <c r="C225">
        <v>958.39999999999964</v>
      </c>
      <c r="D225">
        <v>906.59999999999945</v>
      </c>
      <c r="E225">
        <v>-789.75</v>
      </c>
      <c r="F225">
        <v>-485.42500000000109</v>
      </c>
      <c r="G225">
        <v>-2279</v>
      </c>
      <c r="J225">
        <v>181</v>
      </c>
      <c r="K225">
        <v>0</v>
      </c>
      <c r="L225">
        <v>0</v>
      </c>
      <c r="M225">
        <v>0</v>
      </c>
      <c r="N225">
        <v>202</v>
      </c>
      <c r="O225">
        <v>161</v>
      </c>
      <c r="P225">
        <v>325</v>
      </c>
      <c r="S225">
        <v>181</v>
      </c>
      <c r="T225">
        <v>906.59999999999945</v>
      </c>
      <c r="U225">
        <v>977.82499999999891</v>
      </c>
      <c r="V225">
        <v>919.54999999999927</v>
      </c>
      <c r="W225">
        <v>2229.1999999999994</v>
      </c>
      <c r="X225">
        <v>825.52206698272062</v>
      </c>
      <c r="Y225">
        <v>924.78992562853637</v>
      </c>
    </row>
    <row r="226" spans="1:25" x14ac:dyDescent="0.35">
      <c r="A226">
        <v>182</v>
      </c>
      <c r="B226">
        <v>906.59999999999945</v>
      </c>
      <c r="C226">
        <v>951.92500000000018</v>
      </c>
      <c r="D226">
        <v>906.60000000000036</v>
      </c>
      <c r="E226">
        <v>-1126.4500000000007</v>
      </c>
      <c r="F226">
        <v>-323.55000000000018</v>
      </c>
      <c r="G226">
        <v>-2330.8000000000002</v>
      </c>
      <c r="J226">
        <v>182</v>
      </c>
      <c r="K226">
        <v>0</v>
      </c>
      <c r="L226">
        <v>0</v>
      </c>
      <c r="M226">
        <v>0</v>
      </c>
      <c r="N226">
        <v>236</v>
      </c>
      <c r="O226">
        <v>195</v>
      </c>
      <c r="P226">
        <v>339</v>
      </c>
      <c r="S226">
        <v>182</v>
      </c>
      <c r="T226">
        <v>906.59999999999945</v>
      </c>
      <c r="U226">
        <v>977.82499999999982</v>
      </c>
      <c r="V226">
        <v>906.59999999999945</v>
      </c>
      <c r="W226">
        <v>2249.1999999999994</v>
      </c>
      <c r="X226">
        <v>697.50283602934769</v>
      </c>
      <c r="Y226">
        <v>2463.1999999999998</v>
      </c>
    </row>
    <row r="227" spans="1:25" x14ac:dyDescent="0.35">
      <c r="A227">
        <v>183</v>
      </c>
      <c r="B227">
        <v>906.59999999999945</v>
      </c>
      <c r="C227">
        <v>951.92500000000018</v>
      </c>
      <c r="D227">
        <v>906.59999999999945</v>
      </c>
      <c r="E227">
        <v>-750.90000000000055</v>
      </c>
      <c r="F227">
        <v>-589.02499999999964</v>
      </c>
      <c r="G227">
        <v>-2201.3000000000002</v>
      </c>
      <c r="J227">
        <v>183</v>
      </c>
      <c r="K227">
        <v>0</v>
      </c>
      <c r="L227">
        <v>0</v>
      </c>
      <c r="M227">
        <v>0</v>
      </c>
      <c r="N227">
        <v>224</v>
      </c>
      <c r="O227">
        <v>167</v>
      </c>
      <c r="P227">
        <v>332</v>
      </c>
      <c r="S227">
        <v>183</v>
      </c>
      <c r="T227">
        <v>906.59999999999945</v>
      </c>
      <c r="U227">
        <v>977.82499999999891</v>
      </c>
      <c r="V227">
        <v>906.59999999999945</v>
      </c>
      <c r="W227">
        <v>2265.1999999999998</v>
      </c>
      <c r="X227">
        <v>2301.3749999999991</v>
      </c>
      <c r="Y227">
        <v>2509.1999999999989</v>
      </c>
    </row>
    <row r="228" spans="1:25" x14ac:dyDescent="0.35">
      <c r="A228">
        <v>184</v>
      </c>
      <c r="B228">
        <v>906.59999999999945</v>
      </c>
      <c r="C228">
        <v>977.82499999999891</v>
      </c>
      <c r="D228">
        <v>906.59999999999945</v>
      </c>
      <c r="E228">
        <v>-1178.25</v>
      </c>
      <c r="F228">
        <v>-375.35000000000036</v>
      </c>
      <c r="G228">
        <v>-2434.4000000000005</v>
      </c>
      <c r="J228">
        <v>184</v>
      </c>
      <c r="K228">
        <v>0</v>
      </c>
      <c r="L228">
        <v>0</v>
      </c>
      <c r="M228">
        <v>0</v>
      </c>
      <c r="N228">
        <v>212</v>
      </c>
      <c r="O228">
        <v>172</v>
      </c>
      <c r="P228">
        <v>321</v>
      </c>
      <c r="S228">
        <v>184</v>
      </c>
      <c r="T228">
        <v>906.59999999999945</v>
      </c>
      <c r="U228">
        <v>971.34999999999854</v>
      </c>
      <c r="V228">
        <v>906.60000000000036</v>
      </c>
      <c r="W228">
        <v>2112.4779758598834</v>
      </c>
      <c r="X228">
        <v>2248.8999999999992</v>
      </c>
      <c r="Y228">
        <v>1253.5555349455535</v>
      </c>
    </row>
    <row r="229" spans="1:25" x14ac:dyDescent="0.35">
      <c r="A229">
        <v>185</v>
      </c>
      <c r="B229">
        <v>906.59999999999945</v>
      </c>
      <c r="C229">
        <v>932.5</v>
      </c>
      <c r="D229">
        <v>906.59999999999945</v>
      </c>
      <c r="E229">
        <v>-996.95000000000073</v>
      </c>
      <c r="F229">
        <v>-265.27500000000055</v>
      </c>
      <c r="G229">
        <v>-2330.8000000000002</v>
      </c>
      <c r="J229">
        <v>185</v>
      </c>
      <c r="K229">
        <v>0</v>
      </c>
      <c r="L229">
        <v>0</v>
      </c>
      <c r="M229">
        <v>0</v>
      </c>
      <c r="N229">
        <v>219</v>
      </c>
      <c r="O229">
        <v>189</v>
      </c>
      <c r="P229">
        <v>335</v>
      </c>
      <c r="S229">
        <v>185</v>
      </c>
      <c r="T229">
        <v>906.59999999999945</v>
      </c>
      <c r="U229">
        <v>971.34999999999945</v>
      </c>
      <c r="V229">
        <v>919.54999999999927</v>
      </c>
      <c r="W229">
        <v>2251.1999999999994</v>
      </c>
      <c r="X229">
        <v>2279.3749999999991</v>
      </c>
      <c r="Y229">
        <v>563.79270462162231</v>
      </c>
    </row>
    <row r="230" spans="1:25" x14ac:dyDescent="0.35">
      <c r="A230">
        <v>186</v>
      </c>
      <c r="B230">
        <v>906.59999999999945</v>
      </c>
      <c r="C230">
        <v>945.44999999999982</v>
      </c>
      <c r="D230">
        <v>906.59999999999945</v>
      </c>
      <c r="E230">
        <v>-919.25</v>
      </c>
      <c r="F230">
        <v>-342.97500000000036</v>
      </c>
      <c r="G230">
        <v>-2784.05</v>
      </c>
      <c r="J230">
        <v>186</v>
      </c>
      <c r="K230">
        <v>0</v>
      </c>
      <c r="L230">
        <v>0</v>
      </c>
      <c r="M230">
        <v>0</v>
      </c>
      <c r="N230">
        <v>219</v>
      </c>
      <c r="O230">
        <v>193</v>
      </c>
      <c r="P230">
        <v>315</v>
      </c>
      <c r="S230">
        <v>186</v>
      </c>
      <c r="T230">
        <v>906.59999999999945</v>
      </c>
      <c r="U230">
        <v>990.77499999999873</v>
      </c>
      <c r="V230">
        <v>919.54999999999927</v>
      </c>
      <c r="W230">
        <v>2265.1999999999998</v>
      </c>
      <c r="X230">
        <v>2298.8000000000002</v>
      </c>
      <c r="Y230">
        <v>2197.4768901381767</v>
      </c>
    </row>
    <row r="231" spans="1:25" x14ac:dyDescent="0.35">
      <c r="A231">
        <v>187</v>
      </c>
      <c r="B231">
        <v>906.59999999999945</v>
      </c>
      <c r="C231">
        <v>945.44999999999891</v>
      </c>
      <c r="D231">
        <v>906.59999999999945</v>
      </c>
      <c r="E231">
        <v>-1022.8500000000004</v>
      </c>
      <c r="F231">
        <v>-705.57500000000073</v>
      </c>
      <c r="G231">
        <v>-2706.3500000000004</v>
      </c>
      <c r="J231">
        <v>187</v>
      </c>
      <c r="K231">
        <v>0</v>
      </c>
      <c r="L231">
        <v>0</v>
      </c>
      <c r="M231">
        <v>0</v>
      </c>
      <c r="N231">
        <v>191</v>
      </c>
      <c r="O231">
        <v>174</v>
      </c>
      <c r="P231">
        <v>319</v>
      </c>
      <c r="S231">
        <v>187</v>
      </c>
      <c r="T231">
        <v>906.59999999999945</v>
      </c>
      <c r="U231">
        <v>958.39999999999964</v>
      </c>
      <c r="V231">
        <v>906.60000000000036</v>
      </c>
      <c r="W231">
        <v>2229.1999999999994</v>
      </c>
      <c r="X231">
        <v>1732.3440132729547</v>
      </c>
      <c r="Y231">
        <v>2467.1999999999998</v>
      </c>
    </row>
    <row r="232" spans="1:25" x14ac:dyDescent="0.35">
      <c r="A232">
        <v>188</v>
      </c>
      <c r="B232">
        <v>906.59999999999945</v>
      </c>
      <c r="C232">
        <v>971.35000000000036</v>
      </c>
      <c r="D232">
        <v>906.59999999999945</v>
      </c>
      <c r="E232">
        <v>-1048.75</v>
      </c>
      <c r="F232">
        <v>-148.72500000000036</v>
      </c>
      <c r="G232">
        <v>-2304.9000000000005</v>
      </c>
      <c r="J232">
        <v>188</v>
      </c>
      <c r="K232">
        <v>0</v>
      </c>
      <c r="L232">
        <v>0</v>
      </c>
      <c r="M232">
        <v>0</v>
      </c>
      <c r="N232">
        <v>214</v>
      </c>
      <c r="O232">
        <v>178</v>
      </c>
      <c r="P232">
        <v>317</v>
      </c>
      <c r="S232">
        <v>188</v>
      </c>
      <c r="T232">
        <v>906.59999999999945</v>
      </c>
      <c r="U232">
        <v>1003.7249999999995</v>
      </c>
      <c r="V232">
        <v>906.59999999999945</v>
      </c>
      <c r="W232">
        <v>2273.1999999999998</v>
      </c>
      <c r="X232">
        <v>2277.375</v>
      </c>
      <c r="Y232">
        <v>1374.3542579643272</v>
      </c>
    </row>
    <row r="233" spans="1:25" x14ac:dyDescent="0.35">
      <c r="A233">
        <v>189</v>
      </c>
      <c r="B233">
        <v>906.59999999999945</v>
      </c>
      <c r="C233">
        <v>971.34999999999945</v>
      </c>
      <c r="D233">
        <v>906.59999999999945</v>
      </c>
      <c r="E233">
        <v>-906.30000000000018</v>
      </c>
      <c r="F233">
        <v>-414.20000000000073</v>
      </c>
      <c r="G233">
        <v>-2175.4000000000005</v>
      </c>
      <c r="J233">
        <v>189</v>
      </c>
      <c r="K233">
        <v>0</v>
      </c>
      <c r="L233">
        <v>0</v>
      </c>
      <c r="M233">
        <v>0</v>
      </c>
      <c r="N233">
        <v>242</v>
      </c>
      <c r="O233">
        <v>156</v>
      </c>
      <c r="P233">
        <v>320</v>
      </c>
      <c r="S233">
        <v>189</v>
      </c>
      <c r="T233">
        <v>906.59999999999945</v>
      </c>
      <c r="U233">
        <v>958.39999999999964</v>
      </c>
      <c r="V233">
        <v>906.59999999999945</v>
      </c>
      <c r="W233">
        <v>2187.1999999999994</v>
      </c>
      <c r="X233">
        <v>1980.6877149836728</v>
      </c>
      <c r="Y233">
        <v>905.60681215579734</v>
      </c>
    </row>
    <row r="234" spans="1:25" x14ac:dyDescent="0.35">
      <c r="A234">
        <v>190</v>
      </c>
      <c r="B234">
        <v>906.59999999999945</v>
      </c>
      <c r="C234">
        <v>964.875</v>
      </c>
      <c r="D234">
        <v>906.60000000000036</v>
      </c>
      <c r="E234">
        <v>-932.20000000000073</v>
      </c>
      <c r="F234">
        <v>-563.125</v>
      </c>
      <c r="G234">
        <v>-2395.5500000000002</v>
      </c>
      <c r="J234">
        <v>190</v>
      </c>
      <c r="K234">
        <v>0</v>
      </c>
      <c r="L234">
        <v>0</v>
      </c>
      <c r="M234">
        <v>0</v>
      </c>
      <c r="N234">
        <v>207</v>
      </c>
      <c r="O234">
        <v>186</v>
      </c>
      <c r="P234">
        <v>299</v>
      </c>
      <c r="S234">
        <v>190</v>
      </c>
      <c r="T234">
        <v>906.59999999999945</v>
      </c>
      <c r="U234">
        <v>964.875</v>
      </c>
      <c r="V234">
        <v>906.59999999999945</v>
      </c>
      <c r="W234">
        <v>2245.1999999999998</v>
      </c>
      <c r="X234">
        <v>-458.45211721676037</v>
      </c>
      <c r="Y234">
        <v>538.95854293541697</v>
      </c>
    </row>
    <row r="235" spans="1:25" x14ac:dyDescent="0.35">
      <c r="A235">
        <v>191</v>
      </c>
      <c r="B235">
        <v>906.59999999999945</v>
      </c>
      <c r="C235">
        <v>977.82499999999982</v>
      </c>
      <c r="D235">
        <v>906.60000000000036</v>
      </c>
      <c r="E235">
        <v>-1048.75</v>
      </c>
      <c r="F235">
        <v>-96.925000000000182</v>
      </c>
      <c r="G235">
        <v>-2304.9000000000005</v>
      </c>
      <c r="J235">
        <v>191</v>
      </c>
      <c r="K235">
        <v>0</v>
      </c>
      <c r="L235">
        <v>0</v>
      </c>
      <c r="M235">
        <v>0</v>
      </c>
      <c r="N235">
        <v>240</v>
      </c>
      <c r="O235">
        <v>181</v>
      </c>
      <c r="P235">
        <v>321</v>
      </c>
      <c r="S235">
        <v>191</v>
      </c>
      <c r="T235">
        <v>906.59999999999945</v>
      </c>
      <c r="U235">
        <v>984.29999999999927</v>
      </c>
      <c r="V235">
        <v>906.59999999999945</v>
      </c>
      <c r="W235">
        <v>2267.1999999999989</v>
      </c>
      <c r="X235">
        <v>-239.375</v>
      </c>
      <c r="Y235">
        <v>2445.1999999999998</v>
      </c>
    </row>
    <row r="236" spans="1:25" x14ac:dyDescent="0.35">
      <c r="A236">
        <v>192</v>
      </c>
      <c r="B236">
        <v>906.59999999999945</v>
      </c>
      <c r="C236">
        <v>997.24999999999909</v>
      </c>
      <c r="D236">
        <v>906.59999999999945</v>
      </c>
      <c r="E236">
        <v>-1100.5500000000002</v>
      </c>
      <c r="F236">
        <v>-381.82500000000073</v>
      </c>
      <c r="G236">
        <v>-2641.6000000000004</v>
      </c>
      <c r="J236">
        <v>192</v>
      </c>
      <c r="K236">
        <v>0</v>
      </c>
      <c r="L236">
        <v>0</v>
      </c>
      <c r="M236">
        <v>0</v>
      </c>
      <c r="N236">
        <v>226</v>
      </c>
      <c r="O236">
        <v>185</v>
      </c>
      <c r="P236">
        <v>305</v>
      </c>
      <c r="S236">
        <v>192</v>
      </c>
      <c r="T236">
        <v>906.59999999999945</v>
      </c>
      <c r="U236">
        <v>990.77499999999964</v>
      </c>
      <c r="V236">
        <v>906.60000000000036</v>
      </c>
      <c r="W236">
        <v>2237.1999999999989</v>
      </c>
      <c r="X236">
        <v>2268.3249999999994</v>
      </c>
      <c r="Y236">
        <v>2489.1999999999989</v>
      </c>
    </row>
    <row r="237" spans="1:25" x14ac:dyDescent="0.35">
      <c r="A237">
        <v>193</v>
      </c>
      <c r="B237">
        <v>906.59999999999945</v>
      </c>
      <c r="C237">
        <v>971.34999999999945</v>
      </c>
      <c r="D237">
        <v>906.59999999999945</v>
      </c>
      <c r="E237">
        <v>-1178.25</v>
      </c>
      <c r="F237">
        <v>-122.82500000000073</v>
      </c>
      <c r="G237">
        <v>-2369.6500000000005</v>
      </c>
      <c r="J237">
        <v>193</v>
      </c>
      <c r="K237">
        <v>0</v>
      </c>
      <c r="L237">
        <v>0</v>
      </c>
      <c r="M237">
        <v>0</v>
      </c>
      <c r="N237">
        <v>237</v>
      </c>
      <c r="O237">
        <v>186</v>
      </c>
      <c r="P237">
        <v>343</v>
      </c>
      <c r="S237">
        <v>193</v>
      </c>
      <c r="T237">
        <v>906.59999999999945</v>
      </c>
      <c r="U237">
        <v>1003.7249999999995</v>
      </c>
      <c r="V237">
        <v>906.60000000000036</v>
      </c>
      <c r="W237">
        <v>1358.6143464174106</v>
      </c>
      <c r="X237">
        <v>2230.9999999999995</v>
      </c>
      <c r="Y237">
        <v>-1625.8789672421285</v>
      </c>
    </row>
    <row r="238" spans="1:25" x14ac:dyDescent="0.35">
      <c r="A238">
        <v>194</v>
      </c>
      <c r="B238">
        <v>906.59999999999945</v>
      </c>
      <c r="C238">
        <v>984.30000000000018</v>
      </c>
      <c r="D238">
        <v>906.59999999999945</v>
      </c>
      <c r="E238">
        <v>-1074.6500000000005</v>
      </c>
      <c r="F238">
        <v>-647.30000000000018</v>
      </c>
      <c r="G238">
        <v>-2266.0500000000002</v>
      </c>
      <c r="J238">
        <v>194</v>
      </c>
      <c r="K238">
        <v>0</v>
      </c>
      <c r="L238">
        <v>0</v>
      </c>
      <c r="M238">
        <v>0</v>
      </c>
      <c r="N238">
        <v>227</v>
      </c>
      <c r="O238">
        <v>186</v>
      </c>
      <c r="P238">
        <v>312</v>
      </c>
      <c r="S238">
        <v>194</v>
      </c>
      <c r="T238">
        <v>906.59999999999945</v>
      </c>
      <c r="U238">
        <v>984.30000000000018</v>
      </c>
      <c r="V238">
        <v>930.5999999999998</v>
      </c>
      <c r="W238">
        <v>86.798075020851002</v>
      </c>
      <c r="X238">
        <v>-252.32500000000073</v>
      </c>
      <c r="Y238">
        <v>2487.1999999999998</v>
      </c>
    </row>
    <row r="239" spans="1:25" x14ac:dyDescent="0.35">
      <c r="A239">
        <v>195</v>
      </c>
      <c r="B239">
        <v>906.59999999999945</v>
      </c>
      <c r="C239">
        <v>964.87499999999909</v>
      </c>
      <c r="D239">
        <v>906.59999999999945</v>
      </c>
      <c r="E239">
        <v>-1048.75</v>
      </c>
      <c r="F239">
        <v>-524.27499999999964</v>
      </c>
      <c r="G239">
        <v>-2214.25</v>
      </c>
      <c r="J239">
        <v>195</v>
      </c>
      <c r="K239">
        <v>0</v>
      </c>
      <c r="L239">
        <v>0</v>
      </c>
      <c r="M239">
        <v>0</v>
      </c>
      <c r="N239">
        <v>222</v>
      </c>
      <c r="O239">
        <v>162</v>
      </c>
      <c r="P239">
        <v>312</v>
      </c>
      <c r="S239">
        <v>195</v>
      </c>
      <c r="T239">
        <v>906.59999999999945</v>
      </c>
      <c r="U239">
        <v>990.77499999999964</v>
      </c>
      <c r="V239">
        <v>906.59999999999945</v>
      </c>
      <c r="W239">
        <v>-867.45000000000073</v>
      </c>
      <c r="X239">
        <v>2214.0500000000002</v>
      </c>
      <c r="Y239">
        <v>-1364.3178769764436</v>
      </c>
    </row>
    <row r="240" spans="1:25" x14ac:dyDescent="0.35">
      <c r="A240">
        <v>196</v>
      </c>
      <c r="B240">
        <v>906.59999999999945</v>
      </c>
      <c r="C240">
        <v>977.82499999999982</v>
      </c>
      <c r="D240">
        <v>906.59999999999945</v>
      </c>
      <c r="E240">
        <v>-1307.75</v>
      </c>
      <c r="F240">
        <v>-174.625</v>
      </c>
      <c r="G240">
        <v>-2408.5</v>
      </c>
      <c r="J240">
        <v>196</v>
      </c>
      <c r="K240">
        <v>0</v>
      </c>
      <c r="L240">
        <v>0</v>
      </c>
      <c r="M240">
        <v>0</v>
      </c>
      <c r="N240">
        <v>226</v>
      </c>
      <c r="O240">
        <v>186</v>
      </c>
      <c r="P240">
        <v>320</v>
      </c>
      <c r="S240">
        <v>196</v>
      </c>
      <c r="T240">
        <v>906.59999999999945</v>
      </c>
      <c r="U240">
        <v>1010.1999999999998</v>
      </c>
      <c r="V240">
        <v>906.59999999999945</v>
      </c>
      <c r="W240">
        <v>1323.9555725222685</v>
      </c>
      <c r="X240">
        <v>2282.8999999999996</v>
      </c>
      <c r="Y240">
        <v>2433.1999999999998</v>
      </c>
    </row>
    <row r="241" spans="1:25" x14ac:dyDescent="0.35">
      <c r="A241">
        <v>197</v>
      </c>
      <c r="B241">
        <v>906.59999999999945</v>
      </c>
      <c r="C241">
        <v>971.34999999999945</v>
      </c>
      <c r="D241">
        <v>906.59999999999945</v>
      </c>
      <c r="E241">
        <v>-1437.25</v>
      </c>
      <c r="F241">
        <v>-647.30000000000018</v>
      </c>
      <c r="G241">
        <v>-2071.8000000000002</v>
      </c>
      <c r="J241">
        <v>197</v>
      </c>
      <c r="K241">
        <v>0</v>
      </c>
      <c r="L241">
        <v>0</v>
      </c>
      <c r="M241">
        <v>0</v>
      </c>
      <c r="N241">
        <v>226</v>
      </c>
      <c r="O241">
        <v>181</v>
      </c>
      <c r="P241">
        <v>325</v>
      </c>
      <c r="S241">
        <v>197</v>
      </c>
      <c r="T241">
        <v>906.59999999999945</v>
      </c>
      <c r="U241">
        <v>964.87499999999909</v>
      </c>
      <c r="V241">
        <v>906.59999999999945</v>
      </c>
      <c r="W241">
        <v>-829.78660809756889</v>
      </c>
      <c r="X241">
        <v>2223.4749999999995</v>
      </c>
      <c r="Y241">
        <v>2453.1999999999998</v>
      </c>
    </row>
    <row r="242" spans="1:25" x14ac:dyDescent="0.35">
      <c r="A242">
        <v>198</v>
      </c>
      <c r="B242">
        <v>906.59999999999945</v>
      </c>
      <c r="C242">
        <v>951.92500000000018</v>
      </c>
      <c r="D242">
        <v>906.60000000000036</v>
      </c>
      <c r="E242">
        <v>-984</v>
      </c>
      <c r="F242">
        <v>-537.22500000000036</v>
      </c>
      <c r="G242">
        <v>-2434.4000000000005</v>
      </c>
      <c r="J242">
        <v>198</v>
      </c>
      <c r="K242">
        <v>0</v>
      </c>
      <c r="L242">
        <v>0</v>
      </c>
      <c r="M242">
        <v>0</v>
      </c>
      <c r="N242">
        <v>222</v>
      </c>
      <c r="O242">
        <v>171</v>
      </c>
      <c r="P242">
        <v>317</v>
      </c>
      <c r="S242">
        <v>198</v>
      </c>
      <c r="T242">
        <v>906.59999999999945</v>
      </c>
      <c r="U242">
        <v>971.34999999999945</v>
      </c>
      <c r="V242">
        <v>906.59999999999945</v>
      </c>
      <c r="W242">
        <v>2239.1999999999994</v>
      </c>
      <c r="X242">
        <v>2192.5250000000001</v>
      </c>
      <c r="Y242">
        <v>2470.1499999999996</v>
      </c>
    </row>
    <row r="243" spans="1:25" x14ac:dyDescent="0.35">
      <c r="A243">
        <v>199</v>
      </c>
      <c r="B243">
        <v>906.59999999999945</v>
      </c>
      <c r="C243">
        <v>945.44999999999982</v>
      </c>
      <c r="D243">
        <v>906.59999999999945</v>
      </c>
      <c r="E243">
        <v>-1372.5</v>
      </c>
      <c r="F243">
        <v>-381.82500000000073</v>
      </c>
      <c r="G243">
        <v>-2253.1000000000004</v>
      </c>
      <c r="J243">
        <v>199</v>
      </c>
      <c r="K243">
        <v>0</v>
      </c>
      <c r="L243">
        <v>0</v>
      </c>
      <c r="M243">
        <v>0</v>
      </c>
      <c r="N243">
        <v>229</v>
      </c>
      <c r="O243">
        <v>162</v>
      </c>
      <c r="P243">
        <v>328</v>
      </c>
      <c r="S243">
        <v>199</v>
      </c>
      <c r="T243">
        <v>906.59999999999945</v>
      </c>
      <c r="U243">
        <v>990.77499999999964</v>
      </c>
      <c r="V243">
        <v>906.60000000000036</v>
      </c>
      <c r="W243">
        <v>1611.1170335406114</v>
      </c>
      <c r="X243">
        <v>2263.9499999999994</v>
      </c>
      <c r="Y243">
        <v>2463.1999999999998</v>
      </c>
    </row>
    <row r="244" spans="1:25" x14ac:dyDescent="0.35">
      <c r="A244">
        <v>200</v>
      </c>
      <c r="B244">
        <v>906.59999999999945</v>
      </c>
      <c r="C244">
        <v>1023.1499999999987</v>
      </c>
      <c r="D244">
        <v>906.59999999999945</v>
      </c>
      <c r="E244">
        <v>-802.70000000000073</v>
      </c>
      <c r="F244">
        <v>-582.55000000000018</v>
      </c>
      <c r="G244">
        <v>-2550.9499999999998</v>
      </c>
      <c r="J244">
        <v>200</v>
      </c>
      <c r="K244">
        <v>0</v>
      </c>
      <c r="L244">
        <v>0</v>
      </c>
      <c r="M244">
        <v>0</v>
      </c>
      <c r="N244">
        <v>243</v>
      </c>
      <c r="O244">
        <v>164</v>
      </c>
      <c r="P244">
        <v>320</v>
      </c>
      <c r="S244">
        <v>200</v>
      </c>
      <c r="T244">
        <v>906.59999999999945</v>
      </c>
      <c r="U244">
        <v>958.39999999999964</v>
      </c>
      <c r="V244">
        <v>906.59999999999945</v>
      </c>
      <c r="W244">
        <v>2237.1999999999989</v>
      </c>
      <c r="X244">
        <v>2206.5249999999992</v>
      </c>
      <c r="Y244">
        <v>2403.1999999999998</v>
      </c>
    </row>
    <row r="245" spans="1:25" x14ac:dyDescent="0.35">
      <c r="A245">
        <v>201</v>
      </c>
      <c r="B245">
        <v>906.59999999999945</v>
      </c>
      <c r="C245">
        <v>984.30000000000018</v>
      </c>
      <c r="D245">
        <v>906.59999999999945</v>
      </c>
      <c r="E245">
        <v>-932.20000000000073</v>
      </c>
      <c r="F245">
        <v>-342.97500000000036</v>
      </c>
      <c r="G245">
        <v>-2602.75</v>
      </c>
      <c r="J245">
        <v>201</v>
      </c>
      <c r="K245">
        <v>0</v>
      </c>
      <c r="L245">
        <v>0</v>
      </c>
      <c r="M245">
        <v>0</v>
      </c>
      <c r="N245">
        <v>242</v>
      </c>
      <c r="O245">
        <v>195</v>
      </c>
      <c r="P245">
        <v>321</v>
      </c>
      <c r="S245">
        <v>201</v>
      </c>
      <c r="T245">
        <v>906.59999999999945</v>
      </c>
      <c r="U245">
        <v>990.77499999999964</v>
      </c>
      <c r="V245">
        <v>906.59999999999945</v>
      </c>
      <c r="W245">
        <v>2285.1999999999998</v>
      </c>
      <c r="X245">
        <v>2201.9499999999994</v>
      </c>
      <c r="Y245">
        <v>2465.1999999999998</v>
      </c>
    </row>
    <row r="246" spans="1:25" x14ac:dyDescent="0.35">
      <c r="A246">
        <v>202</v>
      </c>
      <c r="B246">
        <v>906.59999999999945</v>
      </c>
      <c r="C246">
        <v>997.24999999999909</v>
      </c>
      <c r="D246">
        <v>906.59999999999945</v>
      </c>
      <c r="E246">
        <v>-802.70000000000073</v>
      </c>
      <c r="F246">
        <v>-375.35000000000036</v>
      </c>
      <c r="G246">
        <v>-2071.8000000000002</v>
      </c>
      <c r="J246">
        <v>202</v>
      </c>
      <c r="K246">
        <v>0</v>
      </c>
      <c r="L246">
        <v>0</v>
      </c>
      <c r="M246">
        <v>0</v>
      </c>
      <c r="N246">
        <v>214</v>
      </c>
      <c r="O246">
        <v>188</v>
      </c>
      <c r="P246">
        <v>329</v>
      </c>
      <c r="S246">
        <v>202</v>
      </c>
      <c r="T246">
        <v>906.59999999999945</v>
      </c>
      <c r="U246">
        <v>945.44999999999891</v>
      </c>
      <c r="V246">
        <v>906.59999999999945</v>
      </c>
      <c r="W246">
        <v>2263.1999999999998</v>
      </c>
      <c r="X246">
        <v>2261.3749999999995</v>
      </c>
      <c r="Y246">
        <v>2475.1999999999998</v>
      </c>
    </row>
    <row r="247" spans="1:25" x14ac:dyDescent="0.35">
      <c r="A247">
        <v>203</v>
      </c>
      <c r="B247">
        <v>906.59999999999945</v>
      </c>
      <c r="C247">
        <v>977.82499999999982</v>
      </c>
      <c r="D247">
        <v>906.59999999999945</v>
      </c>
      <c r="E247">
        <v>-932.20000000000073</v>
      </c>
      <c r="F247">
        <v>-640.82500000000073</v>
      </c>
      <c r="G247">
        <v>-2317.8500000000004</v>
      </c>
      <c r="J247">
        <v>203</v>
      </c>
      <c r="K247">
        <v>0</v>
      </c>
      <c r="L247">
        <v>0</v>
      </c>
      <c r="M247">
        <v>0</v>
      </c>
      <c r="N247">
        <v>216</v>
      </c>
      <c r="O247">
        <v>171</v>
      </c>
      <c r="P247">
        <v>308</v>
      </c>
      <c r="S247">
        <v>203</v>
      </c>
      <c r="T247">
        <v>906.59999999999945</v>
      </c>
      <c r="U247">
        <v>945.44999999999982</v>
      </c>
      <c r="V247">
        <v>906.60000000000036</v>
      </c>
      <c r="W247">
        <v>2289.1999999999994</v>
      </c>
      <c r="X247">
        <v>2203.9499999999994</v>
      </c>
      <c r="Y247">
        <v>-82.38435982822466</v>
      </c>
    </row>
    <row r="248" spans="1:25" x14ac:dyDescent="0.35">
      <c r="A248">
        <v>204</v>
      </c>
      <c r="B248">
        <v>906.59999999999945</v>
      </c>
      <c r="C248">
        <v>984.29999999999927</v>
      </c>
      <c r="D248">
        <v>906.59999999999945</v>
      </c>
      <c r="E248">
        <v>-1243</v>
      </c>
      <c r="F248">
        <v>-420.67500000000109</v>
      </c>
      <c r="G248">
        <v>-2382.6000000000004</v>
      </c>
      <c r="J248">
        <v>204</v>
      </c>
      <c r="K248">
        <v>0</v>
      </c>
      <c r="L248">
        <v>0</v>
      </c>
      <c r="M248">
        <v>0</v>
      </c>
      <c r="N248">
        <v>209</v>
      </c>
      <c r="O248">
        <v>181</v>
      </c>
      <c r="P248">
        <v>306</v>
      </c>
      <c r="S248">
        <v>204</v>
      </c>
      <c r="T248">
        <v>906.59999999999945</v>
      </c>
      <c r="U248">
        <v>958.39999999999964</v>
      </c>
      <c r="V248">
        <v>906.59999999999945</v>
      </c>
      <c r="W248">
        <v>2243.1999999999998</v>
      </c>
      <c r="X248">
        <v>1431.0528883935501</v>
      </c>
      <c r="Y248">
        <v>-2165.6045451108844</v>
      </c>
    </row>
    <row r="249" spans="1:25" x14ac:dyDescent="0.35">
      <c r="A249">
        <v>205</v>
      </c>
      <c r="B249">
        <v>906.59999999999945</v>
      </c>
      <c r="C249">
        <v>964.87499999999909</v>
      </c>
      <c r="D249">
        <v>906.59999999999945</v>
      </c>
      <c r="E249">
        <v>-1113.5</v>
      </c>
      <c r="F249">
        <v>-543.70000000000073</v>
      </c>
      <c r="G249">
        <v>-2382.6000000000004</v>
      </c>
      <c r="J249">
        <v>205</v>
      </c>
      <c r="K249">
        <v>0</v>
      </c>
      <c r="L249">
        <v>0</v>
      </c>
      <c r="M249">
        <v>0</v>
      </c>
      <c r="N249">
        <v>223</v>
      </c>
      <c r="O249">
        <v>192</v>
      </c>
      <c r="P249">
        <v>318</v>
      </c>
      <c r="S249">
        <v>205</v>
      </c>
      <c r="T249">
        <v>906.59999999999945</v>
      </c>
      <c r="U249">
        <v>1003.7250000000004</v>
      </c>
      <c r="V249">
        <v>906.59999999999945</v>
      </c>
      <c r="W249">
        <v>2223.1999999999998</v>
      </c>
      <c r="X249">
        <v>2266.8999999999992</v>
      </c>
      <c r="Y249">
        <v>-568.29927629429153</v>
      </c>
    </row>
    <row r="250" spans="1:25" x14ac:dyDescent="0.35">
      <c r="A250">
        <v>206</v>
      </c>
      <c r="B250">
        <v>906.59999999999945</v>
      </c>
      <c r="C250">
        <v>1003.7250000000004</v>
      </c>
      <c r="D250">
        <v>906.59999999999945</v>
      </c>
      <c r="E250">
        <v>-1126.4500000000007</v>
      </c>
      <c r="F250">
        <v>-245.85000000000036</v>
      </c>
      <c r="G250">
        <v>-2525.0500000000002</v>
      </c>
      <c r="J250">
        <v>206</v>
      </c>
      <c r="K250">
        <v>0</v>
      </c>
      <c r="L250">
        <v>0</v>
      </c>
      <c r="M250">
        <v>7</v>
      </c>
      <c r="N250">
        <v>244</v>
      </c>
      <c r="O250">
        <v>175</v>
      </c>
      <c r="P250">
        <v>347</v>
      </c>
      <c r="S250">
        <v>206</v>
      </c>
      <c r="T250">
        <v>906.59999999999945</v>
      </c>
      <c r="U250">
        <v>1023.1499999999996</v>
      </c>
      <c r="V250">
        <v>906.59999999999945</v>
      </c>
      <c r="W250">
        <v>2257.1999999999989</v>
      </c>
      <c r="X250">
        <v>2282.4249999999997</v>
      </c>
      <c r="Y250">
        <v>1515.6291467760875</v>
      </c>
    </row>
    <row r="251" spans="1:25" x14ac:dyDescent="0.35">
      <c r="A251">
        <v>207</v>
      </c>
      <c r="B251">
        <v>906.59999999999945</v>
      </c>
      <c r="C251">
        <v>958.39999999999964</v>
      </c>
      <c r="D251">
        <v>906.60000000000036</v>
      </c>
      <c r="E251">
        <v>-919.25</v>
      </c>
      <c r="F251">
        <v>-653.77499999999964</v>
      </c>
      <c r="G251">
        <v>-2188.3500000000004</v>
      </c>
      <c r="J251">
        <v>207</v>
      </c>
      <c r="K251">
        <v>0</v>
      </c>
      <c r="L251">
        <v>0</v>
      </c>
      <c r="M251">
        <v>0</v>
      </c>
      <c r="N251">
        <v>215</v>
      </c>
      <c r="O251">
        <v>173</v>
      </c>
      <c r="P251">
        <v>317</v>
      </c>
      <c r="S251">
        <v>207</v>
      </c>
      <c r="T251">
        <v>906.59999999999945</v>
      </c>
      <c r="U251">
        <v>984.30000000000018</v>
      </c>
      <c r="V251">
        <v>906.59999999999945</v>
      </c>
      <c r="W251">
        <v>1885.019429507402</v>
      </c>
      <c r="X251">
        <v>2271.9499999999989</v>
      </c>
      <c r="Y251">
        <v>2475.1999999999998</v>
      </c>
    </row>
    <row r="252" spans="1:25" x14ac:dyDescent="0.35">
      <c r="A252">
        <v>208</v>
      </c>
      <c r="B252">
        <v>906.59999999999945</v>
      </c>
      <c r="C252">
        <v>971.35000000000036</v>
      </c>
      <c r="D252">
        <v>906.59999999999945</v>
      </c>
      <c r="E252">
        <v>-932.20000000000073</v>
      </c>
      <c r="F252">
        <v>-524.27500000000055</v>
      </c>
      <c r="G252">
        <v>-2473.25</v>
      </c>
      <c r="J252">
        <v>208</v>
      </c>
      <c r="K252">
        <v>0</v>
      </c>
      <c r="L252">
        <v>0</v>
      </c>
      <c r="M252">
        <v>0</v>
      </c>
      <c r="N252">
        <v>222</v>
      </c>
      <c r="O252">
        <v>164</v>
      </c>
      <c r="P252">
        <v>307</v>
      </c>
      <c r="S252">
        <v>208</v>
      </c>
      <c r="T252">
        <v>906.59999999999945</v>
      </c>
      <c r="U252">
        <v>990.77499999999964</v>
      </c>
      <c r="V252">
        <v>906.60000000000036</v>
      </c>
      <c r="W252">
        <v>2261.1999999999994</v>
      </c>
      <c r="X252">
        <v>1576.7945610907489</v>
      </c>
      <c r="Y252">
        <v>2447.1999999999998</v>
      </c>
    </row>
    <row r="253" spans="1:25" x14ac:dyDescent="0.35">
      <c r="A253">
        <v>209</v>
      </c>
      <c r="B253">
        <v>906.59999999999945</v>
      </c>
      <c r="C253">
        <v>971.35000000000036</v>
      </c>
      <c r="D253">
        <v>906.59999999999945</v>
      </c>
      <c r="E253">
        <v>-919.25</v>
      </c>
      <c r="F253">
        <v>-342.97500000000036</v>
      </c>
      <c r="G253">
        <v>-2032.9500000000007</v>
      </c>
      <c r="J253">
        <v>209</v>
      </c>
      <c r="K253">
        <v>0</v>
      </c>
      <c r="L253">
        <v>0</v>
      </c>
      <c r="M253">
        <v>1</v>
      </c>
      <c r="N253">
        <v>224</v>
      </c>
      <c r="O253">
        <v>191</v>
      </c>
      <c r="P253">
        <v>321</v>
      </c>
      <c r="S253">
        <v>209</v>
      </c>
      <c r="T253">
        <v>906.59999999999945</v>
      </c>
      <c r="U253">
        <v>1003.7249999999995</v>
      </c>
      <c r="V253">
        <v>906.60000000000036</v>
      </c>
      <c r="W253">
        <v>-336.26821713273239</v>
      </c>
      <c r="X253">
        <v>2198.9999999999995</v>
      </c>
      <c r="Y253">
        <v>2471.1999999999998</v>
      </c>
    </row>
    <row r="254" spans="1:25" x14ac:dyDescent="0.35">
      <c r="A254">
        <v>210</v>
      </c>
      <c r="B254">
        <v>906.59999999999945</v>
      </c>
      <c r="C254">
        <v>951.92499999999927</v>
      </c>
      <c r="D254">
        <v>906.60000000000036</v>
      </c>
      <c r="E254">
        <v>-932.20000000000073</v>
      </c>
      <c r="F254">
        <v>-478.95000000000073</v>
      </c>
      <c r="G254">
        <v>-2343.75</v>
      </c>
      <c r="J254">
        <v>210</v>
      </c>
      <c r="K254">
        <v>0</v>
      </c>
      <c r="L254">
        <v>0</v>
      </c>
      <c r="M254">
        <v>0</v>
      </c>
      <c r="N254">
        <v>230</v>
      </c>
      <c r="O254">
        <v>164</v>
      </c>
      <c r="P254">
        <v>317</v>
      </c>
      <c r="S254">
        <v>210</v>
      </c>
      <c r="T254">
        <v>906.59999999999945</v>
      </c>
      <c r="U254">
        <v>945.44999999999891</v>
      </c>
      <c r="V254">
        <v>906.59999999999945</v>
      </c>
      <c r="W254">
        <v>2024.5940531480715</v>
      </c>
      <c r="X254">
        <v>1784.3610491217964</v>
      </c>
      <c r="Y254">
        <v>2014.8243691970392</v>
      </c>
    </row>
    <row r="255" spans="1:25" x14ac:dyDescent="0.35">
      <c r="A255">
        <v>211</v>
      </c>
      <c r="B255">
        <v>906.59999999999945</v>
      </c>
      <c r="C255">
        <v>958.39999999999964</v>
      </c>
      <c r="D255">
        <v>906.59999999999945</v>
      </c>
      <c r="E255">
        <v>-1113.5</v>
      </c>
      <c r="F255">
        <v>-608.45000000000073</v>
      </c>
      <c r="G255">
        <v>-2356.6999999999998</v>
      </c>
      <c r="J255">
        <v>211</v>
      </c>
      <c r="K255">
        <v>0</v>
      </c>
      <c r="L255">
        <v>0</v>
      </c>
      <c r="M255">
        <v>0</v>
      </c>
      <c r="N255">
        <v>224</v>
      </c>
      <c r="O255">
        <v>177</v>
      </c>
      <c r="P255">
        <v>320</v>
      </c>
      <c r="S255">
        <v>211</v>
      </c>
      <c r="T255">
        <v>906.59999999999945</v>
      </c>
      <c r="U255">
        <v>964.875</v>
      </c>
      <c r="V255">
        <v>906.59999999999945</v>
      </c>
      <c r="W255">
        <v>2235.1999999999998</v>
      </c>
      <c r="X255">
        <v>504.70766811188219</v>
      </c>
      <c r="Y255">
        <v>-2240.1500000000005</v>
      </c>
    </row>
    <row r="256" spans="1:25" x14ac:dyDescent="0.35">
      <c r="A256">
        <v>212</v>
      </c>
      <c r="B256">
        <v>906.59999999999945</v>
      </c>
      <c r="C256">
        <v>984.30000000000018</v>
      </c>
      <c r="D256">
        <v>906.59999999999945</v>
      </c>
      <c r="E256">
        <v>-660.25</v>
      </c>
      <c r="F256">
        <v>-530.75</v>
      </c>
      <c r="G256">
        <v>-2719.3</v>
      </c>
      <c r="J256">
        <v>212</v>
      </c>
      <c r="K256">
        <v>0</v>
      </c>
      <c r="L256">
        <v>0</v>
      </c>
      <c r="M256">
        <v>0</v>
      </c>
      <c r="N256">
        <v>228</v>
      </c>
      <c r="O256">
        <v>173</v>
      </c>
      <c r="P256">
        <v>333</v>
      </c>
      <c r="S256">
        <v>212</v>
      </c>
      <c r="T256">
        <v>906.59999999999945</v>
      </c>
      <c r="U256">
        <v>945.44999999999982</v>
      </c>
      <c r="V256">
        <v>906.60000000000036</v>
      </c>
      <c r="W256">
        <v>-919.25</v>
      </c>
      <c r="X256">
        <v>2336.2250000000004</v>
      </c>
      <c r="Y256">
        <v>2431.1999999999998</v>
      </c>
    </row>
    <row r="257" spans="1:25" x14ac:dyDescent="0.35">
      <c r="A257">
        <v>213</v>
      </c>
      <c r="B257">
        <v>906.59999999999945</v>
      </c>
      <c r="C257">
        <v>990.77499999999873</v>
      </c>
      <c r="D257">
        <v>906.60000000000036</v>
      </c>
      <c r="E257">
        <v>-737.95000000000073</v>
      </c>
      <c r="F257">
        <v>-576.07500000000073</v>
      </c>
      <c r="G257">
        <v>-2525.0500000000002</v>
      </c>
      <c r="J257">
        <v>213</v>
      </c>
      <c r="K257">
        <v>0</v>
      </c>
      <c r="L257">
        <v>0</v>
      </c>
      <c r="M257">
        <v>0</v>
      </c>
      <c r="N257">
        <v>232</v>
      </c>
      <c r="O257">
        <v>181</v>
      </c>
      <c r="P257">
        <v>319</v>
      </c>
      <c r="S257">
        <v>213</v>
      </c>
      <c r="T257">
        <v>906.59999999999945</v>
      </c>
      <c r="U257">
        <v>958.39999999999964</v>
      </c>
      <c r="V257">
        <v>906.59999999999945</v>
      </c>
      <c r="W257">
        <v>2307.1999999999989</v>
      </c>
      <c r="X257">
        <v>2231.4750000000004</v>
      </c>
      <c r="Y257">
        <v>2475.1999999999998</v>
      </c>
    </row>
    <row r="258" spans="1:25" x14ac:dyDescent="0.35">
      <c r="A258">
        <v>214</v>
      </c>
      <c r="B258">
        <v>906.59999999999945</v>
      </c>
      <c r="C258">
        <v>964.87499999999909</v>
      </c>
      <c r="D258">
        <v>906.59999999999945</v>
      </c>
      <c r="E258">
        <v>-815.65000000000055</v>
      </c>
      <c r="F258">
        <v>-349.45000000000073</v>
      </c>
      <c r="G258">
        <v>-2045.9000000000005</v>
      </c>
      <c r="J258">
        <v>214</v>
      </c>
      <c r="K258">
        <v>0</v>
      </c>
      <c r="L258">
        <v>0</v>
      </c>
      <c r="M258">
        <v>3</v>
      </c>
      <c r="N258">
        <v>239</v>
      </c>
      <c r="O258">
        <v>154</v>
      </c>
      <c r="P258">
        <v>313</v>
      </c>
      <c r="S258">
        <v>214</v>
      </c>
      <c r="T258">
        <v>906.59999999999945</v>
      </c>
      <c r="U258">
        <v>997.24999999999909</v>
      </c>
      <c r="V258">
        <v>906.59999999999945</v>
      </c>
      <c r="W258">
        <v>817.96111213935546</v>
      </c>
      <c r="X258">
        <v>2289.474999999999</v>
      </c>
      <c r="Y258">
        <v>2459.1999999999989</v>
      </c>
    </row>
    <row r="259" spans="1:25" x14ac:dyDescent="0.35">
      <c r="A259">
        <v>215</v>
      </c>
      <c r="B259">
        <v>906.59999999999945</v>
      </c>
      <c r="C259">
        <v>964.87499999999909</v>
      </c>
      <c r="D259">
        <v>906.59999999999945</v>
      </c>
      <c r="E259">
        <v>-1152.3500000000004</v>
      </c>
      <c r="F259">
        <v>-576.07500000000073</v>
      </c>
      <c r="G259">
        <v>-2317.8500000000004</v>
      </c>
      <c r="J259">
        <v>215</v>
      </c>
      <c r="K259">
        <v>0</v>
      </c>
      <c r="L259">
        <v>0</v>
      </c>
      <c r="M259">
        <v>0</v>
      </c>
      <c r="N259">
        <v>202</v>
      </c>
      <c r="O259">
        <v>167</v>
      </c>
      <c r="P259">
        <v>322</v>
      </c>
      <c r="S259">
        <v>215</v>
      </c>
      <c r="T259">
        <v>906.59999999999945</v>
      </c>
      <c r="U259">
        <v>971.34999999999945</v>
      </c>
      <c r="V259">
        <v>906.59999999999945</v>
      </c>
      <c r="W259">
        <v>2253.1999999999998</v>
      </c>
      <c r="X259">
        <v>2258.8999999999992</v>
      </c>
      <c r="Y259">
        <v>1733.8318351867501</v>
      </c>
    </row>
    <row r="260" spans="1:25" x14ac:dyDescent="0.35">
      <c r="A260">
        <v>216</v>
      </c>
      <c r="B260">
        <v>906.59999999999945</v>
      </c>
      <c r="C260">
        <v>958.39999999999964</v>
      </c>
      <c r="D260">
        <v>906.59999999999945</v>
      </c>
      <c r="E260">
        <v>-1139.4000000000005</v>
      </c>
      <c r="F260">
        <v>-278.22500000000036</v>
      </c>
      <c r="G260">
        <v>-2356.6999999999998</v>
      </c>
      <c r="J260">
        <v>216</v>
      </c>
      <c r="K260">
        <v>0</v>
      </c>
      <c r="L260">
        <v>0</v>
      </c>
      <c r="M260">
        <v>0</v>
      </c>
      <c r="N260">
        <v>201</v>
      </c>
      <c r="O260">
        <v>178</v>
      </c>
      <c r="P260">
        <v>353</v>
      </c>
      <c r="S260">
        <v>216</v>
      </c>
      <c r="T260">
        <v>906.59999999999945</v>
      </c>
      <c r="U260">
        <v>990.77499999999964</v>
      </c>
      <c r="V260">
        <v>906.60000000000036</v>
      </c>
      <c r="W260">
        <v>2203.1999999999998</v>
      </c>
      <c r="X260">
        <v>2248.9999999999991</v>
      </c>
      <c r="Y260">
        <v>2465.1999999999998</v>
      </c>
    </row>
    <row r="261" spans="1:25" x14ac:dyDescent="0.35">
      <c r="A261">
        <v>217</v>
      </c>
      <c r="B261">
        <v>906.59999999999945</v>
      </c>
      <c r="C261">
        <v>977.82499999999891</v>
      </c>
      <c r="D261">
        <v>919.55000000000018</v>
      </c>
      <c r="E261">
        <v>-984</v>
      </c>
      <c r="F261">
        <v>-336.5</v>
      </c>
      <c r="G261">
        <v>-2447.3500000000004</v>
      </c>
      <c r="J261">
        <v>217</v>
      </c>
      <c r="K261">
        <v>0</v>
      </c>
      <c r="L261">
        <v>0</v>
      </c>
      <c r="M261">
        <v>0</v>
      </c>
      <c r="N261">
        <v>211</v>
      </c>
      <c r="O261">
        <v>181</v>
      </c>
      <c r="P261">
        <v>295</v>
      </c>
      <c r="S261">
        <v>217</v>
      </c>
      <c r="T261">
        <v>906.59999999999945</v>
      </c>
      <c r="U261">
        <v>984.29999999999927</v>
      </c>
      <c r="V261">
        <v>910.5999999999998</v>
      </c>
      <c r="W261">
        <v>2259.1999999999994</v>
      </c>
      <c r="X261">
        <v>2241.4750000000004</v>
      </c>
      <c r="Y261">
        <v>2445.1999999999998</v>
      </c>
    </row>
    <row r="262" spans="1:25" x14ac:dyDescent="0.35">
      <c r="A262">
        <v>218</v>
      </c>
      <c r="B262">
        <v>906.59999999999945</v>
      </c>
      <c r="C262">
        <v>938.97499999999945</v>
      </c>
      <c r="D262">
        <v>906.60000000000036</v>
      </c>
      <c r="E262">
        <v>-1061.7000000000007</v>
      </c>
      <c r="F262">
        <v>-582.55000000000018</v>
      </c>
      <c r="G262">
        <v>-2525.0500000000002</v>
      </c>
      <c r="J262">
        <v>218</v>
      </c>
      <c r="K262">
        <v>0</v>
      </c>
      <c r="L262">
        <v>0</v>
      </c>
      <c r="M262">
        <v>0</v>
      </c>
      <c r="N262">
        <v>227</v>
      </c>
      <c r="O262">
        <v>166</v>
      </c>
      <c r="P262">
        <v>320</v>
      </c>
      <c r="S262">
        <v>218</v>
      </c>
      <c r="T262">
        <v>906.59999999999945</v>
      </c>
      <c r="U262">
        <v>977.82499999999982</v>
      </c>
      <c r="V262">
        <v>906.60000000000036</v>
      </c>
      <c r="W262">
        <v>-142.69351059848339</v>
      </c>
      <c r="X262">
        <v>2324.3249999999989</v>
      </c>
      <c r="Y262">
        <v>-393.15413415359399</v>
      </c>
    </row>
    <row r="263" spans="1:25" x14ac:dyDescent="0.35">
      <c r="A263">
        <v>219</v>
      </c>
      <c r="B263">
        <v>906.59999999999945</v>
      </c>
      <c r="C263">
        <v>971.34999999999945</v>
      </c>
      <c r="D263">
        <v>906.60000000000036</v>
      </c>
      <c r="E263">
        <v>-971.05000000000018</v>
      </c>
      <c r="F263">
        <v>-284.70000000000073</v>
      </c>
      <c r="G263">
        <v>-2291.9499999999998</v>
      </c>
      <c r="J263">
        <v>219</v>
      </c>
      <c r="K263">
        <v>0</v>
      </c>
      <c r="L263">
        <v>0</v>
      </c>
      <c r="M263">
        <v>0</v>
      </c>
      <c r="N263">
        <v>208</v>
      </c>
      <c r="O263">
        <v>164</v>
      </c>
      <c r="P263">
        <v>327</v>
      </c>
      <c r="S263">
        <v>219</v>
      </c>
      <c r="T263">
        <v>906.59999999999945</v>
      </c>
      <c r="U263">
        <v>977.82499999999982</v>
      </c>
      <c r="V263">
        <v>906.59999999999945</v>
      </c>
      <c r="W263">
        <v>2265.1999999999998</v>
      </c>
      <c r="X263">
        <v>1006.099895376406</v>
      </c>
      <c r="Y263">
        <v>-1967.350778237967</v>
      </c>
    </row>
    <row r="264" spans="1:25" x14ac:dyDescent="0.35">
      <c r="A264">
        <v>220</v>
      </c>
      <c r="B264">
        <v>906.59999999999945</v>
      </c>
      <c r="C264">
        <v>932.5</v>
      </c>
      <c r="D264">
        <v>906.59999999999945</v>
      </c>
      <c r="E264">
        <v>-1074.6500000000005</v>
      </c>
      <c r="F264">
        <v>-252.32500000000073</v>
      </c>
      <c r="G264">
        <v>-2227.2000000000007</v>
      </c>
      <c r="J264">
        <v>220</v>
      </c>
      <c r="K264">
        <v>0</v>
      </c>
      <c r="L264">
        <v>0</v>
      </c>
      <c r="M264">
        <v>0</v>
      </c>
      <c r="N264">
        <v>225</v>
      </c>
      <c r="O264">
        <v>181</v>
      </c>
      <c r="P264">
        <v>327</v>
      </c>
      <c r="S264">
        <v>220</v>
      </c>
      <c r="T264">
        <v>906.59999999999945</v>
      </c>
      <c r="U264">
        <v>990.77499999999964</v>
      </c>
      <c r="V264">
        <v>906.59999999999945</v>
      </c>
      <c r="W264">
        <v>1388.5999521546519</v>
      </c>
      <c r="X264">
        <v>2194.5249999999992</v>
      </c>
      <c r="Y264">
        <v>1930.7040068063411</v>
      </c>
    </row>
    <row r="265" spans="1:25" x14ac:dyDescent="0.35">
      <c r="A265">
        <v>221</v>
      </c>
      <c r="B265">
        <v>906.59999999999945</v>
      </c>
      <c r="C265">
        <v>964.875</v>
      </c>
      <c r="D265">
        <v>906.59999999999945</v>
      </c>
      <c r="E265">
        <v>-1255.9500000000007</v>
      </c>
      <c r="F265">
        <v>-304.125</v>
      </c>
      <c r="G265">
        <v>-2201.3000000000002</v>
      </c>
      <c r="J265">
        <v>221</v>
      </c>
      <c r="K265">
        <v>0</v>
      </c>
      <c r="L265">
        <v>0</v>
      </c>
      <c r="M265">
        <v>0</v>
      </c>
      <c r="N265">
        <v>218</v>
      </c>
      <c r="O265">
        <v>164</v>
      </c>
      <c r="P265">
        <v>324</v>
      </c>
      <c r="S265">
        <v>221</v>
      </c>
      <c r="T265">
        <v>906.59999999999945</v>
      </c>
      <c r="U265">
        <v>977.82499999999982</v>
      </c>
      <c r="V265">
        <v>906.59999999999945</v>
      </c>
      <c r="W265">
        <v>2287.1999999999989</v>
      </c>
      <c r="X265">
        <v>1421.9387942177373</v>
      </c>
      <c r="Y265">
        <v>2433.1999999999998</v>
      </c>
    </row>
    <row r="266" spans="1:25" x14ac:dyDescent="0.35">
      <c r="A266">
        <v>222</v>
      </c>
      <c r="B266">
        <v>906.59999999999945</v>
      </c>
      <c r="C266">
        <v>997.25</v>
      </c>
      <c r="D266">
        <v>906.60000000000036</v>
      </c>
      <c r="E266">
        <v>-1463.1500000000005</v>
      </c>
      <c r="F266">
        <v>-433.625</v>
      </c>
      <c r="G266">
        <v>-2369.6500000000005</v>
      </c>
      <c r="J266">
        <v>222</v>
      </c>
      <c r="K266">
        <v>0</v>
      </c>
      <c r="L266">
        <v>0</v>
      </c>
      <c r="M266">
        <v>0</v>
      </c>
      <c r="N266">
        <v>202</v>
      </c>
      <c r="O266">
        <v>185</v>
      </c>
      <c r="P266">
        <v>326</v>
      </c>
      <c r="S266">
        <v>222</v>
      </c>
      <c r="T266">
        <v>906.59999999999945</v>
      </c>
      <c r="U266">
        <v>951.92500000000018</v>
      </c>
      <c r="V266">
        <v>906.60000000000036</v>
      </c>
      <c r="W266">
        <v>2229.1999999999994</v>
      </c>
      <c r="X266">
        <v>2253.9499999999994</v>
      </c>
      <c r="Y266">
        <v>2415.1999999999998</v>
      </c>
    </row>
    <row r="267" spans="1:25" x14ac:dyDescent="0.35">
      <c r="A267">
        <v>223</v>
      </c>
      <c r="B267">
        <v>906.59999999999945</v>
      </c>
      <c r="C267">
        <v>977.82499999999891</v>
      </c>
      <c r="D267">
        <v>906.59999999999945</v>
      </c>
      <c r="E267">
        <v>-1100.5500000000002</v>
      </c>
      <c r="F267">
        <v>-414.20000000000073</v>
      </c>
      <c r="G267">
        <v>-2291.9499999999998</v>
      </c>
      <c r="J267">
        <v>223</v>
      </c>
      <c r="K267">
        <v>0</v>
      </c>
      <c r="L267">
        <v>0</v>
      </c>
      <c r="M267">
        <v>0</v>
      </c>
      <c r="N267">
        <v>213</v>
      </c>
      <c r="O267">
        <v>189</v>
      </c>
      <c r="P267">
        <v>325</v>
      </c>
      <c r="S267">
        <v>223</v>
      </c>
      <c r="T267">
        <v>906.59999999999945</v>
      </c>
      <c r="U267">
        <v>951.92499999999927</v>
      </c>
      <c r="V267">
        <v>906.60000000000036</v>
      </c>
      <c r="W267">
        <v>2301.1999999999994</v>
      </c>
      <c r="X267">
        <v>2212.5250000000001</v>
      </c>
      <c r="Y267">
        <v>2421.1999999999998</v>
      </c>
    </row>
    <row r="268" spans="1:25" x14ac:dyDescent="0.35">
      <c r="A268">
        <v>224</v>
      </c>
      <c r="B268">
        <v>906.59999999999945</v>
      </c>
      <c r="C268">
        <v>984.30000000000018</v>
      </c>
      <c r="D268">
        <v>906.60000000000036</v>
      </c>
      <c r="E268">
        <v>-932.20000000000073</v>
      </c>
      <c r="F268">
        <v>-498.375</v>
      </c>
      <c r="G268">
        <v>-2382.6000000000004</v>
      </c>
      <c r="J268">
        <v>224</v>
      </c>
      <c r="K268">
        <v>0</v>
      </c>
      <c r="L268">
        <v>0</v>
      </c>
      <c r="M268">
        <v>0</v>
      </c>
      <c r="N268">
        <v>203</v>
      </c>
      <c r="O268">
        <v>147</v>
      </c>
      <c r="P268">
        <v>341</v>
      </c>
      <c r="S268">
        <v>224</v>
      </c>
      <c r="T268">
        <v>906.59999999999945</v>
      </c>
      <c r="U268">
        <v>971.34999999999945</v>
      </c>
      <c r="V268">
        <v>906.59999999999945</v>
      </c>
      <c r="W268">
        <v>2255.1999999999998</v>
      </c>
      <c r="X268">
        <v>385.13833372129932</v>
      </c>
      <c r="Y268">
        <v>2453.1999999999998</v>
      </c>
    </row>
    <row r="269" spans="1:25" x14ac:dyDescent="0.35">
      <c r="A269">
        <v>225</v>
      </c>
      <c r="B269">
        <v>906.59999999999945</v>
      </c>
      <c r="C269">
        <v>971.34999999999945</v>
      </c>
      <c r="D269">
        <v>906.60000000000036</v>
      </c>
      <c r="E269">
        <v>-1061.7000000000007</v>
      </c>
      <c r="F269">
        <v>-368.875</v>
      </c>
      <c r="G269">
        <v>-2123.6000000000004</v>
      </c>
      <c r="J269">
        <v>225</v>
      </c>
      <c r="K269">
        <v>0</v>
      </c>
      <c r="L269">
        <v>0</v>
      </c>
      <c r="M269">
        <v>0</v>
      </c>
      <c r="N269">
        <v>217</v>
      </c>
      <c r="O269">
        <v>191</v>
      </c>
      <c r="P269">
        <v>332</v>
      </c>
      <c r="S269">
        <v>225</v>
      </c>
      <c r="T269">
        <v>906.59999999999945</v>
      </c>
      <c r="U269">
        <v>938.97499999999945</v>
      </c>
      <c r="V269">
        <v>906.59999999999945</v>
      </c>
      <c r="W269">
        <v>2245.1999999999998</v>
      </c>
      <c r="X269">
        <v>2271.7499999999991</v>
      </c>
      <c r="Y269">
        <v>2461.1999999999998</v>
      </c>
    </row>
    <row r="270" spans="1:25" x14ac:dyDescent="0.35">
      <c r="A270">
        <v>226</v>
      </c>
      <c r="B270">
        <v>906.59999999999945</v>
      </c>
      <c r="C270">
        <v>964.87499999999909</v>
      </c>
      <c r="D270">
        <v>906.59999999999945</v>
      </c>
      <c r="E270">
        <v>-1165.3000000000002</v>
      </c>
      <c r="F270">
        <v>-394.77500000000055</v>
      </c>
      <c r="G270">
        <v>-2253.1000000000004</v>
      </c>
      <c r="J270">
        <v>226</v>
      </c>
      <c r="K270">
        <v>0</v>
      </c>
      <c r="L270">
        <v>0</v>
      </c>
      <c r="M270">
        <v>0</v>
      </c>
      <c r="N270">
        <v>218</v>
      </c>
      <c r="O270">
        <v>185</v>
      </c>
      <c r="P270">
        <v>319</v>
      </c>
      <c r="S270">
        <v>226</v>
      </c>
      <c r="T270">
        <v>906.59999999999945</v>
      </c>
      <c r="U270">
        <v>964.87499999999909</v>
      </c>
      <c r="V270">
        <v>906.59999999999945</v>
      </c>
      <c r="W270">
        <v>2265.1999999999998</v>
      </c>
      <c r="X270">
        <v>1558.8924125667302</v>
      </c>
      <c r="Y270">
        <v>2181.2822977959895</v>
      </c>
    </row>
    <row r="271" spans="1:25" x14ac:dyDescent="0.35">
      <c r="A271">
        <v>227</v>
      </c>
      <c r="B271">
        <v>906.59999999999945</v>
      </c>
      <c r="C271">
        <v>971.34999999999945</v>
      </c>
      <c r="D271">
        <v>906.59999999999945</v>
      </c>
      <c r="E271">
        <v>-1165.3000000000002</v>
      </c>
      <c r="F271">
        <v>-621.40000000000055</v>
      </c>
      <c r="G271">
        <v>-2382.6000000000004</v>
      </c>
      <c r="J271">
        <v>227</v>
      </c>
      <c r="K271">
        <v>0</v>
      </c>
      <c r="L271">
        <v>0</v>
      </c>
      <c r="M271">
        <v>0</v>
      </c>
      <c r="N271">
        <v>209</v>
      </c>
      <c r="O271">
        <v>187</v>
      </c>
      <c r="P271">
        <v>333</v>
      </c>
      <c r="S271">
        <v>227</v>
      </c>
      <c r="T271">
        <v>906.59999999999945</v>
      </c>
      <c r="U271">
        <v>1023.1499999999996</v>
      </c>
      <c r="V271">
        <v>906.60000000000036</v>
      </c>
      <c r="W271">
        <v>2285.1999999999998</v>
      </c>
      <c r="X271">
        <v>2256.8999999999992</v>
      </c>
      <c r="Y271">
        <v>-540.88045047089463</v>
      </c>
    </row>
    <row r="272" spans="1:25" x14ac:dyDescent="0.35">
      <c r="A272">
        <v>228</v>
      </c>
      <c r="B272">
        <v>906.59999999999945</v>
      </c>
      <c r="C272">
        <v>977.82499999999982</v>
      </c>
      <c r="D272">
        <v>906.59999999999945</v>
      </c>
      <c r="E272">
        <v>-1230.0500000000002</v>
      </c>
      <c r="F272">
        <v>-530.75</v>
      </c>
      <c r="G272">
        <v>-2395.5500000000002</v>
      </c>
      <c r="J272">
        <v>228</v>
      </c>
      <c r="K272">
        <v>0</v>
      </c>
      <c r="L272">
        <v>0</v>
      </c>
      <c r="M272">
        <v>0</v>
      </c>
      <c r="N272">
        <v>227</v>
      </c>
      <c r="O272">
        <v>186</v>
      </c>
      <c r="P272">
        <v>322</v>
      </c>
      <c r="S272">
        <v>228</v>
      </c>
      <c r="T272">
        <v>906.59999999999945</v>
      </c>
      <c r="U272">
        <v>990.77499999999964</v>
      </c>
      <c r="V272">
        <v>906.60000000000036</v>
      </c>
      <c r="W272">
        <v>2247.1999999999989</v>
      </c>
      <c r="X272">
        <v>-344.38493832169252</v>
      </c>
      <c r="Y272">
        <v>2435.1999999999998</v>
      </c>
    </row>
    <row r="273" spans="1:25" x14ac:dyDescent="0.35">
      <c r="A273">
        <v>229</v>
      </c>
      <c r="B273">
        <v>906.59999999999945</v>
      </c>
      <c r="C273">
        <v>984.29999999999927</v>
      </c>
      <c r="D273">
        <v>906.60000000000036</v>
      </c>
      <c r="E273">
        <v>-996.95000000000073</v>
      </c>
      <c r="F273">
        <v>-627.875</v>
      </c>
      <c r="G273">
        <v>-2343.75</v>
      </c>
      <c r="J273">
        <v>229</v>
      </c>
      <c r="K273">
        <v>0</v>
      </c>
      <c r="L273">
        <v>0</v>
      </c>
      <c r="M273">
        <v>0</v>
      </c>
      <c r="N273">
        <v>233</v>
      </c>
      <c r="O273">
        <v>169</v>
      </c>
      <c r="P273">
        <v>325</v>
      </c>
      <c r="S273">
        <v>229</v>
      </c>
      <c r="T273">
        <v>906.59999999999945</v>
      </c>
      <c r="U273">
        <v>990.77499999999964</v>
      </c>
      <c r="V273">
        <v>906.59999999999945</v>
      </c>
      <c r="W273">
        <v>2287.1999999999989</v>
      </c>
      <c r="X273">
        <v>2266.8999999999992</v>
      </c>
      <c r="Y273">
        <v>733.80075139517521</v>
      </c>
    </row>
    <row r="274" spans="1:25" x14ac:dyDescent="0.35">
      <c r="A274">
        <v>230</v>
      </c>
      <c r="B274">
        <v>906.59999999999945</v>
      </c>
      <c r="C274">
        <v>977.82499999999982</v>
      </c>
      <c r="D274">
        <v>906.59999999999945</v>
      </c>
      <c r="E274">
        <v>-1152.3500000000004</v>
      </c>
      <c r="F274">
        <v>-673.20000000000073</v>
      </c>
      <c r="G274">
        <v>-2499.1500000000005</v>
      </c>
      <c r="J274">
        <v>230</v>
      </c>
      <c r="K274">
        <v>0</v>
      </c>
      <c r="L274">
        <v>0</v>
      </c>
      <c r="M274">
        <v>0</v>
      </c>
      <c r="N274">
        <v>198</v>
      </c>
      <c r="O274">
        <v>189</v>
      </c>
      <c r="P274">
        <v>345</v>
      </c>
      <c r="S274">
        <v>230</v>
      </c>
      <c r="T274">
        <v>906.59999999999945</v>
      </c>
      <c r="U274">
        <v>1003.7249999999995</v>
      </c>
      <c r="V274">
        <v>906.60000000000036</v>
      </c>
      <c r="W274">
        <v>180.19561917336273</v>
      </c>
      <c r="X274">
        <v>2274.8999999999996</v>
      </c>
      <c r="Y274">
        <v>2421.1999999999998</v>
      </c>
    </row>
    <row r="275" spans="1:25" x14ac:dyDescent="0.35">
      <c r="A275">
        <v>231</v>
      </c>
      <c r="B275">
        <v>906.59999999999945</v>
      </c>
      <c r="C275">
        <v>990.77499999999964</v>
      </c>
      <c r="D275">
        <v>906.59999999999945</v>
      </c>
      <c r="E275">
        <v>-1191.2000000000007</v>
      </c>
      <c r="F275">
        <v>-368.875</v>
      </c>
      <c r="G275">
        <v>-2253.1000000000004</v>
      </c>
      <c r="J275">
        <v>231</v>
      </c>
      <c r="K275">
        <v>0</v>
      </c>
      <c r="L275">
        <v>0</v>
      </c>
      <c r="M275">
        <v>0</v>
      </c>
      <c r="N275">
        <v>223</v>
      </c>
      <c r="O275">
        <v>155</v>
      </c>
      <c r="P275">
        <v>325</v>
      </c>
      <c r="S275">
        <v>231</v>
      </c>
      <c r="T275">
        <v>906.59999999999945</v>
      </c>
      <c r="U275">
        <v>971.34999999999854</v>
      </c>
      <c r="V275">
        <v>906.59999999999945</v>
      </c>
      <c r="W275">
        <v>2225.1999999999998</v>
      </c>
      <c r="X275">
        <v>2246.4250000000002</v>
      </c>
      <c r="Y275">
        <v>2415.1999999999998</v>
      </c>
    </row>
    <row r="276" spans="1:25" x14ac:dyDescent="0.35">
      <c r="A276">
        <v>232</v>
      </c>
      <c r="B276">
        <v>906.59999999999945</v>
      </c>
      <c r="C276">
        <v>964.875</v>
      </c>
      <c r="D276">
        <v>906.59999999999945</v>
      </c>
      <c r="E276">
        <v>-1255.9500000000007</v>
      </c>
      <c r="F276">
        <v>-621.40000000000055</v>
      </c>
      <c r="G276">
        <v>-2188.3500000000004</v>
      </c>
      <c r="J276">
        <v>232</v>
      </c>
      <c r="K276">
        <v>0</v>
      </c>
      <c r="L276">
        <v>0</v>
      </c>
      <c r="M276">
        <v>0</v>
      </c>
      <c r="N276">
        <v>211</v>
      </c>
      <c r="O276">
        <v>183</v>
      </c>
      <c r="P276">
        <v>327</v>
      </c>
      <c r="S276">
        <v>232</v>
      </c>
      <c r="T276">
        <v>906.59999999999945</v>
      </c>
      <c r="U276">
        <v>958.39999999999964</v>
      </c>
      <c r="V276">
        <v>906.59999999999945</v>
      </c>
      <c r="W276">
        <v>2253.1999999999998</v>
      </c>
      <c r="X276">
        <v>2251.9499999999994</v>
      </c>
      <c r="Y276">
        <v>2497.1999999999998</v>
      </c>
    </row>
    <row r="277" spans="1:25" x14ac:dyDescent="0.35">
      <c r="A277">
        <v>233</v>
      </c>
      <c r="B277">
        <v>906.59999999999945</v>
      </c>
      <c r="C277">
        <v>945.44999999999891</v>
      </c>
      <c r="D277">
        <v>906.59999999999945</v>
      </c>
      <c r="E277">
        <v>-1100.5500000000002</v>
      </c>
      <c r="F277">
        <v>-116.35000000000036</v>
      </c>
      <c r="G277">
        <v>-2822.9000000000005</v>
      </c>
      <c r="J277">
        <v>233</v>
      </c>
      <c r="K277">
        <v>0</v>
      </c>
      <c r="L277">
        <v>0</v>
      </c>
      <c r="M277">
        <v>0</v>
      </c>
      <c r="N277">
        <v>224</v>
      </c>
      <c r="O277">
        <v>183</v>
      </c>
      <c r="P277">
        <v>327</v>
      </c>
      <c r="S277">
        <v>233</v>
      </c>
      <c r="T277">
        <v>906.59999999999945</v>
      </c>
      <c r="U277">
        <v>971.35000000000036</v>
      </c>
      <c r="V277">
        <v>906.59999999999945</v>
      </c>
      <c r="W277">
        <v>2240.9015496778056</v>
      </c>
      <c r="X277">
        <v>2216.5249999999992</v>
      </c>
      <c r="Y277">
        <v>1302.1048815331283</v>
      </c>
    </row>
    <row r="278" spans="1:25" x14ac:dyDescent="0.35">
      <c r="A278">
        <v>234</v>
      </c>
      <c r="B278">
        <v>906.59999999999945</v>
      </c>
      <c r="C278">
        <v>964.87499999999909</v>
      </c>
      <c r="D278">
        <v>906.59999999999945</v>
      </c>
      <c r="E278">
        <v>-1126.4500000000007</v>
      </c>
      <c r="F278">
        <v>-504.85000000000036</v>
      </c>
      <c r="G278">
        <v>-1955.25</v>
      </c>
      <c r="J278">
        <v>234</v>
      </c>
      <c r="K278">
        <v>0</v>
      </c>
      <c r="L278">
        <v>0</v>
      </c>
      <c r="M278">
        <v>0</v>
      </c>
      <c r="N278">
        <v>229</v>
      </c>
      <c r="O278">
        <v>183</v>
      </c>
      <c r="P278">
        <v>362</v>
      </c>
      <c r="S278">
        <v>234</v>
      </c>
      <c r="T278">
        <v>906.59999999999945</v>
      </c>
      <c r="U278">
        <v>951.92499999999927</v>
      </c>
      <c r="V278">
        <v>906.59999999999945</v>
      </c>
      <c r="W278">
        <v>2257.1999999999989</v>
      </c>
      <c r="X278">
        <v>2262.4249999999997</v>
      </c>
      <c r="Y278">
        <v>2441.1999999999998</v>
      </c>
    </row>
    <row r="279" spans="1:25" x14ac:dyDescent="0.35">
      <c r="A279">
        <v>235</v>
      </c>
      <c r="B279">
        <v>906.59999999999945</v>
      </c>
      <c r="C279">
        <v>932.5</v>
      </c>
      <c r="D279">
        <v>906.59999999999945</v>
      </c>
      <c r="E279">
        <v>-1074.6500000000005</v>
      </c>
      <c r="F279">
        <v>-485.42500000000018</v>
      </c>
      <c r="G279">
        <v>-2395.5500000000002</v>
      </c>
      <c r="J279">
        <v>235</v>
      </c>
      <c r="K279">
        <v>0</v>
      </c>
      <c r="L279">
        <v>0</v>
      </c>
      <c r="M279">
        <v>0</v>
      </c>
      <c r="N279">
        <v>213</v>
      </c>
      <c r="O279">
        <v>169</v>
      </c>
      <c r="P279">
        <v>312</v>
      </c>
      <c r="S279">
        <v>235</v>
      </c>
      <c r="T279">
        <v>906.59999999999945</v>
      </c>
      <c r="U279">
        <v>990.77499999999873</v>
      </c>
      <c r="V279">
        <v>906.60000000000036</v>
      </c>
      <c r="W279">
        <v>2227.1999999999989</v>
      </c>
      <c r="X279">
        <v>2277.849999999999</v>
      </c>
      <c r="Y279">
        <v>-462.61149227534338</v>
      </c>
    </row>
    <row r="280" spans="1:25" x14ac:dyDescent="0.35">
      <c r="A280">
        <v>236</v>
      </c>
      <c r="B280">
        <v>906.59999999999945</v>
      </c>
      <c r="C280">
        <v>926.02499999999964</v>
      </c>
      <c r="D280">
        <v>906.59999999999945</v>
      </c>
      <c r="E280">
        <v>-737.95000000000073</v>
      </c>
      <c r="F280">
        <v>-381.82500000000073</v>
      </c>
      <c r="G280">
        <v>-2304.9000000000005</v>
      </c>
      <c r="J280">
        <v>236</v>
      </c>
      <c r="K280">
        <v>0</v>
      </c>
      <c r="L280">
        <v>0</v>
      </c>
      <c r="M280">
        <v>0</v>
      </c>
      <c r="N280">
        <v>256</v>
      </c>
      <c r="O280">
        <v>195</v>
      </c>
      <c r="P280">
        <v>316</v>
      </c>
      <c r="S280">
        <v>236</v>
      </c>
      <c r="T280">
        <v>906.59999999999945</v>
      </c>
      <c r="U280">
        <v>977.82499999999891</v>
      </c>
      <c r="V280">
        <v>906.59999999999945</v>
      </c>
      <c r="W280">
        <v>2219.1999999999994</v>
      </c>
      <c r="X280">
        <v>2230.9999999999995</v>
      </c>
      <c r="Y280">
        <v>2471.1999999999998</v>
      </c>
    </row>
    <row r="281" spans="1:25" x14ac:dyDescent="0.35">
      <c r="A281">
        <v>237</v>
      </c>
      <c r="B281">
        <v>906.59999999999945</v>
      </c>
      <c r="C281">
        <v>977.82499999999982</v>
      </c>
      <c r="D281">
        <v>595.80000000000018</v>
      </c>
      <c r="E281">
        <v>-1230.0500000000002</v>
      </c>
      <c r="F281">
        <v>-355.92500000000109</v>
      </c>
      <c r="G281">
        <v>-2279</v>
      </c>
      <c r="J281">
        <v>237</v>
      </c>
      <c r="K281">
        <v>0</v>
      </c>
      <c r="L281">
        <v>0</v>
      </c>
      <c r="M281">
        <v>0</v>
      </c>
      <c r="N281">
        <v>223</v>
      </c>
      <c r="O281">
        <v>176</v>
      </c>
      <c r="P281">
        <v>331</v>
      </c>
      <c r="S281">
        <v>237</v>
      </c>
      <c r="T281">
        <v>906.59999999999945</v>
      </c>
      <c r="U281">
        <v>990.77499999999873</v>
      </c>
      <c r="V281">
        <v>906.60000000000036</v>
      </c>
      <c r="W281">
        <v>2231.1999999999994</v>
      </c>
      <c r="X281">
        <v>2192.8999999999996</v>
      </c>
      <c r="Y281">
        <v>1556.9788607948826</v>
      </c>
    </row>
    <row r="282" spans="1:25" x14ac:dyDescent="0.35">
      <c r="A282">
        <v>238</v>
      </c>
      <c r="B282">
        <v>906.59999999999945</v>
      </c>
      <c r="C282">
        <v>971.34999999999945</v>
      </c>
      <c r="D282">
        <v>906.59999999999945</v>
      </c>
      <c r="E282">
        <v>-1255.9500000000007</v>
      </c>
      <c r="F282">
        <v>-485.42500000000018</v>
      </c>
      <c r="G282">
        <v>-2266.0500000000002</v>
      </c>
      <c r="J282">
        <v>238</v>
      </c>
      <c r="K282">
        <v>0</v>
      </c>
      <c r="L282">
        <v>0</v>
      </c>
      <c r="M282">
        <v>0</v>
      </c>
      <c r="N282">
        <v>221</v>
      </c>
      <c r="O282">
        <v>189</v>
      </c>
      <c r="P282">
        <v>309</v>
      </c>
      <c r="S282">
        <v>238</v>
      </c>
      <c r="T282">
        <v>906.59999999999945</v>
      </c>
      <c r="U282">
        <v>932.5</v>
      </c>
      <c r="V282">
        <v>906.60000000000036</v>
      </c>
      <c r="W282">
        <v>2243.1999999999998</v>
      </c>
      <c r="X282">
        <v>2305.8499999999995</v>
      </c>
      <c r="Y282">
        <v>1816.4684994353438</v>
      </c>
    </row>
    <row r="283" spans="1:25" x14ac:dyDescent="0.35">
      <c r="A283">
        <v>239</v>
      </c>
      <c r="B283">
        <v>906.59999999999945</v>
      </c>
      <c r="C283">
        <v>971.34999999999945</v>
      </c>
      <c r="D283">
        <v>906.59999999999945</v>
      </c>
      <c r="E283">
        <v>-1476.1000000000004</v>
      </c>
      <c r="F283">
        <v>-614.92500000000109</v>
      </c>
      <c r="G283">
        <v>-2395.5500000000002</v>
      </c>
      <c r="J283">
        <v>239</v>
      </c>
      <c r="K283">
        <v>0</v>
      </c>
      <c r="L283">
        <v>0</v>
      </c>
      <c r="M283">
        <v>0</v>
      </c>
      <c r="N283">
        <v>215</v>
      </c>
      <c r="O283">
        <v>176</v>
      </c>
      <c r="P283">
        <v>322</v>
      </c>
      <c r="S283">
        <v>239</v>
      </c>
      <c r="T283">
        <v>906.59999999999945</v>
      </c>
      <c r="U283">
        <v>984.29999999999927</v>
      </c>
      <c r="V283">
        <v>906.60000000000036</v>
      </c>
      <c r="W283">
        <v>2251.1999999999994</v>
      </c>
      <c r="X283">
        <v>2262.5249999999996</v>
      </c>
      <c r="Y283">
        <v>2441.1999999999998</v>
      </c>
    </row>
    <row r="284" spans="1:25" x14ac:dyDescent="0.35">
      <c r="A284">
        <v>240</v>
      </c>
      <c r="B284">
        <v>906.59999999999945</v>
      </c>
      <c r="C284">
        <v>971.35000000000036</v>
      </c>
      <c r="D284">
        <v>906.59999999999945</v>
      </c>
      <c r="E284">
        <v>-1385.4500000000007</v>
      </c>
      <c r="F284">
        <v>-582.55000000000018</v>
      </c>
      <c r="G284">
        <v>-2045.9000000000005</v>
      </c>
      <c r="J284">
        <v>240</v>
      </c>
      <c r="K284">
        <v>0</v>
      </c>
      <c r="L284">
        <v>0</v>
      </c>
      <c r="M284">
        <v>0</v>
      </c>
      <c r="N284">
        <v>216</v>
      </c>
      <c r="O284">
        <v>171</v>
      </c>
      <c r="P284">
        <v>327</v>
      </c>
      <c r="S284">
        <v>240</v>
      </c>
      <c r="T284">
        <v>906.59999999999945</v>
      </c>
      <c r="U284">
        <v>964.875</v>
      </c>
      <c r="V284">
        <v>906.59999999999945</v>
      </c>
      <c r="W284">
        <v>2279.1999999999994</v>
      </c>
      <c r="X284">
        <v>2271.4750000000004</v>
      </c>
      <c r="Y284">
        <v>-927.85340699357948</v>
      </c>
    </row>
    <row r="285" spans="1:25" x14ac:dyDescent="0.35">
      <c r="A285">
        <v>241</v>
      </c>
      <c r="B285">
        <v>906.59999999999945</v>
      </c>
      <c r="C285">
        <v>977.82499999999982</v>
      </c>
      <c r="D285">
        <v>906.59999999999945</v>
      </c>
      <c r="E285">
        <v>-958.10000000000036</v>
      </c>
      <c r="F285">
        <v>-342.97500000000036</v>
      </c>
      <c r="G285">
        <v>-2719.3</v>
      </c>
      <c r="J285">
        <v>241</v>
      </c>
      <c r="K285">
        <v>0</v>
      </c>
      <c r="L285">
        <v>0</v>
      </c>
      <c r="M285">
        <v>0</v>
      </c>
      <c r="N285">
        <v>238</v>
      </c>
      <c r="O285">
        <v>194</v>
      </c>
      <c r="P285">
        <v>346</v>
      </c>
      <c r="S285">
        <v>241</v>
      </c>
      <c r="T285">
        <v>906.59999999999945</v>
      </c>
      <c r="U285">
        <v>997.25</v>
      </c>
      <c r="V285">
        <v>906.59999999999945</v>
      </c>
      <c r="W285">
        <v>2207.1999999999989</v>
      </c>
      <c r="X285">
        <v>2286.8999999999992</v>
      </c>
      <c r="Y285">
        <v>1657.3042721853326</v>
      </c>
    </row>
    <row r="286" spans="1:25" x14ac:dyDescent="0.35">
      <c r="A286">
        <v>242</v>
      </c>
      <c r="B286">
        <v>906.59999999999945</v>
      </c>
      <c r="C286">
        <v>938.97500000000036</v>
      </c>
      <c r="D286">
        <v>906.60000000000036</v>
      </c>
      <c r="E286">
        <v>-1281.8500000000004</v>
      </c>
      <c r="F286">
        <v>-563.125</v>
      </c>
      <c r="G286">
        <v>-2097.7000000000007</v>
      </c>
      <c r="J286">
        <v>242</v>
      </c>
      <c r="K286">
        <v>0</v>
      </c>
      <c r="L286">
        <v>0</v>
      </c>
      <c r="M286">
        <v>0</v>
      </c>
      <c r="N286">
        <v>231</v>
      </c>
      <c r="O286">
        <v>197</v>
      </c>
      <c r="P286">
        <v>322</v>
      </c>
      <c r="S286">
        <v>242</v>
      </c>
      <c r="T286">
        <v>906.59999999999945</v>
      </c>
      <c r="U286">
        <v>971.34999999999854</v>
      </c>
      <c r="V286">
        <v>906.59999999999945</v>
      </c>
      <c r="W286">
        <v>2309.1999999999994</v>
      </c>
      <c r="X286">
        <v>2206.0499999999997</v>
      </c>
      <c r="Y286">
        <v>2461.1999999999998</v>
      </c>
    </row>
    <row r="287" spans="1:25" x14ac:dyDescent="0.35">
      <c r="A287">
        <v>243</v>
      </c>
      <c r="B287">
        <v>906.59999999999945</v>
      </c>
      <c r="C287">
        <v>990.77499999999964</v>
      </c>
      <c r="D287">
        <v>906.60000000000036</v>
      </c>
      <c r="E287">
        <v>-1178.25</v>
      </c>
      <c r="F287">
        <v>-291.17500000000109</v>
      </c>
      <c r="G287">
        <v>-2369.6500000000005</v>
      </c>
      <c r="J287">
        <v>243</v>
      </c>
      <c r="K287">
        <v>0</v>
      </c>
      <c r="L287">
        <v>0</v>
      </c>
      <c r="M287">
        <v>0</v>
      </c>
      <c r="N287">
        <v>223</v>
      </c>
      <c r="O287">
        <v>179</v>
      </c>
      <c r="P287">
        <v>321</v>
      </c>
      <c r="S287">
        <v>243</v>
      </c>
      <c r="T287">
        <v>906.59999999999945</v>
      </c>
      <c r="U287">
        <v>990.77499999999873</v>
      </c>
      <c r="V287">
        <v>906.60000000000036</v>
      </c>
      <c r="W287">
        <v>2277.1999999999989</v>
      </c>
      <c r="X287">
        <v>2269.3749999999991</v>
      </c>
      <c r="Y287">
        <v>507.41733041803263</v>
      </c>
    </row>
    <row r="288" spans="1:25" x14ac:dyDescent="0.35">
      <c r="A288">
        <v>244</v>
      </c>
      <c r="B288">
        <v>906.59999999999945</v>
      </c>
      <c r="C288">
        <v>1023.1499999999996</v>
      </c>
      <c r="D288">
        <v>906.59999999999945</v>
      </c>
      <c r="E288">
        <v>-919.25</v>
      </c>
      <c r="F288">
        <v>-161.67500000000109</v>
      </c>
      <c r="G288">
        <v>-2175.4000000000005</v>
      </c>
      <c r="J288">
        <v>244</v>
      </c>
      <c r="K288">
        <v>0</v>
      </c>
      <c r="L288">
        <v>0</v>
      </c>
      <c r="M288">
        <v>0</v>
      </c>
      <c r="N288">
        <v>236</v>
      </c>
      <c r="O288">
        <v>174</v>
      </c>
      <c r="P288">
        <v>326</v>
      </c>
      <c r="S288">
        <v>244</v>
      </c>
      <c r="T288">
        <v>906.59999999999945</v>
      </c>
      <c r="U288">
        <v>977.82499999999982</v>
      </c>
      <c r="V288">
        <v>906.60000000000036</v>
      </c>
      <c r="W288">
        <v>1737.2014894486215</v>
      </c>
      <c r="X288">
        <v>2244.9</v>
      </c>
      <c r="Y288">
        <v>2448.1499999999996</v>
      </c>
    </row>
    <row r="289" spans="1:25" x14ac:dyDescent="0.35">
      <c r="A289">
        <v>245</v>
      </c>
      <c r="B289">
        <v>906.59999999999945</v>
      </c>
      <c r="C289">
        <v>984.30000000000018</v>
      </c>
      <c r="D289">
        <v>906.59999999999945</v>
      </c>
      <c r="E289">
        <v>-1139.4000000000005</v>
      </c>
      <c r="F289">
        <v>-653.77500000000055</v>
      </c>
      <c r="G289">
        <v>-2110.6500000000005</v>
      </c>
      <c r="J289">
        <v>245</v>
      </c>
      <c r="K289">
        <v>0</v>
      </c>
      <c r="L289">
        <v>0</v>
      </c>
      <c r="M289">
        <v>0</v>
      </c>
      <c r="N289">
        <v>200</v>
      </c>
      <c r="O289">
        <v>196</v>
      </c>
      <c r="P289">
        <v>326</v>
      </c>
      <c r="S289">
        <v>245</v>
      </c>
      <c r="T289">
        <v>906.59999999999945</v>
      </c>
      <c r="U289">
        <v>984.29999999999927</v>
      </c>
      <c r="V289">
        <v>919.54999999999927</v>
      </c>
      <c r="W289">
        <v>2216.4633145361477</v>
      </c>
      <c r="X289">
        <v>2240.9999999999995</v>
      </c>
      <c r="Y289">
        <v>-463.82268124834536</v>
      </c>
    </row>
    <row r="290" spans="1:25" x14ac:dyDescent="0.35">
      <c r="A290">
        <v>246</v>
      </c>
      <c r="B290">
        <v>906.59999999999945</v>
      </c>
      <c r="C290">
        <v>971.34999999999945</v>
      </c>
      <c r="D290">
        <v>906.59999999999945</v>
      </c>
      <c r="E290">
        <v>-1346.6000000000004</v>
      </c>
      <c r="F290">
        <v>-433.625</v>
      </c>
      <c r="G290">
        <v>-2149.5</v>
      </c>
      <c r="J290">
        <v>246</v>
      </c>
      <c r="K290">
        <v>0</v>
      </c>
      <c r="L290">
        <v>0</v>
      </c>
      <c r="M290">
        <v>0</v>
      </c>
      <c r="N290">
        <v>212</v>
      </c>
      <c r="O290">
        <v>176</v>
      </c>
      <c r="P290">
        <v>320</v>
      </c>
      <c r="S290">
        <v>246</v>
      </c>
      <c r="T290">
        <v>906.59999999999945</v>
      </c>
      <c r="U290">
        <v>951.92499999999927</v>
      </c>
      <c r="V290">
        <v>906.59999999999945</v>
      </c>
      <c r="W290">
        <v>2229.1999999999994</v>
      </c>
      <c r="X290">
        <v>2235.9499999999994</v>
      </c>
      <c r="Y290">
        <v>2407.1999999999989</v>
      </c>
    </row>
    <row r="291" spans="1:25" x14ac:dyDescent="0.35">
      <c r="A291">
        <v>247</v>
      </c>
      <c r="B291">
        <v>906.59999999999945</v>
      </c>
      <c r="C291">
        <v>951.92499999999927</v>
      </c>
      <c r="D291">
        <v>906.60000000000036</v>
      </c>
      <c r="E291">
        <v>-1022.8500000000004</v>
      </c>
      <c r="F291">
        <v>-394.77499999999964</v>
      </c>
      <c r="G291">
        <v>-2434.4000000000005</v>
      </c>
      <c r="J291">
        <v>247</v>
      </c>
      <c r="K291">
        <v>0</v>
      </c>
      <c r="L291">
        <v>0</v>
      </c>
      <c r="M291">
        <v>0</v>
      </c>
      <c r="N291">
        <v>236</v>
      </c>
      <c r="O291">
        <v>175</v>
      </c>
      <c r="P291">
        <v>345</v>
      </c>
      <c r="S291">
        <v>247</v>
      </c>
      <c r="T291">
        <v>906.59999999999945</v>
      </c>
      <c r="U291">
        <v>958.39999999999964</v>
      </c>
      <c r="V291">
        <v>906.59999999999945</v>
      </c>
      <c r="W291">
        <v>2148.1677557778571</v>
      </c>
      <c r="X291">
        <v>2309.85</v>
      </c>
      <c r="Y291">
        <v>-439.36133841515812</v>
      </c>
    </row>
    <row r="292" spans="1:25" x14ac:dyDescent="0.35">
      <c r="A292">
        <v>248</v>
      </c>
      <c r="B292">
        <v>906.59999999999945</v>
      </c>
      <c r="C292">
        <v>984.29999999999927</v>
      </c>
      <c r="D292">
        <v>906.59999999999945</v>
      </c>
      <c r="E292">
        <v>-1048.75</v>
      </c>
      <c r="F292">
        <v>-530.75</v>
      </c>
      <c r="G292">
        <v>-2110.6500000000005</v>
      </c>
      <c r="J292">
        <v>248</v>
      </c>
      <c r="K292">
        <v>0</v>
      </c>
      <c r="L292">
        <v>0</v>
      </c>
      <c r="M292">
        <v>0</v>
      </c>
      <c r="N292">
        <v>237</v>
      </c>
      <c r="O292">
        <v>185</v>
      </c>
      <c r="P292">
        <v>302</v>
      </c>
      <c r="S292">
        <v>248</v>
      </c>
      <c r="T292">
        <v>906.59999999999945</v>
      </c>
      <c r="U292">
        <v>958.39999999999964</v>
      </c>
      <c r="V292">
        <v>906.60000000000036</v>
      </c>
      <c r="W292">
        <v>838.18208773123865</v>
      </c>
      <c r="X292">
        <v>-13.825734905038075</v>
      </c>
      <c r="Y292">
        <v>2445.1999999999998</v>
      </c>
    </row>
    <row r="293" spans="1:25" x14ac:dyDescent="0.35">
      <c r="A293">
        <v>249</v>
      </c>
      <c r="B293">
        <v>906.59999999999945</v>
      </c>
      <c r="C293">
        <v>984.30000000000018</v>
      </c>
      <c r="D293">
        <v>919.54999999999927</v>
      </c>
      <c r="E293">
        <v>-1320.7000000000007</v>
      </c>
      <c r="F293">
        <v>-427.15000000000055</v>
      </c>
      <c r="G293">
        <v>-2693.4000000000005</v>
      </c>
      <c r="J293">
        <v>249</v>
      </c>
      <c r="K293">
        <v>0</v>
      </c>
      <c r="L293">
        <v>0</v>
      </c>
      <c r="M293">
        <v>0</v>
      </c>
      <c r="N293">
        <v>215</v>
      </c>
      <c r="O293">
        <v>177</v>
      </c>
      <c r="P293">
        <v>340</v>
      </c>
      <c r="S293">
        <v>249</v>
      </c>
      <c r="T293">
        <v>906.59999999999945</v>
      </c>
      <c r="U293">
        <v>977.82499999999891</v>
      </c>
      <c r="V293">
        <v>906.60000000000036</v>
      </c>
      <c r="W293">
        <v>2299.1999999999994</v>
      </c>
      <c r="X293">
        <v>2217.9499999999998</v>
      </c>
      <c r="Y293">
        <v>2439.1999999999989</v>
      </c>
    </row>
    <row r="294" spans="1:25" x14ac:dyDescent="0.35">
      <c r="A294">
        <v>250</v>
      </c>
      <c r="B294">
        <v>906.59999999999945</v>
      </c>
      <c r="C294">
        <v>951.92499999999927</v>
      </c>
      <c r="D294">
        <v>906.59999999999945</v>
      </c>
      <c r="E294">
        <v>-1307.75</v>
      </c>
      <c r="F294">
        <v>-239.375</v>
      </c>
      <c r="G294">
        <v>-2266.0500000000002</v>
      </c>
      <c r="J294">
        <v>250</v>
      </c>
      <c r="K294">
        <v>0</v>
      </c>
      <c r="L294">
        <v>0</v>
      </c>
      <c r="M294">
        <v>2</v>
      </c>
      <c r="N294">
        <v>229</v>
      </c>
      <c r="O294">
        <v>166</v>
      </c>
      <c r="P294">
        <v>336</v>
      </c>
      <c r="S294">
        <v>250</v>
      </c>
      <c r="T294">
        <v>906.59999999999945</v>
      </c>
      <c r="U294">
        <v>938.97499999999945</v>
      </c>
      <c r="V294">
        <v>906.60000000000036</v>
      </c>
      <c r="W294">
        <v>1253.5593441460428</v>
      </c>
      <c r="X294">
        <v>2245.9499999999994</v>
      </c>
      <c r="Y294">
        <v>658.94082309754958</v>
      </c>
    </row>
    <row r="295" spans="1:25" x14ac:dyDescent="0.35">
      <c r="A295">
        <v>251</v>
      </c>
      <c r="B295">
        <v>906.59999999999945</v>
      </c>
      <c r="C295">
        <v>951.92500000000018</v>
      </c>
      <c r="D295">
        <v>906.60000000000036</v>
      </c>
      <c r="E295">
        <v>-1191.2000000000007</v>
      </c>
      <c r="F295">
        <v>-647.30000000000109</v>
      </c>
      <c r="G295">
        <v>-2589.8000000000002</v>
      </c>
      <c r="J295">
        <v>251</v>
      </c>
      <c r="K295">
        <v>0</v>
      </c>
      <c r="L295">
        <v>0</v>
      </c>
      <c r="M295">
        <v>0</v>
      </c>
      <c r="N295">
        <v>223</v>
      </c>
      <c r="O295">
        <v>150</v>
      </c>
      <c r="P295">
        <v>333</v>
      </c>
      <c r="S295">
        <v>251</v>
      </c>
      <c r="T295">
        <v>906.59999999999945</v>
      </c>
      <c r="U295">
        <v>990.77499999999964</v>
      </c>
      <c r="V295">
        <v>906.60000000000036</v>
      </c>
      <c r="W295">
        <v>2227.1999999999989</v>
      </c>
      <c r="X295">
        <v>-53.203144947851911</v>
      </c>
      <c r="Y295">
        <v>2476.1499999999996</v>
      </c>
    </row>
    <row r="296" spans="1:25" x14ac:dyDescent="0.35">
      <c r="A296">
        <v>252</v>
      </c>
      <c r="B296">
        <v>906.59999999999945</v>
      </c>
      <c r="C296">
        <v>951.92500000000018</v>
      </c>
      <c r="D296">
        <v>906.59999999999945</v>
      </c>
      <c r="E296">
        <v>-1061.7000000000007</v>
      </c>
      <c r="F296">
        <v>-427.15000000000055</v>
      </c>
      <c r="G296">
        <v>-2266.0500000000002</v>
      </c>
      <c r="J296">
        <v>252</v>
      </c>
      <c r="K296">
        <v>0</v>
      </c>
      <c r="L296">
        <v>0</v>
      </c>
      <c r="M296">
        <v>0</v>
      </c>
      <c r="N296">
        <v>223</v>
      </c>
      <c r="O296">
        <v>171</v>
      </c>
      <c r="P296">
        <v>290</v>
      </c>
      <c r="S296">
        <v>252</v>
      </c>
      <c r="T296">
        <v>906.59999999999945</v>
      </c>
      <c r="U296">
        <v>1003.7249999999995</v>
      </c>
      <c r="V296">
        <v>906.60000000000036</v>
      </c>
      <c r="W296">
        <v>2201.1999999999994</v>
      </c>
      <c r="X296">
        <v>2257.375</v>
      </c>
      <c r="Y296">
        <v>-1070.2921232326032</v>
      </c>
    </row>
    <row r="297" spans="1:25" x14ac:dyDescent="0.35">
      <c r="A297">
        <v>253</v>
      </c>
      <c r="B297">
        <v>906.59999999999945</v>
      </c>
      <c r="C297">
        <v>1010.1999999999989</v>
      </c>
      <c r="D297">
        <v>906.59999999999945</v>
      </c>
      <c r="E297">
        <v>-932.20000000000073</v>
      </c>
      <c r="F297">
        <v>-653.77500000000055</v>
      </c>
      <c r="G297">
        <v>-2576.8500000000004</v>
      </c>
      <c r="J297">
        <v>253</v>
      </c>
      <c r="K297">
        <v>0</v>
      </c>
      <c r="L297">
        <v>0</v>
      </c>
      <c r="M297">
        <v>0</v>
      </c>
      <c r="N297">
        <v>210</v>
      </c>
      <c r="O297">
        <v>181</v>
      </c>
      <c r="P297">
        <v>319</v>
      </c>
      <c r="S297">
        <v>253</v>
      </c>
      <c r="T297">
        <v>906.59999999999945</v>
      </c>
      <c r="U297">
        <v>938.97499999999945</v>
      </c>
      <c r="V297">
        <v>906.59999999999945</v>
      </c>
      <c r="W297">
        <v>2221.1999999999994</v>
      </c>
      <c r="X297">
        <v>1451.2532653887033</v>
      </c>
      <c r="Y297">
        <v>2489.1999999999989</v>
      </c>
    </row>
    <row r="298" spans="1:25" x14ac:dyDescent="0.35">
      <c r="A298">
        <v>254</v>
      </c>
      <c r="B298">
        <v>906.59999999999945</v>
      </c>
      <c r="C298">
        <v>971.34999999999854</v>
      </c>
      <c r="D298">
        <v>906.59999999999945</v>
      </c>
      <c r="E298">
        <v>-919.25</v>
      </c>
      <c r="F298">
        <v>-582.55000000000018</v>
      </c>
      <c r="G298">
        <v>-2628.6500000000005</v>
      </c>
      <c r="J298">
        <v>254</v>
      </c>
      <c r="K298">
        <v>0</v>
      </c>
      <c r="L298">
        <v>0</v>
      </c>
      <c r="M298">
        <v>0</v>
      </c>
      <c r="N298">
        <v>236</v>
      </c>
      <c r="O298">
        <v>189</v>
      </c>
      <c r="P298">
        <v>313</v>
      </c>
      <c r="S298">
        <v>254</v>
      </c>
      <c r="T298">
        <v>906.59999999999945</v>
      </c>
      <c r="U298">
        <v>958.39999999999964</v>
      </c>
      <c r="V298">
        <v>906.60000000000036</v>
      </c>
      <c r="W298">
        <v>2239.1999999999994</v>
      </c>
      <c r="X298">
        <v>2286.3249999999994</v>
      </c>
      <c r="Y298">
        <v>2428.1499999999996</v>
      </c>
    </row>
    <row r="299" spans="1:25" x14ac:dyDescent="0.35">
      <c r="A299">
        <v>255</v>
      </c>
      <c r="B299">
        <v>906.59999999999945</v>
      </c>
      <c r="C299">
        <v>951.92499999999927</v>
      </c>
      <c r="D299">
        <v>906.60000000000036</v>
      </c>
      <c r="E299">
        <v>-1139.4000000000005</v>
      </c>
      <c r="F299">
        <v>-245.85000000000036</v>
      </c>
      <c r="G299">
        <v>-2356.6999999999998</v>
      </c>
      <c r="J299">
        <v>255</v>
      </c>
      <c r="K299">
        <v>0</v>
      </c>
      <c r="L299">
        <v>0</v>
      </c>
      <c r="M299">
        <v>0</v>
      </c>
      <c r="N299">
        <v>245</v>
      </c>
      <c r="O299">
        <v>174</v>
      </c>
      <c r="P299">
        <v>320</v>
      </c>
      <c r="S299">
        <v>255</v>
      </c>
      <c r="T299">
        <v>906.59999999999945</v>
      </c>
      <c r="U299">
        <v>977.82499999999982</v>
      </c>
      <c r="V299">
        <v>906.59999999999945</v>
      </c>
      <c r="W299">
        <v>2273.1999999999998</v>
      </c>
      <c r="X299">
        <v>2272.2249999999999</v>
      </c>
      <c r="Y299">
        <v>880.18624905672641</v>
      </c>
    </row>
    <row r="300" spans="1:25" x14ac:dyDescent="0.35">
      <c r="A300">
        <v>256</v>
      </c>
      <c r="B300">
        <v>906.59999999999945</v>
      </c>
      <c r="C300">
        <v>984.30000000000018</v>
      </c>
      <c r="D300">
        <v>906.59999999999945</v>
      </c>
      <c r="E300">
        <v>-1178.25</v>
      </c>
      <c r="F300">
        <v>-783.27500000000055</v>
      </c>
      <c r="G300">
        <v>-2188.3500000000004</v>
      </c>
      <c r="J300">
        <v>256</v>
      </c>
      <c r="K300">
        <v>0</v>
      </c>
      <c r="L300">
        <v>0</v>
      </c>
      <c r="M300">
        <v>0</v>
      </c>
      <c r="N300">
        <v>229</v>
      </c>
      <c r="O300">
        <v>165</v>
      </c>
      <c r="P300">
        <v>325</v>
      </c>
      <c r="S300">
        <v>256</v>
      </c>
      <c r="T300">
        <v>906.59999999999945</v>
      </c>
      <c r="U300">
        <v>945.44999999999891</v>
      </c>
      <c r="V300">
        <v>906.59999999999945</v>
      </c>
      <c r="W300">
        <v>2237.1999999999989</v>
      </c>
      <c r="X300">
        <v>2227.375</v>
      </c>
      <c r="Y300">
        <v>-416.70932846658093</v>
      </c>
    </row>
    <row r="301" spans="1:25" x14ac:dyDescent="0.35">
      <c r="A301">
        <v>257</v>
      </c>
      <c r="B301">
        <v>906.59999999999945</v>
      </c>
      <c r="C301">
        <v>964.87499999999909</v>
      </c>
      <c r="D301">
        <v>906.59999999999945</v>
      </c>
      <c r="E301">
        <v>-1165.3000000000002</v>
      </c>
      <c r="F301">
        <v>-213.47500000000036</v>
      </c>
      <c r="G301">
        <v>-2149.5</v>
      </c>
      <c r="J301">
        <v>257</v>
      </c>
      <c r="K301">
        <v>0</v>
      </c>
      <c r="L301">
        <v>0</v>
      </c>
      <c r="M301">
        <v>0</v>
      </c>
      <c r="N301">
        <v>196</v>
      </c>
      <c r="O301">
        <v>162</v>
      </c>
      <c r="P301">
        <v>303</v>
      </c>
      <c r="S301">
        <v>257</v>
      </c>
      <c r="T301">
        <v>906.59999999999945</v>
      </c>
      <c r="U301">
        <v>964.87499999999909</v>
      </c>
      <c r="V301">
        <v>906.59999999999945</v>
      </c>
      <c r="W301">
        <v>-312.59761729805973</v>
      </c>
      <c r="X301">
        <v>2319.2749999999992</v>
      </c>
      <c r="Y301">
        <v>2505.1999999999998</v>
      </c>
    </row>
    <row r="302" spans="1:25" x14ac:dyDescent="0.35">
      <c r="A302">
        <v>258</v>
      </c>
      <c r="B302">
        <v>906.59999999999945</v>
      </c>
      <c r="C302">
        <v>971.34999999999945</v>
      </c>
      <c r="D302">
        <v>906.59999999999945</v>
      </c>
      <c r="E302">
        <v>-1165.3000000000002</v>
      </c>
      <c r="F302">
        <v>-511.32500000000073</v>
      </c>
      <c r="G302">
        <v>-2395.5500000000002</v>
      </c>
      <c r="J302">
        <v>258</v>
      </c>
      <c r="K302">
        <v>0</v>
      </c>
      <c r="L302">
        <v>0</v>
      </c>
      <c r="M302">
        <v>0</v>
      </c>
      <c r="N302">
        <v>236</v>
      </c>
      <c r="O302">
        <v>169</v>
      </c>
      <c r="P302">
        <v>333</v>
      </c>
      <c r="S302">
        <v>258</v>
      </c>
      <c r="T302">
        <v>906.59999999999945</v>
      </c>
      <c r="U302">
        <v>945.44999999999982</v>
      </c>
      <c r="V302">
        <v>906.59999999999945</v>
      </c>
      <c r="W302">
        <v>2269.1999999999994</v>
      </c>
      <c r="X302">
        <v>2243.3749999999995</v>
      </c>
      <c r="Y302">
        <v>-306.80061886625708</v>
      </c>
    </row>
    <row r="303" spans="1:25" x14ac:dyDescent="0.35">
      <c r="A303">
        <v>259</v>
      </c>
      <c r="B303">
        <v>906.59999999999945</v>
      </c>
      <c r="C303">
        <v>951.92499999999927</v>
      </c>
      <c r="D303">
        <v>906.59999999999945</v>
      </c>
      <c r="E303">
        <v>-1139.4000000000005</v>
      </c>
      <c r="F303">
        <v>-323.55000000000109</v>
      </c>
      <c r="G303">
        <v>-2227.2000000000007</v>
      </c>
      <c r="J303">
        <v>259</v>
      </c>
      <c r="K303">
        <v>0</v>
      </c>
      <c r="L303">
        <v>0</v>
      </c>
      <c r="M303">
        <v>0</v>
      </c>
      <c r="N303">
        <v>214</v>
      </c>
      <c r="O303">
        <v>174</v>
      </c>
      <c r="P303">
        <v>306</v>
      </c>
      <c r="S303">
        <v>259</v>
      </c>
      <c r="T303">
        <v>906.59999999999945</v>
      </c>
      <c r="U303">
        <v>997.24999999999909</v>
      </c>
      <c r="V303">
        <v>906.59999999999945</v>
      </c>
      <c r="W303">
        <v>2245.1999999999998</v>
      </c>
      <c r="X303">
        <v>2227.4749999999999</v>
      </c>
      <c r="Y303">
        <v>-2369.6500000000005</v>
      </c>
    </row>
    <row r="304" spans="1:25" x14ac:dyDescent="0.35">
      <c r="A304">
        <v>260</v>
      </c>
      <c r="B304">
        <v>906.59999999999945</v>
      </c>
      <c r="C304">
        <v>1029.625</v>
      </c>
      <c r="D304">
        <v>906.59999999999945</v>
      </c>
      <c r="E304">
        <v>-1100.5500000000002</v>
      </c>
      <c r="F304">
        <v>-621.39999999999964</v>
      </c>
      <c r="G304">
        <v>-2615.6999999999998</v>
      </c>
      <c r="J304">
        <v>260</v>
      </c>
      <c r="K304">
        <v>0</v>
      </c>
      <c r="L304">
        <v>0</v>
      </c>
      <c r="M304">
        <v>0</v>
      </c>
      <c r="N304">
        <v>214</v>
      </c>
      <c r="O304">
        <v>177</v>
      </c>
      <c r="P304">
        <v>337</v>
      </c>
      <c r="S304">
        <v>260</v>
      </c>
      <c r="T304">
        <v>906.59999999999945</v>
      </c>
      <c r="U304">
        <v>990.77499999999964</v>
      </c>
      <c r="V304">
        <v>906.59999999999945</v>
      </c>
      <c r="W304">
        <v>-1035.8000000000002</v>
      </c>
      <c r="X304">
        <v>2233.3749999999995</v>
      </c>
      <c r="Y304">
        <v>2447.1999999999998</v>
      </c>
    </row>
    <row r="305" spans="1:25" x14ac:dyDescent="0.35">
      <c r="A305">
        <v>261</v>
      </c>
      <c r="B305">
        <v>906.59999999999945</v>
      </c>
      <c r="C305">
        <v>971.34999999999945</v>
      </c>
      <c r="D305">
        <v>906.59999999999945</v>
      </c>
      <c r="E305">
        <v>-841.55000000000018</v>
      </c>
      <c r="F305">
        <v>-601.97500000000036</v>
      </c>
      <c r="G305">
        <v>-2201.3000000000002</v>
      </c>
      <c r="J305">
        <v>261</v>
      </c>
      <c r="K305">
        <v>0</v>
      </c>
      <c r="L305">
        <v>0</v>
      </c>
      <c r="M305">
        <v>0</v>
      </c>
      <c r="N305">
        <v>228</v>
      </c>
      <c r="O305">
        <v>206</v>
      </c>
      <c r="P305">
        <v>319</v>
      </c>
      <c r="S305">
        <v>261</v>
      </c>
      <c r="T305">
        <v>906.59999999999945</v>
      </c>
      <c r="U305">
        <v>945.44999999999891</v>
      </c>
      <c r="V305">
        <v>906.59999999999945</v>
      </c>
      <c r="W305">
        <v>2257.1999999999989</v>
      </c>
      <c r="X305">
        <v>2207.5749999999998</v>
      </c>
      <c r="Y305">
        <v>2445.1999999999998</v>
      </c>
    </row>
    <row r="306" spans="1:25" x14ac:dyDescent="0.35">
      <c r="A306">
        <v>262</v>
      </c>
      <c r="B306">
        <v>906.59999999999945</v>
      </c>
      <c r="C306">
        <v>971.34999999999945</v>
      </c>
      <c r="D306">
        <v>906.59999999999945</v>
      </c>
      <c r="E306">
        <v>-984</v>
      </c>
      <c r="F306">
        <v>-135.77500000000055</v>
      </c>
      <c r="G306">
        <v>-2382.6000000000004</v>
      </c>
      <c r="J306">
        <v>262</v>
      </c>
      <c r="K306">
        <v>0</v>
      </c>
      <c r="L306">
        <v>0</v>
      </c>
      <c r="M306">
        <v>0</v>
      </c>
      <c r="N306">
        <v>235</v>
      </c>
      <c r="O306">
        <v>167</v>
      </c>
      <c r="P306">
        <v>310</v>
      </c>
      <c r="S306">
        <v>262</v>
      </c>
      <c r="T306">
        <v>906.59999999999945</v>
      </c>
      <c r="U306">
        <v>971.34999999999945</v>
      </c>
      <c r="V306">
        <v>906.60000000000036</v>
      </c>
      <c r="W306">
        <v>2241.1999999999994</v>
      </c>
      <c r="X306">
        <v>2166.0499999999997</v>
      </c>
      <c r="Y306">
        <v>2437.1999999999989</v>
      </c>
    </row>
    <row r="307" spans="1:25" x14ac:dyDescent="0.35">
      <c r="A307">
        <v>263</v>
      </c>
      <c r="B307">
        <v>906.59999999999945</v>
      </c>
      <c r="C307">
        <v>977.82499999999891</v>
      </c>
      <c r="D307">
        <v>906.60000000000036</v>
      </c>
      <c r="E307">
        <v>-1009.9000000000005</v>
      </c>
      <c r="F307">
        <v>-517.80000000000018</v>
      </c>
      <c r="G307">
        <v>-2317.8500000000004</v>
      </c>
      <c r="J307">
        <v>263</v>
      </c>
      <c r="K307">
        <v>0</v>
      </c>
      <c r="L307">
        <v>0</v>
      </c>
      <c r="M307">
        <v>0</v>
      </c>
      <c r="N307">
        <v>227</v>
      </c>
      <c r="O307">
        <v>178</v>
      </c>
      <c r="P307">
        <v>307</v>
      </c>
      <c r="S307">
        <v>263</v>
      </c>
      <c r="T307">
        <v>906.59999999999945</v>
      </c>
      <c r="U307">
        <v>984.29999999999927</v>
      </c>
      <c r="V307">
        <v>906.59999999999945</v>
      </c>
      <c r="W307">
        <v>2293.1999999999998</v>
      </c>
      <c r="X307">
        <v>2221.4750000000004</v>
      </c>
      <c r="Y307">
        <v>596.66560655426747</v>
      </c>
    </row>
    <row r="308" spans="1:25" x14ac:dyDescent="0.35">
      <c r="A308">
        <v>264</v>
      </c>
      <c r="B308">
        <v>906.59999999999945</v>
      </c>
      <c r="C308">
        <v>964.875</v>
      </c>
      <c r="D308">
        <v>906.60000000000036</v>
      </c>
      <c r="E308">
        <v>-1307.75</v>
      </c>
      <c r="F308">
        <v>-226.42500000000109</v>
      </c>
      <c r="G308">
        <v>-2071.8000000000002</v>
      </c>
      <c r="J308">
        <v>264</v>
      </c>
      <c r="K308">
        <v>0</v>
      </c>
      <c r="L308">
        <v>0</v>
      </c>
      <c r="M308">
        <v>0</v>
      </c>
      <c r="N308">
        <v>222</v>
      </c>
      <c r="O308">
        <v>180</v>
      </c>
      <c r="P308">
        <v>322</v>
      </c>
      <c r="S308">
        <v>264</v>
      </c>
      <c r="T308">
        <v>906.59999999999945</v>
      </c>
      <c r="U308">
        <v>958.39999999999964</v>
      </c>
      <c r="V308">
        <v>906.60000000000036</v>
      </c>
      <c r="W308">
        <v>2221.1999999999994</v>
      </c>
      <c r="X308">
        <v>-110.53267801865803</v>
      </c>
      <c r="Y308">
        <v>2407.1999999999989</v>
      </c>
    </row>
    <row r="309" spans="1:25" x14ac:dyDescent="0.35">
      <c r="A309">
        <v>265</v>
      </c>
      <c r="B309">
        <v>906.59999999999945</v>
      </c>
      <c r="C309">
        <v>984.29999999999927</v>
      </c>
      <c r="D309">
        <v>828.89999999999964</v>
      </c>
      <c r="E309">
        <v>-1100.5500000000002</v>
      </c>
      <c r="F309">
        <v>-414.20000000000073</v>
      </c>
      <c r="G309">
        <v>-2408.5</v>
      </c>
      <c r="J309">
        <v>265</v>
      </c>
      <c r="K309">
        <v>0</v>
      </c>
      <c r="L309">
        <v>0</v>
      </c>
      <c r="M309">
        <v>0</v>
      </c>
      <c r="N309">
        <v>216</v>
      </c>
      <c r="O309">
        <v>177</v>
      </c>
      <c r="P309">
        <v>304</v>
      </c>
      <c r="S309">
        <v>265</v>
      </c>
      <c r="T309">
        <v>906.59999999999945</v>
      </c>
      <c r="U309">
        <v>971.34999999999945</v>
      </c>
      <c r="V309">
        <v>906.59999999999945</v>
      </c>
      <c r="W309">
        <v>2245.1999999999998</v>
      </c>
      <c r="X309">
        <v>2213.4749999999995</v>
      </c>
      <c r="Y309">
        <v>309.89389491468137</v>
      </c>
    </row>
    <row r="310" spans="1:25" x14ac:dyDescent="0.35">
      <c r="A310">
        <v>266</v>
      </c>
      <c r="B310">
        <v>906.59999999999945</v>
      </c>
      <c r="C310">
        <v>971.34999999999945</v>
      </c>
      <c r="D310">
        <v>906.60000000000036</v>
      </c>
      <c r="E310">
        <v>-1230.0500000000002</v>
      </c>
      <c r="F310">
        <v>-466</v>
      </c>
      <c r="G310">
        <v>-2058.8500000000004</v>
      </c>
      <c r="J310">
        <v>266</v>
      </c>
      <c r="K310">
        <v>0</v>
      </c>
      <c r="L310">
        <v>0</v>
      </c>
      <c r="M310">
        <v>0</v>
      </c>
      <c r="N310">
        <v>214</v>
      </c>
      <c r="O310">
        <v>195</v>
      </c>
      <c r="P310">
        <v>337</v>
      </c>
      <c r="S310">
        <v>266</v>
      </c>
      <c r="T310">
        <v>906.59999999999945</v>
      </c>
      <c r="U310">
        <v>951.92499999999927</v>
      </c>
      <c r="V310">
        <v>906.59999999999945</v>
      </c>
      <c r="W310">
        <v>839.21845981199567</v>
      </c>
      <c r="X310">
        <v>2062.6860287418008</v>
      </c>
      <c r="Y310">
        <v>2455.1999999999998</v>
      </c>
    </row>
    <row r="311" spans="1:25" x14ac:dyDescent="0.35">
      <c r="A311">
        <v>267</v>
      </c>
      <c r="B311">
        <v>906.59999999999945</v>
      </c>
      <c r="C311">
        <v>1010.1999999999998</v>
      </c>
      <c r="D311">
        <v>906.59999999999945</v>
      </c>
      <c r="E311">
        <v>-984</v>
      </c>
      <c r="F311">
        <v>-511.32500000000073</v>
      </c>
      <c r="G311">
        <v>-2356.6999999999998</v>
      </c>
      <c r="J311">
        <v>267</v>
      </c>
      <c r="K311">
        <v>0</v>
      </c>
      <c r="L311">
        <v>0</v>
      </c>
      <c r="M311">
        <v>0</v>
      </c>
      <c r="N311">
        <v>236</v>
      </c>
      <c r="O311">
        <v>199</v>
      </c>
      <c r="P311">
        <v>331</v>
      </c>
      <c r="S311">
        <v>267</v>
      </c>
      <c r="T311">
        <v>906.59999999999945</v>
      </c>
      <c r="U311">
        <v>990.77499999999964</v>
      </c>
      <c r="V311">
        <v>906.59999999999945</v>
      </c>
      <c r="W311">
        <v>2285.1999999999998</v>
      </c>
      <c r="X311">
        <v>2264.5249999999992</v>
      </c>
      <c r="Y311">
        <v>2435.1999999999998</v>
      </c>
    </row>
    <row r="312" spans="1:25" x14ac:dyDescent="0.35">
      <c r="A312">
        <v>268</v>
      </c>
      <c r="B312">
        <v>906.59999999999945</v>
      </c>
      <c r="C312">
        <v>977.82499999999982</v>
      </c>
      <c r="D312">
        <v>906.59999999999945</v>
      </c>
      <c r="E312">
        <v>-1048.75</v>
      </c>
      <c r="F312">
        <v>-524.27500000000055</v>
      </c>
      <c r="G312">
        <v>-2304.9000000000005</v>
      </c>
      <c r="J312">
        <v>268</v>
      </c>
      <c r="K312">
        <v>0</v>
      </c>
      <c r="L312">
        <v>0</v>
      </c>
      <c r="M312">
        <v>0</v>
      </c>
      <c r="N312">
        <v>203</v>
      </c>
      <c r="O312">
        <v>169</v>
      </c>
      <c r="P312">
        <v>326</v>
      </c>
      <c r="S312">
        <v>268</v>
      </c>
      <c r="T312">
        <v>906.59999999999945</v>
      </c>
      <c r="U312">
        <v>945.44999999999891</v>
      </c>
      <c r="V312">
        <v>906.59999999999945</v>
      </c>
      <c r="W312">
        <v>2247.1999999999989</v>
      </c>
      <c r="X312">
        <v>-840.75723088297445</v>
      </c>
      <c r="Y312">
        <v>2461.1999999999998</v>
      </c>
    </row>
    <row r="313" spans="1:25" x14ac:dyDescent="0.35">
      <c r="A313">
        <v>269</v>
      </c>
      <c r="B313">
        <v>906.59999999999945</v>
      </c>
      <c r="C313">
        <v>997.24999999999909</v>
      </c>
      <c r="D313">
        <v>906.59999999999945</v>
      </c>
      <c r="E313">
        <v>-1540.8500000000004</v>
      </c>
      <c r="F313">
        <v>-595.5</v>
      </c>
      <c r="G313">
        <v>-2486.1999999999998</v>
      </c>
      <c r="J313">
        <v>269</v>
      </c>
      <c r="K313">
        <v>0</v>
      </c>
      <c r="L313">
        <v>0</v>
      </c>
      <c r="M313">
        <v>0</v>
      </c>
      <c r="N313">
        <v>247</v>
      </c>
      <c r="O313">
        <v>180</v>
      </c>
      <c r="P313">
        <v>314</v>
      </c>
      <c r="S313">
        <v>269</v>
      </c>
      <c r="T313">
        <v>906.59999999999945</v>
      </c>
      <c r="U313">
        <v>971.35000000000036</v>
      </c>
      <c r="V313">
        <v>906.60000000000036</v>
      </c>
      <c r="W313">
        <v>2233.1999999999998</v>
      </c>
      <c r="X313">
        <v>2189.9499999999998</v>
      </c>
      <c r="Y313">
        <v>2465.1999999999998</v>
      </c>
    </row>
    <row r="314" spans="1:25" x14ac:dyDescent="0.35">
      <c r="A314">
        <v>270</v>
      </c>
      <c r="B314">
        <v>906.59999999999945</v>
      </c>
      <c r="C314">
        <v>951.92499999999927</v>
      </c>
      <c r="D314">
        <v>919.55000000000018</v>
      </c>
      <c r="E314">
        <v>-1087.6000000000004</v>
      </c>
      <c r="F314">
        <v>-433.625</v>
      </c>
      <c r="G314">
        <v>-2589.8000000000002</v>
      </c>
      <c r="J314">
        <v>270</v>
      </c>
      <c r="K314">
        <v>0</v>
      </c>
      <c r="L314">
        <v>0</v>
      </c>
      <c r="M314">
        <v>0</v>
      </c>
      <c r="N314">
        <v>220</v>
      </c>
      <c r="O314">
        <v>175</v>
      </c>
      <c r="P314">
        <v>336</v>
      </c>
      <c r="S314">
        <v>270</v>
      </c>
      <c r="T314">
        <v>906.59999999999945</v>
      </c>
      <c r="U314">
        <v>971.34999999999854</v>
      </c>
      <c r="V314">
        <v>906.59999999999945</v>
      </c>
      <c r="W314">
        <v>2217.1999999999989</v>
      </c>
      <c r="X314">
        <v>2219.9499999999998</v>
      </c>
      <c r="Y314">
        <v>-2063.5817319807907</v>
      </c>
    </row>
    <row r="315" spans="1:25" x14ac:dyDescent="0.35">
      <c r="A315">
        <v>271</v>
      </c>
      <c r="B315">
        <v>906.59999999999945</v>
      </c>
      <c r="C315">
        <v>977.82499999999982</v>
      </c>
      <c r="D315">
        <v>906.60000000000036</v>
      </c>
      <c r="E315">
        <v>-854.5</v>
      </c>
      <c r="F315">
        <v>-478.95000000000073</v>
      </c>
      <c r="G315">
        <v>-2253.1000000000004</v>
      </c>
      <c r="J315">
        <v>271</v>
      </c>
      <c r="K315">
        <v>0</v>
      </c>
      <c r="L315">
        <v>0</v>
      </c>
      <c r="M315">
        <v>0</v>
      </c>
      <c r="N315">
        <v>234</v>
      </c>
      <c r="O315">
        <v>185</v>
      </c>
      <c r="P315">
        <v>317</v>
      </c>
      <c r="S315">
        <v>271</v>
      </c>
      <c r="T315">
        <v>906.59999999999945</v>
      </c>
      <c r="U315">
        <v>971.34999999999945</v>
      </c>
      <c r="V315">
        <v>906.59999999999945</v>
      </c>
      <c r="W315">
        <v>998.33746289995383</v>
      </c>
      <c r="X315">
        <v>2185.5749999999998</v>
      </c>
      <c r="Y315">
        <v>2175.8802842588721</v>
      </c>
    </row>
    <row r="316" spans="1:25" x14ac:dyDescent="0.35">
      <c r="A316">
        <v>272</v>
      </c>
      <c r="B316">
        <v>906.59999999999945</v>
      </c>
      <c r="C316">
        <v>1036.0999999999995</v>
      </c>
      <c r="D316">
        <v>906.60000000000036</v>
      </c>
      <c r="E316">
        <v>-1061.7000000000007</v>
      </c>
      <c r="F316">
        <v>-459.52500000000055</v>
      </c>
      <c r="G316">
        <v>-2356.6999999999998</v>
      </c>
      <c r="J316">
        <v>272</v>
      </c>
      <c r="K316">
        <v>0</v>
      </c>
      <c r="L316">
        <v>0</v>
      </c>
      <c r="M316">
        <v>0</v>
      </c>
      <c r="N316">
        <v>227</v>
      </c>
      <c r="O316">
        <v>185</v>
      </c>
      <c r="P316">
        <v>330</v>
      </c>
      <c r="S316">
        <v>272</v>
      </c>
      <c r="T316">
        <v>906.59999999999945</v>
      </c>
      <c r="U316">
        <v>984.29999999999927</v>
      </c>
      <c r="V316">
        <v>906.59999999999945</v>
      </c>
      <c r="W316">
        <v>2265.1999999999998</v>
      </c>
      <c r="X316">
        <v>2239.9499999999998</v>
      </c>
      <c r="Y316">
        <v>729.1076108376692</v>
      </c>
    </row>
    <row r="317" spans="1:25" x14ac:dyDescent="0.35">
      <c r="A317">
        <v>273</v>
      </c>
      <c r="B317">
        <v>906.59999999999945</v>
      </c>
      <c r="C317">
        <v>938.97500000000036</v>
      </c>
      <c r="D317">
        <v>906.59999999999945</v>
      </c>
      <c r="E317">
        <v>-1035.8000000000002</v>
      </c>
      <c r="F317">
        <v>-472.47500000000036</v>
      </c>
      <c r="G317">
        <v>-2317.8500000000004</v>
      </c>
      <c r="J317">
        <v>273</v>
      </c>
      <c r="K317">
        <v>0</v>
      </c>
      <c r="L317">
        <v>0</v>
      </c>
      <c r="M317">
        <v>0</v>
      </c>
      <c r="N317">
        <v>213</v>
      </c>
      <c r="O317">
        <v>178</v>
      </c>
      <c r="P317">
        <v>328</v>
      </c>
      <c r="S317">
        <v>273</v>
      </c>
      <c r="T317">
        <v>906.59999999999945</v>
      </c>
      <c r="U317">
        <v>990.77499999999964</v>
      </c>
      <c r="V317">
        <v>919.55000000000018</v>
      </c>
      <c r="W317">
        <v>2257.1999999999989</v>
      </c>
      <c r="X317">
        <v>2232.8999999999996</v>
      </c>
      <c r="Y317">
        <v>2449.1999999999989</v>
      </c>
    </row>
    <row r="318" spans="1:25" x14ac:dyDescent="0.35">
      <c r="A318">
        <v>274</v>
      </c>
      <c r="B318">
        <v>906.59999999999945</v>
      </c>
      <c r="C318">
        <v>971.34999999999854</v>
      </c>
      <c r="D318">
        <v>919.54999999999927</v>
      </c>
      <c r="E318">
        <v>-1398.4000000000005</v>
      </c>
      <c r="F318">
        <v>-148.72500000000036</v>
      </c>
      <c r="G318">
        <v>-2149.5</v>
      </c>
      <c r="J318">
        <v>274</v>
      </c>
      <c r="K318">
        <v>0</v>
      </c>
      <c r="L318">
        <v>0</v>
      </c>
      <c r="M318">
        <v>0</v>
      </c>
      <c r="N318">
        <v>205</v>
      </c>
      <c r="O318">
        <v>174</v>
      </c>
      <c r="P318">
        <v>286</v>
      </c>
      <c r="S318">
        <v>274</v>
      </c>
      <c r="T318">
        <v>906.59999999999945</v>
      </c>
      <c r="U318">
        <v>1010.1999999999989</v>
      </c>
      <c r="V318">
        <v>906.59999999999945</v>
      </c>
      <c r="W318">
        <v>2315.1999999999998</v>
      </c>
      <c r="X318">
        <v>1714.9774167063092</v>
      </c>
      <c r="Y318">
        <v>2475.1999999999998</v>
      </c>
    </row>
    <row r="319" spans="1:25" x14ac:dyDescent="0.35">
      <c r="A319">
        <v>275</v>
      </c>
      <c r="B319">
        <v>906.59999999999945</v>
      </c>
      <c r="C319">
        <v>945.44999999999982</v>
      </c>
      <c r="D319">
        <v>906.59999999999945</v>
      </c>
      <c r="E319">
        <v>-996.95000000000073</v>
      </c>
      <c r="F319">
        <v>-278.22500000000036</v>
      </c>
      <c r="G319">
        <v>-2486.1999999999998</v>
      </c>
      <c r="J319">
        <v>275</v>
      </c>
      <c r="K319">
        <v>0</v>
      </c>
      <c r="L319">
        <v>0</v>
      </c>
      <c r="M319">
        <v>0</v>
      </c>
      <c r="N319">
        <v>222</v>
      </c>
      <c r="O319">
        <v>189</v>
      </c>
      <c r="P319">
        <v>329</v>
      </c>
      <c r="S319">
        <v>275</v>
      </c>
      <c r="T319">
        <v>906.59999999999945</v>
      </c>
      <c r="U319">
        <v>990.77499999999873</v>
      </c>
      <c r="V319">
        <v>906.60000000000036</v>
      </c>
      <c r="W319">
        <v>2137.3990479669142</v>
      </c>
      <c r="X319">
        <v>2241.849999999999</v>
      </c>
      <c r="Y319">
        <v>1374.2263684330956</v>
      </c>
    </row>
    <row r="320" spans="1:25" x14ac:dyDescent="0.35">
      <c r="A320">
        <v>276</v>
      </c>
      <c r="B320">
        <v>906.59999999999945</v>
      </c>
      <c r="C320">
        <v>984.29999999999927</v>
      </c>
      <c r="D320">
        <v>906.59999999999945</v>
      </c>
      <c r="E320">
        <v>-1268.9000000000005</v>
      </c>
      <c r="F320">
        <v>-511.32500000000073</v>
      </c>
      <c r="G320">
        <v>-2473.25</v>
      </c>
      <c r="J320">
        <v>276</v>
      </c>
      <c r="K320">
        <v>0</v>
      </c>
      <c r="L320">
        <v>0</v>
      </c>
      <c r="M320">
        <v>0</v>
      </c>
      <c r="N320">
        <v>213</v>
      </c>
      <c r="O320">
        <v>194</v>
      </c>
      <c r="P320">
        <v>321</v>
      </c>
      <c r="S320">
        <v>276</v>
      </c>
      <c r="T320">
        <v>906.59999999999945</v>
      </c>
      <c r="U320">
        <v>1023.1499999999996</v>
      </c>
      <c r="V320">
        <v>906.60000000000036</v>
      </c>
      <c r="W320">
        <v>41.396012152448293</v>
      </c>
      <c r="X320">
        <v>2253.4749999999995</v>
      </c>
      <c r="Y320">
        <v>-2667.5</v>
      </c>
    </row>
    <row r="321" spans="1:25" x14ac:dyDescent="0.35">
      <c r="A321">
        <v>277</v>
      </c>
      <c r="B321">
        <v>906.59999999999945</v>
      </c>
      <c r="C321">
        <v>964.875</v>
      </c>
      <c r="D321">
        <v>906.59999999999945</v>
      </c>
      <c r="E321">
        <v>-1243</v>
      </c>
      <c r="F321">
        <v>-258.80000000000018</v>
      </c>
      <c r="G321">
        <v>-2097.7000000000007</v>
      </c>
      <c r="J321">
        <v>277</v>
      </c>
      <c r="K321">
        <v>0</v>
      </c>
      <c r="L321">
        <v>0</v>
      </c>
      <c r="M321">
        <v>0</v>
      </c>
      <c r="N321">
        <v>190</v>
      </c>
      <c r="O321">
        <v>185</v>
      </c>
      <c r="P321">
        <v>334</v>
      </c>
      <c r="S321">
        <v>277</v>
      </c>
      <c r="T321">
        <v>906.59999999999945</v>
      </c>
      <c r="U321">
        <v>971.34999999999854</v>
      </c>
      <c r="V321">
        <v>906.60000000000036</v>
      </c>
      <c r="W321">
        <v>2223.1999999999998</v>
      </c>
      <c r="X321">
        <v>2283.3749999999995</v>
      </c>
      <c r="Y321">
        <v>-2214.25</v>
      </c>
    </row>
    <row r="322" spans="1:25" x14ac:dyDescent="0.35">
      <c r="A322">
        <v>278</v>
      </c>
      <c r="B322">
        <v>906.59999999999945</v>
      </c>
      <c r="C322">
        <v>964.875</v>
      </c>
      <c r="D322">
        <v>906.59999999999945</v>
      </c>
      <c r="E322">
        <v>-1100.5500000000002</v>
      </c>
      <c r="F322">
        <v>-530.75</v>
      </c>
      <c r="G322">
        <v>-2175.4000000000005</v>
      </c>
      <c r="J322">
        <v>278</v>
      </c>
      <c r="K322">
        <v>0</v>
      </c>
      <c r="L322">
        <v>0</v>
      </c>
      <c r="M322">
        <v>0</v>
      </c>
      <c r="N322">
        <v>209</v>
      </c>
      <c r="O322">
        <v>196</v>
      </c>
      <c r="P322">
        <v>344</v>
      </c>
      <c r="S322">
        <v>278</v>
      </c>
      <c r="T322">
        <v>906.59999999999945</v>
      </c>
      <c r="U322">
        <v>990.77499999999964</v>
      </c>
      <c r="V322">
        <v>906.60000000000036</v>
      </c>
      <c r="W322">
        <v>-1230.0500000000002</v>
      </c>
      <c r="X322">
        <v>2205.9499999999994</v>
      </c>
      <c r="Y322">
        <v>1832.4532141096497</v>
      </c>
    </row>
    <row r="323" spans="1:25" x14ac:dyDescent="0.35">
      <c r="A323">
        <v>279</v>
      </c>
      <c r="B323">
        <v>906.59999999999945</v>
      </c>
      <c r="C323">
        <v>951.92499999999927</v>
      </c>
      <c r="D323">
        <v>906.59999999999945</v>
      </c>
      <c r="E323">
        <v>-945.15000000000055</v>
      </c>
      <c r="F323">
        <v>-725</v>
      </c>
      <c r="G323">
        <v>-2486.1999999999998</v>
      </c>
      <c r="J323">
        <v>279</v>
      </c>
      <c r="K323">
        <v>0</v>
      </c>
      <c r="L323">
        <v>0</v>
      </c>
      <c r="M323">
        <v>0</v>
      </c>
      <c r="N323">
        <v>246</v>
      </c>
      <c r="O323">
        <v>177</v>
      </c>
      <c r="P323">
        <v>328</v>
      </c>
      <c r="S323">
        <v>279</v>
      </c>
      <c r="T323">
        <v>906.59999999999945</v>
      </c>
      <c r="U323">
        <v>977.82499999999982</v>
      </c>
      <c r="V323">
        <v>906.59999999999945</v>
      </c>
      <c r="W323">
        <v>2231.1999999999994</v>
      </c>
      <c r="X323">
        <v>2250.4249999999988</v>
      </c>
      <c r="Y323">
        <v>843.57258021025746</v>
      </c>
    </row>
    <row r="324" spans="1:25" x14ac:dyDescent="0.35">
      <c r="A324">
        <v>280</v>
      </c>
      <c r="B324">
        <v>906.59999999999945</v>
      </c>
      <c r="C324">
        <v>990.77499999999873</v>
      </c>
      <c r="D324">
        <v>906.59999999999945</v>
      </c>
      <c r="E324">
        <v>-1307.75</v>
      </c>
      <c r="F324">
        <v>-563.125</v>
      </c>
      <c r="G324">
        <v>-2279</v>
      </c>
      <c r="J324">
        <v>280</v>
      </c>
      <c r="K324">
        <v>0</v>
      </c>
      <c r="L324">
        <v>0</v>
      </c>
      <c r="M324">
        <v>0</v>
      </c>
      <c r="N324">
        <v>232</v>
      </c>
      <c r="O324">
        <v>179</v>
      </c>
      <c r="P324">
        <v>327</v>
      </c>
      <c r="S324">
        <v>280</v>
      </c>
      <c r="T324">
        <v>906.59999999999945</v>
      </c>
      <c r="U324">
        <v>977.82499999999891</v>
      </c>
      <c r="V324">
        <v>906.59999999999945</v>
      </c>
      <c r="W324">
        <v>2257.1999999999989</v>
      </c>
      <c r="X324">
        <v>2205.474999999999</v>
      </c>
      <c r="Y324">
        <v>2463.1999999999998</v>
      </c>
    </row>
    <row r="325" spans="1:25" x14ac:dyDescent="0.35">
      <c r="A325">
        <v>281</v>
      </c>
      <c r="B325">
        <v>906.59999999999945</v>
      </c>
      <c r="C325">
        <v>977.82499999999982</v>
      </c>
      <c r="D325">
        <v>906.59999999999945</v>
      </c>
      <c r="E325">
        <v>-699.10000000000036</v>
      </c>
      <c r="F325">
        <v>-103.40000000000055</v>
      </c>
      <c r="G325">
        <v>-2421.4499999999998</v>
      </c>
      <c r="J325">
        <v>281</v>
      </c>
      <c r="K325">
        <v>0</v>
      </c>
      <c r="L325">
        <v>0</v>
      </c>
      <c r="M325">
        <v>0</v>
      </c>
      <c r="N325">
        <v>220</v>
      </c>
      <c r="O325">
        <v>189</v>
      </c>
      <c r="P325">
        <v>338</v>
      </c>
      <c r="S325">
        <v>281</v>
      </c>
      <c r="T325">
        <v>906.59999999999945</v>
      </c>
      <c r="U325">
        <v>977.82499999999982</v>
      </c>
      <c r="V325">
        <v>906.59999999999945</v>
      </c>
      <c r="W325">
        <v>2241.1999999999994</v>
      </c>
      <c r="X325">
        <v>2240.4249999999988</v>
      </c>
      <c r="Y325">
        <v>1207.5875197539563</v>
      </c>
    </row>
    <row r="326" spans="1:25" x14ac:dyDescent="0.35">
      <c r="A326">
        <v>282</v>
      </c>
      <c r="B326">
        <v>906.59999999999945</v>
      </c>
      <c r="C326">
        <v>971.34999999999945</v>
      </c>
      <c r="D326">
        <v>906.60000000000036</v>
      </c>
      <c r="E326">
        <v>-1398.4000000000005</v>
      </c>
      <c r="F326">
        <v>-614.92500000000018</v>
      </c>
      <c r="G326">
        <v>-1916.4000000000005</v>
      </c>
      <c r="J326">
        <v>282</v>
      </c>
      <c r="K326">
        <v>0</v>
      </c>
      <c r="L326">
        <v>0</v>
      </c>
      <c r="M326">
        <v>0</v>
      </c>
      <c r="N326">
        <v>227</v>
      </c>
      <c r="O326">
        <v>176</v>
      </c>
      <c r="P326">
        <v>335</v>
      </c>
      <c r="S326">
        <v>282</v>
      </c>
      <c r="T326">
        <v>906.59999999999945</v>
      </c>
      <c r="U326">
        <v>984.29999999999927</v>
      </c>
      <c r="V326">
        <v>906.60000000000036</v>
      </c>
      <c r="W326">
        <v>1703.6840699523877</v>
      </c>
      <c r="X326">
        <v>2258.8000000000002</v>
      </c>
      <c r="Y326">
        <v>2457.1999999999998</v>
      </c>
    </row>
    <row r="327" spans="1:25" x14ac:dyDescent="0.35">
      <c r="A327">
        <v>283</v>
      </c>
      <c r="B327">
        <v>906.59999999999945</v>
      </c>
      <c r="C327">
        <v>1003.7249999999995</v>
      </c>
      <c r="D327">
        <v>906.60000000000036</v>
      </c>
      <c r="E327">
        <v>-1074.6500000000005</v>
      </c>
      <c r="F327">
        <v>-330.02499999999964</v>
      </c>
      <c r="G327">
        <v>-2317.8500000000004</v>
      </c>
      <c r="J327">
        <v>283</v>
      </c>
      <c r="K327">
        <v>0</v>
      </c>
      <c r="L327">
        <v>0</v>
      </c>
      <c r="M327">
        <v>0</v>
      </c>
      <c r="N327">
        <v>212</v>
      </c>
      <c r="O327">
        <v>192</v>
      </c>
      <c r="P327">
        <v>314</v>
      </c>
      <c r="S327">
        <v>283</v>
      </c>
      <c r="T327">
        <v>906.59999999999945</v>
      </c>
      <c r="U327">
        <v>997.24999999999909</v>
      </c>
      <c r="V327">
        <v>919.55000000000018</v>
      </c>
      <c r="W327">
        <v>2150.8859815027663</v>
      </c>
      <c r="X327">
        <v>2295.4749999999985</v>
      </c>
      <c r="Y327">
        <v>2443.1999999999998</v>
      </c>
    </row>
    <row r="328" spans="1:25" x14ac:dyDescent="0.35">
      <c r="A328">
        <v>284</v>
      </c>
      <c r="B328">
        <v>906.59999999999945</v>
      </c>
      <c r="C328">
        <v>971.35000000000036</v>
      </c>
      <c r="D328">
        <v>906.59999999999945</v>
      </c>
      <c r="E328">
        <v>-1152.3500000000004</v>
      </c>
      <c r="F328">
        <v>-634.35000000000036</v>
      </c>
      <c r="G328">
        <v>-2240.1500000000005</v>
      </c>
      <c r="J328">
        <v>284</v>
      </c>
      <c r="K328">
        <v>0</v>
      </c>
      <c r="L328">
        <v>0</v>
      </c>
      <c r="M328">
        <v>0</v>
      </c>
      <c r="N328">
        <v>192</v>
      </c>
      <c r="O328">
        <v>182</v>
      </c>
      <c r="P328">
        <v>333</v>
      </c>
      <c r="S328">
        <v>284</v>
      </c>
      <c r="T328">
        <v>906.59999999999945</v>
      </c>
      <c r="U328">
        <v>945.44999999999891</v>
      </c>
      <c r="V328">
        <v>906.59999999999945</v>
      </c>
      <c r="W328">
        <v>765.79208334406098</v>
      </c>
      <c r="X328">
        <v>319.99419494273775</v>
      </c>
      <c r="Y328">
        <v>2473.1999999999998</v>
      </c>
    </row>
    <row r="329" spans="1:25" x14ac:dyDescent="0.35">
      <c r="A329">
        <v>285</v>
      </c>
      <c r="B329">
        <v>906.59999999999945</v>
      </c>
      <c r="C329">
        <v>958.39999999999873</v>
      </c>
      <c r="D329">
        <v>906.60000000000036</v>
      </c>
      <c r="E329">
        <v>-1061.7000000000007</v>
      </c>
      <c r="F329">
        <v>-589.02500000000055</v>
      </c>
      <c r="G329">
        <v>-2512.1000000000004</v>
      </c>
      <c r="J329">
        <v>285</v>
      </c>
      <c r="K329">
        <v>0</v>
      </c>
      <c r="L329">
        <v>0</v>
      </c>
      <c r="M329">
        <v>1</v>
      </c>
      <c r="N329">
        <v>233</v>
      </c>
      <c r="O329">
        <v>178</v>
      </c>
      <c r="P329">
        <v>335</v>
      </c>
      <c r="S329">
        <v>285</v>
      </c>
      <c r="T329">
        <v>906.59999999999945</v>
      </c>
      <c r="U329">
        <v>971.34999999999854</v>
      </c>
      <c r="V329">
        <v>906.59999999999945</v>
      </c>
      <c r="W329">
        <v>2307.1999999999989</v>
      </c>
      <c r="X329">
        <v>2233.9499999999994</v>
      </c>
      <c r="Y329">
        <v>2465.1999999999998</v>
      </c>
    </row>
    <row r="330" spans="1:25" x14ac:dyDescent="0.35">
      <c r="A330">
        <v>286</v>
      </c>
      <c r="B330">
        <v>906.59999999999945</v>
      </c>
      <c r="C330">
        <v>977.82499999999982</v>
      </c>
      <c r="D330">
        <v>906.59999999999945</v>
      </c>
      <c r="E330">
        <v>-1178.25</v>
      </c>
      <c r="F330">
        <v>-517.80000000000018</v>
      </c>
      <c r="G330">
        <v>-2266.0500000000002</v>
      </c>
      <c r="J330">
        <v>286</v>
      </c>
      <c r="K330">
        <v>0</v>
      </c>
      <c r="L330">
        <v>0</v>
      </c>
      <c r="M330">
        <v>0</v>
      </c>
      <c r="N330">
        <v>235</v>
      </c>
      <c r="O330">
        <v>188</v>
      </c>
      <c r="P330">
        <v>335</v>
      </c>
      <c r="S330">
        <v>286</v>
      </c>
      <c r="T330">
        <v>906.59999999999945</v>
      </c>
      <c r="U330">
        <v>977.82499999999891</v>
      </c>
      <c r="V330">
        <v>906.59999999999945</v>
      </c>
      <c r="W330">
        <v>2291.1999999999994</v>
      </c>
      <c r="X330">
        <v>2201.5749999999994</v>
      </c>
      <c r="Y330">
        <v>2461.1999999999998</v>
      </c>
    </row>
    <row r="331" spans="1:25" x14ac:dyDescent="0.35">
      <c r="A331">
        <v>287</v>
      </c>
      <c r="B331">
        <v>906.59999999999945</v>
      </c>
      <c r="C331">
        <v>945.44999999999982</v>
      </c>
      <c r="D331">
        <v>906.59999999999945</v>
      </c>
      <c r="E331">
        <v>-1087.6000000000004</v>
      </c>
      <c r="F331">
        <v>-226.42500000000018</v>
      </c>
      <c r="G331">
        <v>-2136.5500000000002</v>
      </c>
      <c r="J331">
        <v>287</v>
      </c>
      <c r="K331">
        <v>0</v>
      </c>
      <c r="L331">
        <v>0</v>
      </c>
      <c r="M331">
        <v>0</v>
      </c>
      <c r="N331">
        <v>237</v>
      </c>
      <c r="O331">
        <v>185</v>
      </c>
      <c r="P331">
        <v>324</v>
      </c>
      <c r="S331">
        <v>287</v>
      </c>
      <c r="T331">
        <v>906.59999999999945</v>
      </c>
      <c r="U331">
        <v>945.44999999999982</v>
      </c>
      <c r="V331">
        <v>906.60000000000036</v>
      </c>
      <c r="W331">
        <v>2213.1999999999998</v>
      </c>
      <c r="X331">
        <v>2215.9499999999994</v>
      </c>
      <c r="Y331">
        <v>1921.5991375604308</v>
      </c>
    </row>
    <row r="332" spans="1:25" x14ac:dyDescent="0.35">
      <c r="A332">
        <v>288</v>
      </c>
      <c r="B332">
        <v>906.59999999999945</v>
      </c>
      <c r="C332">
        <v>951.92499999999927</v>
      </c>
      <c r="D332">
        <v>906.59999999999945</v>
      </c>
      <c r="E332">
        <v>-1178.25</v>
      </c>
      <c r="F332">
        <v>-310.60000000000036</v>
      </c>
      <c r="G332">
        <v>-2149.5</v>
      </c>
      <c r="J332">
        <v>288</v>
      </c>
      <c r="K332">
        <v>0</v>
      </c>
      <c r="L332">
        <v>0</v>
      </c>
      <c r="M332">
        <v>0</v>
      </c>
      <c r="N332">
        <v>233</v>
      </c>
      <c r="O332">
        <v>192</v>
      </c>
      <c r="P332">
        <v>314</v>
      </c>
      <c r="S332">
        <v>288</v>
      </c>
      <c r="T332">
        <v>906.59999999999945</v>
      </c>
      <c r="U332">
        <v>926.02499999999964</v>
      </c>
      <c r="V332">
        <v>906.59999999999945</v>
      </c>
      <c r="W332">
        <v>383.70651484615269</v>
      </c>
      <c r="X332">
        <v>849.33919811271016</v>
      </c>
      <c r="Y332">
        <v>581.53156828539022</v>
      </c>
    </row>
    <row r="333" spans="1:25" x14ac:dyDescent="0.35">
      <c r="A333">
        <v>289</v>
      </c>
      <c r="B333">
        <v>906.59999999999945</v>
      </c>
      <c r="C333">
        <v>945.44999999999982</v>
      </c>
      <c r="D333">
        <v>906.59999999999945</v>
      </c>
      <c r="E333">
        <v>-815.65000000000055</v>
      </c>
      <c r="F333">
        <v>-355.92500000000109</v>
      </c>
      <c r="G333">
        <v>-2356.6999999999998</v>
      </c>
      <c r="J333">
        <v>289</v>
      </c>
      <c r="K333">
        <v>0</v>
      </c>
      <c r="L333">
        <v>0</v>
      </c>
      <c r="M333">
        <v>0</v>
      </c>
      <c r="N333">
        <v>232</v>
      </c>
      <c r="O333">
        <v>186</v>
      </c>
      <c r="P333">
        <v>326</v>
      </c>
      <c r="S333">
        <v>289</v>
      </c>
      <c r="T333">
        <v>906.59999999999945</v>
      </c>
      <c r="U333">
        <v>990.77499999999964</v>
      </c>
      <c r="V333">
        <v>906.59999999999945</v>
      </c>
      <c r="W333">
        <v>2253.1999999999998</v>
      </c>
      <c r="X333">
        <v>2166.9999999999991</v>
      </c>
      <c r="Y333">
        <v>2455.1999999999998</v>
      </c>
    </row>
    <row r="334" spans="1:25" x14ac:dyDescent="0.35">
      <c r="A334">
        <v>290</v>
      </c>
      <c r="B334">
        <v>906.59999999999945</v>
      </c>
      <c r="C334">
        <v>977.82499999999982</v>
      </c>
      <c r="D334">
        <v>906.59999999999945</v>
      </c>
      <c r="E334">
        <v>-828.60000000000036</v>
      </c>
      <c r="F334">
        <v>-478.95000000000073</v>
      </c>
      <c r="G334">
        <v>-2149.5</v>
      </c>
      <c r="J334">
        <v>290</v>
      </c>
      <c r="K334">
        <v>0</v>
      </c>
      <c r="L334">
        <v>0</v>
      </c>
      <c r="M334">
        <v>0</v>
      </c>
      <c r="N334">
        <v>235</v>
      </c>
      <c r="O334">
        <v>179</v>
      </c>
      <c r="P334">
        <v>313</v>
      </c>
      <c r="S334">
        <v>290</v>
      </c>
      <c r="T334">
        <v>906.59999999999945</v>
      </c>
      <c r="U334">
        <v>964.875</v>
      </c>
      <c r="V334">
        <v>906.59999999999945</v>
      </c>
      <c r="W334">
        <v>2241.1999999999994</v>
      </c>
      <c r="X334">
        <v>2257.9499999999998</v>
      </c>
      <c r="Y334">
        <v>1470.3632389214595</v>
      </c>
    </row>
    <row r="335" spans="1:25" x14ac:dyDescent="0.35">
      <c r="A335">
        <v>291</v>
      </c>
      <c r="B335">
        <v>906.59999999999945</v>
      </c>
      <c r="C335">
        <v>984.29999999999927</v>
      </c>
      <c r="D335">
        <v>906.59999999999945</v>
      </c>
      <c r="E335">
        <v>-1087.6000000000004</v>
      </c>
      <c r="F335">
        <v>-608.45000000000073</v>
      </c>
      <c r="G335">
        <v>-2473.25</v>
      </c>
      <c r="J335">
        <v>291</v>
      </c>
      <c r="K335">
        <v>0</v>
      </c>
      <c r="L335">
        <v>0</v>
      </c>
      <c r="M335">
        <v>0</v>
      </c>
      <c r="N335">
        <v>213</v>
      </c>
      <c r="O335">
        <v>164</v>
      </c>
      <c r="P335">
        <v>319</v>
      </c>
      <c r="S335">
        <v>291</v>
      </c>
      <c r="T335">
        <v>906.59999999999945</v>
      </c>
      <c r="U335">
        <v>984.29999999999927</v>
      </c>
      <c r="V335">
        <v>906.59999999999945</v>
      </c>
      <c r="W335">
        <v>2305.1999999999998</v>
      </c>
      <c r="X335">
        <v>2259.3749999999991</v>
      </c>
      <c r="Y335">
        <v>-943.78375544892674</v>
      </c>
    </row>
    <row r="336" spans="1:25" x14ac:dyDescent="0.35">
      <c r="A336">
        <v>292</v>
      </c>
      <c r="B336">
        <v>906.59999999999945</v>
      </c>
      <c r="C336">
        <v>977.82499999999982</v>
      </c>
      <c r="D336">
        <v>906.59999999999945</v>
      </c>
      <c r="E336">
        <v>-802.70000000000073</v>
      </c>
      <c r="F336">
        <v>-466</v>
      </c>
      <c r="G336">
        <v>-2499.1500000000005</v>
      </c>
      <c r="J336">
        <v>292</v>
      </c>
      <c r="K336">
        <v>0</v>
      </c>
      <c r="L336">
        <v>0</v>
      </c>
      <c r="M336">
        <v>0</v>
      </c>
      <c r="N336">
        <v>211</v>
      </c>
      <c r="O336">
        <v>171</v>
      </c>
      <c r="P336">
        <v>338</v>
      </c>
      <c r="S336">
        <v>292</v>
      </c>
      <c r="T336">
        <v>906.59999999999945</v>
      </c>
      <c r="U336">
        <v>971.35000000000036</v>
      </c>
      <c r="V336">
        <v>906.60000000000036</v>
      </c>
      <c r="W336">
        <v>2271.1999999999994</v>
      </c>
      <c r="X336">
        <v>2231.9499999999994</v>
      </c>
      <c r="Y336">
        <v>-92.634800252120385</v>
      </c>
    </row>
    <row r="337" spans="1:25" x14ac:dyDescent="0.35">
      <c r="A337">
        <v>293</v>
      </c>
      <c r="B337">
        <v>906.59999999999945</v>
      </c>
      <c r="C337">
        <v>932.49999999999909</v>
      </c>
      <c r="D337">
        <v>906.60000000000036</v>
      </c>
      <c r="E337">
        <v>-854.5</v>
      </c>
      <c r="F337">
        <v>-427.15000000000055</v>
      </c>
      <c r="G337">
        <v>-1877.5500000000002</v>
      </c>
      <c r="J337">
        <v>293</v>
      </c>
      <c r="K337">
        <v>0</v>
      </c>
      <c r="L337">
        <v>0</v>
      </c>
      <c r="M337">
        <v>0</v>
      </c>
      <c r="N337">
        <v>238</v>
      </c>
      <c r="O337">
        <v>186</v>
      </c>
      <c r="P337">
        <v>321</v>
      </c>
      <c r="S337">
        <v>293</v>
      </c>
      <c r="T337">
        <v>906.59999999999945</v>
      </c>
      <c r="U337">
        <v>997.24999999999909</v>
      </c>
      <c r="V337">
        <v>906.59999999999945</v>
      </c>
      <c r="W337">
        <v>805.54830588415416</v>
      </c>
      <c r="X337">
        <v>2161.2220063169839</v>
      </c>
      <c r="Y337">
        <v>2485.1999999999998</v>
      </c>
    </row>
    <row r="338" spans="1:25" x14ac:dyDescent="0.35">
      <c r="A338">
        <v>294</v>
      </c>
      <c r="B338">
        <v>906.59999999999945</v>
      </c>
      <c r="C338">
        <v>984.29999999999927</v>
      </c>
      <c r="D338">
        <v>906.60000000000036</v>
      </c>
      <c r="E338">
        <v>-1204.1500000000005</v>
      </c>
      <c r="F338">
        <v>-232.90000000000055</v>
      </c>
      <c r="G338">
        <v>-2460.3000000000002</v>
      </c>
      <c r="J338">
        <v>294</v>
      </c>
      <c r="K338">
        <v>0</v>
      </c>
      <c r="L338">
        <v>0</v>
      </c>
      <c r="M338">
        <v>0</v>
      </c>
      <c r="N338">
        <v>207</v>
      </c>
      <c r="O338">
        <v>195</v>
      </c>
      <c r="P338">
        <v>327</v>
      </c>
      <c r="S338">
        <v>294</v>
      </c>
      <c r="T338">
        <v>906.59999999999945</v>
      </c>
      <c r="U338">
        <v>990.77499999999873</v>
      </c>
      <c r="V338">
        <v>906.60000000000036</v>
      </c>
      <c r="W338">
        <v>2135.8806976232681</v>
      </c>
      <c r="X338">
        <v>2259.85</v>
      </c>
      <c r="Y338">
        <v>-293.43200390096308</v>
      </c>
    </row>
    <row r="339" spans="1:25" x14ac:dyDescent="0.35">
      <c r="A339">
        <v>295</v>
      </c>
      <c r="B339">
        <v>906.59999999999945</v>
      </c>
      <c r="C339">
        <v>990.77499999999964</v>
      </c>
      <c r="D339">
        <v>906.60000000000036</v>
      </c>
      <c r="E339">
        <v>-1191.2000000000007</v>
      </c>
      <c r="F339">
        <v>-427.15000000000055</v>
      </c>
      <c r="G339">
        <v>-2576.8500000000004</v>
      </c>
      <c r="J339">
        <v>295</v>
      </c>
      <c r="K339">
        <v>0</v>
      </c>
      <c r="L339">
        <v>0</v>
      </c>
      <c r="M339">
        <v>0</v>
      </c>
      <c r="N339">
        <v>202</v>
      </c>
      <c r="O339">
        <v>183</v>
      </c>
      <c r="P339">
        <v>327</v>
      </c>
      <c r="S339">
        <v>295</v>
      </c>
      <c r="T339">
        <v>906.59999999999945</v>
      </c>
      <c r="U339">
        <v>990.77499999999964</v>
      </c>
      <c r="V339">
        <v>906.59999999999945</v>
      </c>
      <c r="W339">
        <v>118.83522131218183</v>
      </c>
      <c r="X339">
        <v>2232.5250000000001</v>
      </c>
      <c r="Y339">
        <v>2479.1999999999989</v>
      </c>
    </row>
    <row r="340" spans="1:25" x14ac:dyDescent="0.35">
      <c r="A340">
        <v>296</v>
      </c>
      <c r="B340">
        <v>906.59999999999945</v>
      </c>
      <c r="C340">
        <v>971.34999999999945</v>
      </c>
      <c r="D340">
        <v>906.60000000000036</v>
      </c>
      <c r="E340">
        <v>-1113.5</v>
      </c>
      <c r="F340">
        <v>-446.57500000000073</v>
      </c>
      <c r="G340">
        <v>-2421.4499999999998</v>
      </c>
      <c r="J340">
        <v>296</v>
      </c>
      <c r="K340">
        <v>0</v>
      </c>
      <c r="L340">
        <v>0</v>
      </c>
      <c r="M340">
        <v>0</v>
      </c>
      <c r="N340">
        <v>237</v>
      </c>
      <c r="O340">
        <v>169</v>
      </c>
      <c r="P340">
        <v>303</v>
      </c>
      <c r="S340">
        <v>296</v>
      </c>
      <c r="T340">
        <v>906.59999999999945</v>
      </c>
      <c r="U340">
        <v>977.82499999999891</v>
      </c>
      <c r="V340">
        <v>906.59999999999945</v>
      </c>
      <c r="W340">
        <v>-832.45788705200266</v>
      </c>
      <c r="X340">
        <v>-368.875</v>
      </c>
      <c r="Y340">
        <v>-668.18297015284566</v>
      </c>
    </row>
    <row r="341" spans="1:25" x14ac:dyDescent="0.35">
      <c r="A341">
        <v>297</v>
      </c>
      <c r="B341">
        <v>906.59999999999945</v>
      </c>
      <c r="C341">
        <v>958.39999999999964</v>
      </c>
      <c r="D341">
        <v>906.59999999999945</v>
      </c>
      <c r="E341">
        <v>-737.95000000000073</v>
      </c>
      <c r="F341">
        <v>-388.30000000000018</v>
      </c>
      <c r="G341">
        <v>-2447.3500000000004</v>
      </c>
      <c r="J341">
        <v>297</v>
      </c>
      <c r="K341">
        <v>0</v>
      </c>
      <c r="L341">
        <v>0</v>
      </c>
      <c r="M341">
        <v>0</v>
      </c>
      <c r="N341">
        <v>246</v>
      </c>
      <c r="O341">
        <v>183</v>
      </c>
      <c r="P341">
        <v>341</v>
      </c>
      <c r="S341">
        <v>297</v>
      </c>
      <c r="T341">
        <v>906.59999999999945</v>
      </c>
      <c r="U341">
        <v>964.875</v>
      </c>
      <c r="V341">
        <v>906.59999999999945</v>
      </c>
      <c r="W341">
        <v>2245.1999999999998</v>
      </c>
      <c r="X341">
        <v>1955.7444306079219</v>
      </c>
      <c r="Y341">
        <v>2419.1999999999989</v>
      </c>
    </row>
    <row r="342" spans="1:25" x14ac:dyDescent="0.35">
      <c r="A342">
        <v>298</v>
      </c>
      <c r="B342">
        <v>906.59999999999945</v>
      </c>
      <c r="C342">
        <v>997.24999999999909</v>
      </c>
      <c r="D342">
        <v>906.60000000000036</v>
      </c>
      <c r="E342">
        <v>-1255.9500000000007</v>
      </c>
      <c r="F342">
        <v>-446.57500000000073</v>
      </c>
      <c r="G342">
        <v>-1968.2000000000007</v>
      </c>
      <c r="J342">
        <v>298</v>
      </c>
      <c r="K342">
        <v>0</v>
      </c>
      <c r="L342">
        <v>0</v>
      </c>
      <c r="M342">
        <v>0</v>
      </c>
      <c r="N342">
        <v>232</v>
      </c>
      <c r="O342">
        <v>174</v>
      </c>
      <c r="P342">
        <v>322</v>
      </c>
      <c r="S342">
        <v>298</v>
      </c>
      <c r="T342">
        <v>906.59999999999945</v>
      </c>
      <c r="U342">
        <v>984.30000000000018</v>
      </c>
      <c r="V342">
        <v>906.59999999999945</v>
      </c>
      <c r="W342">
        <v>2269.1999999999994</v>
      </c>
      <c r="X342">
        <v>2291.3749999999991</v>
      </c>
      <c r="Y342">
        <v>2404.3946870399604</v>
      </c>
    </row>
    <row r="343" spans="1:25" x14ac:dyDescent="0.35">
      <c r="A343">
        <v>299</v>
      </c>
      <c r="B343">
        <v>906.59999999999945</v>
      </c>
      <c r="C343">
        <v>977.82499999999891</v>
      </c>
      <c r="D343">
        <v>906.60000000000036</v>
      </c>
      <c r="E343">
        <v>-1424.3000000000002</v>
      </c>
      <c r="F343">
        <v>-550.17500000000018</v>
      </c>
      <c r="G343">
        <v>-2395.5500000000002</v>
      </c>
      <c r="J343">
        <v>299</v>
      </c>
      <c r="K343">
        <v>0</v>
      </c>
      <c r="L343">
        <v>0</v>
      </c>
      <c r="M343">
        <v>0</v>
      </c>
      <c r="N343">
        <v>221</v>
      </c>
      <c r="O343">
        <v>187</v>
      </c>
      <c r="P343">
        <v>320</v>
      </c>
      <c r="S343">
        <v>299</v>
      </c>
      <c r="T343">
        <v>906.59999999999945</v>
      </c>
      <c r="U343">
        <v>945.44999999999982</v>
      </c>
      <c r="V343">
        <v>906.59999999999945</v>
      </c>
      <c r="W343">
        <v>2237.1999999999989</v>
      </c>
      <c r="X343">
        <v>854.81929476693722</v>
      </c>
      <c r="Y343">
        <v>289.16456574138874</v>
      </c>
    </row>
    <row r="344" spans="1:25" x14ac:dyDescent="0.35">
      <c r="A344">
        <v>300</v>
      </c>
      <c r="B344">
        <v>906.59999999999945</v>
      </c>
      <c r="C344">
        <v>1003.7249999999995</v>
      </c>
      <c r="D344">
        <v>906.60000000000036</v>
      </c>
      <c r="E344">
        <v>-1074.6500000000005</v>
      </c>
      <c r="F344">
        <v>-466</v>
      </c>
      <c r="G344">
        <v>-2628.6500000000005</v>
      </c>
      <c r="J344">
        <v>300</v>
      </c>
      <c r="K344">
        <v>0</v>
      </c>
      <c r="L344">
        <v>0</v>
      </c>
      <c r="M344">
        <v>0</v>
      </c>
      <c r="N344">
        <v>225</v>
      </c>
      <c r="O344">
        <v>179</v>
      </c>
      <c r="P344">
        <v>329</v>
      </c>
      <c r="S344">
        <v>300</v>
      </c>
      <c r="T344">
        <v>906.59999999999945</v>
      </c>
      <c r="U344">
        <v>964.87499999999909</v>
      </c>
      <c r="V344">
        <v>919.55000000000018</v>
      </c>
      <c r="W344">
        <v>2265.1999999999998</v>
      </c>
      <c r="X344">
        <v>933.02202786531188</v>
      </c>
      <c r="Y344">
        <v>-187.69008954038873</v>
      </c>
    </row>
    <row r="345" spans="1:25" x14ac:dyDescent="0.35">
      <c r="A345">
        <v>301</v>
      </c>
      <c r="B345">
        <v>906.59999999999945</v>
      </c>
      <c r="C345">
        <v>971.34999999999945</v>
      </c>
      <c r="D345">
        <v>906.59999999999945</v>
      </c>
      <c r="E345">
        <v>-1437.25</v>
      </c>
      <c r="F345">
        <v>-582.55000000000018</v>
      </c>
      <c r="G345">
        <v>-2408.5</v>
      </c>
      <c r="J345">
        <v>301</v>
      </c>
      <c r="K345">
        <v>0</v>
      </c>
      <c r="L345">
        <v>0</v>
      </c>
      <c r="M345">
        <v>0</v>
      </c>
      <c r="N345">
        <v>213</v>
      </c>
      <c r="O345">
        <v>194</v>
      </c>
      <c r="P345">
        <v>336</v>
      </c>
      <c r="S345">
        <v>301</v>
      </c>
      <c r="T345">
        <v>906.59999999999945</v>
      </c>
      <c r="U345">
        <v>958.39999999999964</v>
      </c>
      <c r="V345">
        <v>906.59999999999945</v>
      </c>
      <c r="W345">
        <v>1985.2969767174645</v>
      </c>
      <c r="X345">
        <v>2309.3749999999991</v>
      </c>
      <c r="Y345">
        <v>2437.1999999999989</v>
      </c>
    </row>
    <row r="346" spans="1:25" x14ac:dyDescent="0.35">
      <c r="A346">
        <v>302</v>
      </c>
      <c r="B346">
        <v>906.59999999999945</v>
      </c>
      <c r="C346">
        <v>990.77499999999964</v>
      </c>
      <c r="D346">
        <v>906.60000000000036</v>
      </c>
      <c r="E346">
        <v>-1139.4000000000005</v>
      </c>
      <c r="F346">
        <v>-485.42500000000018</v>
      </c>
      <c r="G346">
        <v>-2576.8500000000004</v>
      </c>
      <c r="J346">
        <v>302</v>
      </c>
      <c r="K346">
        <v>0</v>
      </c>
      <c r="L346">
        <v>0</v>
      </c>
      <c r="M346">
        <v>0</v>
      </c>
      <c r="N346">
        <v>214</v>
      </c>
      <c r="O346">
        <v>171</v>
      </c>
      <c r="P346">
        <v>331</v>
      </c>
      <c r="S346">
        <v>302</v>
      </c>
      <c r="T346">
        <v>906.59999999999945</v>
      </c>
      <c r="U346">
        <v>951.92499999999927</v>
      </c>
      <c r="V346">
        <v>906.59999999999945</v>
      </c>
      <c r="W346">
        <v>2261.1999999999994</v>
      </c>
      <c r="X346">
        <v>2295.8499999999995</v>
      </c>
      <c r="Y346">
        <v>2467.1999999999998</v>
      </c>
    </row>
    <row r="347" spans="1:25" x14ac:dyDescent="0.35">
      <c r="A347">
        <v>303</v>
      </c>
      <c r="B347">
        <v>906.59999999999945</v>
      </c>
      <c r="C347">
        <v>997.25</v>
      </c>
      <c r="D347">
        <v>906.59999999999945</v>
      </c>
      <c r="E347">
        <v>-1035.8000000000002</v>
      </c>
      <c r="F347">
        <v>-498.375</v>
      </c>
      <c r="G347">
        <v>-2382.6000000000004</v>
      </c>
      <c r="J347">
        <v>303</v>
      </c>
      <c r="K347">
        <v>0</v>
      </c>
      <c r="L347">
        <v>0</v>
      </c>
      <c r="M347">
        <v>0</v>
      </c>
      <c r="N347">
        <v>215</v>
      </c>
      <c r="O347">
        <v>187</v>
      </c>
      <c r="P347">
        <v>316</v>
      </c>
      <c r="S347">
        <v>303</v>
      </c>
      <c r="T347">
        <v>906.59999999999945</v>
      </c>
      <c r="U347">
        <v>958.39999999999964</v>
      </c>
      <c r="V347">
        <v>906.60000000000036</v>
      </c>
      <c r="W347">
        <v>2295.1999999999998</v>
      </c>
      <c r="X347">
        <v>21.080108155795301</v>
      </c>
      <c r="Y347">
        <v>2373.1669127231917</v>
      </c>
    </row>
    <row r="348" spans="1:25" x14ac:dyDescent="0.35">
      <c r="A348">
        <v>304</v>
      </c>
      <c r="B348">
        <v>906.59999999999945</v>
      </c>
      <c r="C348">
        <v>971.34999999999945</v>
      </c>
      <c r="D348">
        <v>906.59999999999945</v>
      </c>
      <c r="E348">
        <v>-945.15000000000055</v>
      </c>
      <c r="F348">
        <v>-349.45000000000073</v>
      </c>
      <c r="G348">
        <v>-2304.9000000000005</v>
      </c>
      <c r="J348">
        <v>304</v>
      </c>
      <c r="K348">
        <v>0</v>
      </c>
      <c r="L348">
        <v>0</v>
      </c>
      <c r="M348">
        <v>0</v>
      </c>
      <c r="N348">
        <v>216</v>
      </c>
      <c r="O348">
        <v>190</v>
      </c>
      <c r="P348">
        <v>312</v>
      </c>
      <c r="S348">
        <v>304</v>
      </c>
      <c r="T348">
        <v>906.59999999999945</v>
      </c>
      <c r="U348">
        <v>990.77499999999873</v>
      </c>
      <c r="V348">
        <v>906.60000000000036</v>
      </c>
      <c r="W348">
        <v>1248.6581775123318</v>
      </c>
      <c r="X348">
        <v>-407.72500000000036</v>
      </c>
      <c r="Y348">
        <v>669.32656639361676</v>
      </c>
    </row>
    <row r="349" spans="1:25" x14ac:dyDescent="0.35">
      <c r="A349">
        <v>305</v>
      </c>
      <c r="B349">
        <v>906.59999999999945</v>
      </c>
      <c r="C349">
        <v>1010.1999999999989</v>
      </c>
      <c r="D349">
        <v>906.59999999999945</v>
      </c>
      <c r="E349">
        <v>-945.15000000000055</v>
      </c>
      <c r="F349">
        <v>-317.07500000000073</v>
      </c>
      <c r="G349">
        <v>-2071.8000000000002</v>
      </c>
      <c r="J349">
        <v>305</v>
      </c>
      <c r="K349">
        <v>0</v>
      </c>
      <c r="L349">
        <v>0</v>
      </c>
      <c r="M349">
        <v>0</v>
      </c>
      <c r="N349">
        <v>223</v>
      </c>
      <c r="O349">
        <v>181</v>
      </c>
      <c r="P349">
        <v>328</v>
      </c>
      <c r="S349">
        <v>305</v>
      </c>
      <c r="T349">
        <v>906.59999999999945</v>
      </c>
      <c r="U349">
        <v>977.82499999999891</v>
      </c>
      <c r="V349">
        <v>906.60000000000036</v>
      </c>
      <c r="W349">
        <v>2253.1999999999998</v>
      </c>
      <c r="X349">
        <v>2250.8999999999996</v>
      </c>
      <c r="Y349">
        <v>2477.1999999999998</v>
      </c>
    </row>
    <row r="350" spans="1:25" x14ac:dyDescent="0.35">
      <c r="A350">
        <v>306</v>
      </c>
      <c r="B350">
        <v>906.59999999999945</v>
      </c>
      <c r="C350">
        <v>997.24999999999909</v>
      </c>
      <c r="D350">
        <v>906.60000000000036</v>
      </c>
      <c r="E350">
        <v>-880.40000000000055</v>
      </c>
      <c r="F350">
        <v>-388.30000000000018</v>
      </c>
      <c r="G350">
        <v>-2123.6000000000004</v>
      </c>
      <c r="J350">
        <v>306</v>
      </c>
      <c r="K350">
        <v>0</v>
      </c>
      <c r="L350">
        <v>0</v>
      </c>
      <c r="M350">
        <v>0</v>
      </c>
      <c r="N350">
        <v>242</v>
      </c>
      <c r="O350">
        <v>180</v>
      </c>
      <c r="P350">
        <v>318</v>
      </c>
      <c r="S350">
        <v>306</v>
      </c>
      <c r="T350">
        <v>906.59999999999945</v>
      </c>
      <c r="U350">
        <v>932.5</v>
      </c>
      <c r="V350">
        <v>906.60000000000036</v>
      </c>
      <c r="W350">
        <v>1272.8673253447719</v>
      </c>
      <c r="X350">
        <v>2317.2749999999996</v>
      </c>
      <c r="Y350">
        <v>2148.9917941293897</v>
      </c>
    </row>
    <row r="351" spans="1:25" x14ac:dyDescent="0.35">
      <c r="A351">
        <v>307</v>
      </c>
      <c r="B351">
        <v>906.59999999999945</v>
      </c>
      <c r="C351">
        <v>977.82499999999891</v>
      </c>
      <c r="D351">
        <v>906.59999999999945</v>
      </c>
      <c r="E351">
        <v>-1087.6000000000004</v>
      </c>
      <c r="F351">
        <v>-420.67500000000018</v>
      </c>
      <c r="G351">
        <v>-2279</v>
      </c>
      <c r="J351">
        <v>307</v>
      </c>
      <c r="K351">
        <v>0</v>
      </c>
      <c r="L351">
        <v>0</v>
      </c>
      <c r="M351">
        <v>0</v>
      </c>
      <c r="N351">
        <v>221</v>
      </c>
      <c r="O351">
        <v>155</v>
      </c>
      <c r="P351">
        <v>288</v>
      </c>
      <c r="S351">
        <v>307</v>
      </c>
      <c r="T351">
        <v>906.59999999999945</v>
      </c>
      <c r="U351">
        <v>971.34999999999945</v>
      </c>
      <c r="V351">
        <v>906.59999999999945</v>
      </c>
      <c r="W351">
        <v>2267.1999999999989</v>
      </c>
      <c r="X351">
        <v>2248.8999999999992</v>
      </c>
      <c r="Y351">
        <v>834.61358753454806</v>
      </c>
    </row>
    <row r="352" spans="1:25" x14ac:dyDescent="0.35">
      <c r="A352">
        <v>308</v>
      </c>
      <c r="B352">
        <v>906.59999999999945</v>
      </c>
      <c r="C352">
        <v>990.77499999999964</v>
      </c>
      <c r="D352">
        <v>906.59999999999945</v>
      </c>
      <c r="E352">
        <v>-1450.2000000000007</v>
      </c>
      <c r="F352">
        <v>-556.65000000000055</v>
      </c>
      <c r="G352">
        <v>-2084.75</v>
      </c>
      <c r="J352">
        <v>308</v>
      </c>
      <c r="K352">
        <v>0</v>
      </c>
      <c r="L352">
        <v>0</v>
      </c>
      <c r="M352">
        <v>0</v>
      </c>
      <c r="N352">
        <v>222</v>
      </c>
      <c r="O352">
        <v>171</v>
      </c>
      <c r="P352">
        <v>285</v>
      </c>
      <c r="S352">
        <v>308</v>
      </c>
      <c r="T352">
        <v>906.59999999999945</v>
      </c>
      <c r="U352">
        <v>977.82499999999891</v>
      </c>
      <c r="V352">
        <v>919.54999999999927</v>
      </c>
      <c r="W352">
        <v>2327.1999999999989</v>
      </c>
      <c r="X352">
        <v>2287.2750000000001</v>
      </c>
      <c r="Y352">
        <v>907.12173649410306</v>
      </c>
    </row>
    <row r="353" spans="1:25" x14ac:dyDescent="0.35">
      <c r="A353">
        <v>309</v>
      </c>
      <c r="B353">
        <v>906.59999999999945</v>
      </c>
      <c r="C353">
        <v>945.44999999999982</v>
      </c>
      <c r="D353">
        <v>919.55000000000018</v>
      </c>
      <c r="E353">
        <v>-841.55000000000018</v>
      </c>
      <c r="F353">
        <v>-291.17500000000109</v>
      </c>
      <c r="G353">
        <v>-2214.25</v>
      </c>
      <c r="J353">
        <v>309</v>
      </c>
      <c r="K353">
        <v>0</v>
      </c>
      <c r="L353">
        <v>0</v>
      </c>
      <c r="M353">
        <v>0</v>
      </c>
      <c r="N353">
        <v>226</v>
      </c>
      <c r="O353">
        <v>186</v>
      </c>
      <c r="P353">
        <v>331</v>
      </c>
      <c r="S353">
        <v>309</v>
      </c>
      <c r="T353">
        <v>906.59999999999945</v>
      </c>
      <c r="U353">
        <v>1016.6749999999993</v>
      </c>
      <c r="V353">
        <v>906.59999999999945</v>
      </c>
      <c r="W353">
        <v>2245.1999999999998</v>
      </c>
      <c r="X353">
        <v>2263.3749999999995</v>
      </c>
      <c r="Y353">
        <v>51.587135061529807</v>
      </c>
    </row>
    <row r="354" spans="1:25" x14ac:dyDescent="0.35">
      <c r="A354">
        <v>310</v>
      </c>
      <c r="B354">
        <v>906.59999999999945</v>
      </c>
      <c r="C354">
        <v>977.82499999999982</v>
      </c>
      <c r="D354">
        <v>906.59999999999945</v>
      </c>
      <c r="E354">
        <v>-1022.8500000000004</v>
      </c>
      <c r="F354">
        <v>-336.5</v>
      </c>
      <c r="G354">
        <v>-2486.1999999999998</v>
      </c>
      <c r="J354">
        <v>310</v>
      </c>
      <c r="K354">
        <v>0</v>
      </c>
      <c r="L354">
        <v>0</v>
      </c>
      <c r="M354">
        <v>0</v>
      </c>
      <c r="N354">
        <v>225</v>
      </c>
      <c r="O354">
        <v>180</v>
      </c>
      <c r="P354">
        <v>344</v>
      </c>
      <c r="S354">
        <v>310</v>
      </c>
      <c r="T354">
        <v>906.59999999999945</v>
      </c>
      <c r="U354">
        <v>951.92499999999927</v>
      </c>
      <c r="V354">
        <v>906.60000000000036</v>
      </c>
      <c r="W354">
        <v>2205.1999999999998</v>
      </c>
      <c r="X354">
        <v>2235.474999999999</v>
      </c>
      <c r="Y354">
        <v>160.50753032333887</v>
      </c>
    </row>
    <row r="355" spans="1:25" x14ac:dyDescent="0.35">
      <c r="A355">
        <v>311</v>
      </c>
      <c r="B355">
        <v>906.59999999999945</v>
      </c>
      <c r="C355">
        <v>964.875</v>
      </c>
      <c r="D355">
        <v>906.60000000000036</v>
      </c>
      <c r="E355">
        <v>-958.10000000000036</v>
      </c>
      <c r="F355">
        <v>-634.35000000000036</v>
      </c>
      <c r="G355">
        <v>-2201.3000000000002</v>
      </c>
      <c r="J355">
        <v>311</v>
      </c>
      <c r="K355">
        <v>0</v>
      </c>
      <c r="L355">
        <v>0</v>
      </c>
      <c r="M355">
        <v>0</v>
      </c>
      <c r="N355">
        <v>234</v>
      </c>
      <c r="O355">
        <v>178</v>
      </c>
      <c r="P355">
        <v>311</v>
      </c>
      <c r="S355">
        <v>311</v>
      </c>
      <c r="T355">
        <v>906.59999999999945</v>
      </c>
      <c r="U355">
        <v>977.82499999999891</v>
      </c>
      <c r="V355">
        <v>906.59999999999945</v>
      </c>
      <c r="W355">
        <v>2257.1999999999989</v>
      </c>
      <c r="X355">
        <v>2249.3749999999991</v>
      </c>
      <c r="Y355">
        <v>1211.8839558470554</v>
      </c>
    </row>
    <row r="356" spans="1:25" x14ac:dyDescent="0.35">
      <c r="A356">
        <v>312</v>
      </c>
      <c r="B356">
        <v>906.59999999999945</v>
      </c>
      <c r="C356">
        <v>977.82499999999982</v>
      </c>
      <c r="D356">
        <v>906.59999999999945</v>
      </c>
      <c r="E356">
        <v>-1152.3500000000004</v>
      </c>
      <c r="F356">
        <v>-517.80000000000109</v>
      </c>
      <c r="G356">
        <v>-2084.75</v>
      </c>
      <c r="J356">
        <v>312</v>
      </c>
      <c r="K356">
        <v>0</v>
      </c>
      <c r="L356">
        <v>0</v>
      </c>
      <c r="M356">
        <v>0</v>
      </c>
      <c r="N356">
        <v>212</v>
      </c>
      <c r="O356">
        <v>170</v>
      </c>
      <c r="P356">
        <v>322</v>
      </c>
      <c r="S356">
        <v>312</v>
      </c>
      <c r="T356">
        <v>906.59999999999945</v>
      </c>
      <c r="U356">
        <v>971.34999999999945</v>
      </c>
      <c r="V356">
        <v>906.59999999999945</v>
      </c>
      <c r="W356">
        <v>-1068.9178980268193</v>
      </c>
      <c r="X356">
        <v>2215.474999999999</v>
      </c>
      <c r="Y356">
        <v>-524.08412917358964</v>
      </c>
    </row>
    <row r="357" spans="1:25" x14ac:dyDescent="0.35">
      <c r="A357">
        <v>313</v>
      </c>
      <c r="B357">
        <v>906.59999999999945</v>
      </c>
      <c r="C357">
        <v>1016.6750000000002</v>
      </c>
      <c r="D357">
        <v>906.60000000000036</v>
      </c>
      <c r="E357">
        <v>-958.10000000000036</v>
      </c>
      <c r="F357">
        <v>-627.875</v>
      </c>
      <c r="G357">
        <v>-2330.8000000000002</v>
      </c>
      <c r="J357">
        <v>313</v>
      </c>
      <c r="K357">
        <v>0</v>
      </c>
      <c r="L357">
        <v>0</v>
      </c>
      <c r="M357">
        <v>0</v>
      </c>
      <c r="N357">
        <v>222</v>
      </c>
      <c r="O357">
        <v>187</v>
      </c>
      <c r="P357">
        <v>339</v>
      </c>
      <c r="S357">
        <v>313</v>
      </c>
      <c r="T357">
        <v>906.59999999999945</v>
      </c>
      <c r="U357">
        <v>971.35000000000036</v>
      </c>
      <c r="V357">
        <v>906.60000000000036</v>
      </c>
      <c r="W357">
        <v>2249.1999999999994</v>
      </c>
      <c r="X357">
        <v>2270.8999999999996</v>
      </c>
      <c r="Y357">
        <v>2435.1999999999998</v>
      </c>
    </row>
    <row r="358" spans="1:25" x14ac:dyDescent="0.35">
      <c r="A358">
        <v>314</v>
      </c>
      <c r="B358">
        <v>906.59999999999945</v>
      </c>
      <c r="C358">
        <v>1010.1999999999998</v>
      </c>
      <c r="D358">
        <v>906.59999999999945</v>
      </c>
      <c r="E358">
        <v>-1204.1500000000005</v>
      </c>
      <c r="F358">
        <v>-375.35000000000036</v>
      </c>
      <c r="G358">
        <v>-2291.9499999999998</v>
      </c>
      <c r="J358">
        <v>314</v>
      </c>
      <c r="K358">
        <v>0</v>
      </c>
      <c r="L358">
        <v>0</v>
      </c>
      <c r="M358">
        <v>0</v>
      </c>
      <c r="N358">
        <v>217</v>
      </c>
      <c r="O358">
        <v>170</v>
      </c>
      <c r="P358">
        <v>314</v>
      </c>
      <c r="S358">
        <v>314</v>
      </c>
      <c r="T358">
        <v>906.59999999999945</v>
      </c>
      <c r="U358">
        <v>984.29999999999927</v>
      </c>
      <c r="V358">
        <v>906.59999999999945</v>
      </c>
      <c r="W358">
        <v>2293.1999999999998</v>
      </c>
      <c r="X358">
        <v>-603.56351253994023</v>
      </c>
      <c r="Y358">
        <v>-1026.4665002890258</v>
      </c>
    </row>
    <row r="359" spans="1:25" x14ac:dyDescent="0.35">
      <c r="A359">
        <v>315</v>
      </c>
      <c r="B359">
        <v>906.59999999999945</v>
      </c>
      <c r="C359">
        <v>1003.7250000000004</v>
      </c>
      <c r="D359">
        <v>906.59999999999945</v>
      </c>
      <c r="E359">
        <v>-1074.6500000000005</v>
      </c>
      <c r="F359">
        <v>-563.125</v>
      </c>
      <c r="G359">
        <v>-2149.5</v>
      </c>
      <c r="J359">
        <v>315</v>
      </c>
      <c r="K359">
        <v>0</v>
      </c>
      <c r="L359">
        <v>0</v>
      </c>
      <c r="M359">
        <v>0</v>
      </c>
      <c r="N359">
        <v>217</v>
      </c>
      <c r="O359">
        <v>178</v>
      </c>
      <c r="P359">
        <v>321</v>
      </c>
      <c r="S359">
        <v>315</v>
      </c>
      <c r="T359">
        <v>906.59999999999945</v>
      </c>
      <c r="U359">
        <v>971.34999999999945</v>
      </c>
      <c r="V359">
        <v>906.59999999999945</v>
      </c>
      <c r="W359">
        <v>1291.3556989492449</v>
      </c>
      <c r="X359">
        <v>2292.7999999999988</v>
      </c>
      <c r="Y359">
        <v>-2007.0500000000002</v>
      </c>
    </row>
    <row r="360" spans="1:25" x14ac:dyDescent="0.35">
      <c r="A360">
        <v>316</v>
      </c>
      <c r="B360">
        <v>906.59999999999945</v>
      </c>
      <c r="C360">
        <v>984.30000000000018</v>
      </c>
      <c r="D360">
        <v>906.59999999999945</v>
      </c>
      <c r="E360">
        <v>-906.30000000000018</v>
      </c>
      <c r="F360">
        <v>-614.92500000000018</v>
      </c>
      <c r="G360">
        <v>-2317.8500000000004</v>
      </c>
      <c r="J360">
        <v>316</v>
      </c>
      <c r="K360">
        <v>0</v>
      </c>
      <c r="L360">
        <v>0</v>
      </c>
      <c r="M360">
        <v>0</v>
      </c>
      <c r="N360">
        <v>227</v>
      </c>
      <c r="O360">
        <v>160</v>
      </c>
      <c r="P360">
        <v>322</v>
      </c>
      <c r="S360">
        <v>316</v>
      </c>
      <c r="T360">
        <v>906.59999999999945</v>
      </c>
      <c r="U360">
        <v>958.39999999999964</v>
      </c>
      <c r="V360">
        <v>906.59999999999945</v>
      </c>
      <c r="W360">
        <v>-261.88207989025648</v>
      </c>
      <c r="X360">
        <v>2312.3249999999998</v>
      </c>
      <c r="Y360">
        <v>-812.34479693255253</v>
      </c>
    </row>
    <row r="361" spans="1:25" x14ac:dyDescent="0.35">
      <c r="A361">
        <v>317</v>
      </c>
      <c r="B361">
        <v>906.59999999999945</v>
      </c>
      <c r="C361">
        <v>990.77499999999964</v>
      </c>
      <c r="D361">
        <v>906.60000000000036</v>
      </c>
      <c r="E361">
        <v>-1087.6000000000004</v>
      </c>
      <c r="F361">
        <v>-291.17500000000018</v>
      </c>
      <c r="G361">
        <v>-2253.1000000000004</v>
      </c>
      <c r="J361">
        <v>317</v>
      </c>
      <c r="K361">
        <v>0</v>
      </c>
      <c r="L361">
        <v>0</v>
      </c>
      <c r="M361">
        <v>0</v>
      </c>
      <c r="N361">
        <v>227</v>
      </c>
      <c r="O361">
        <v>173</v>
      </c>
      <c r="P361">
        <v>316</v>
      </c>
      <c r="S361">
        <v>317</v>
      </c>
      <c r="T361">
        <v>906.59999999999945</v>
      </c>
      <c r="U361">
        <v>958.39999999999964</v>
      </c>
      <c r="V361">
        <v>906.59999999999945</v>
      </c>
      <c r="W361">
        <v>2239.1999999999994</v>
      </c>
      <c r="X361">
        <v>2183.5749999999994</v>
      </c>
      <c r="Y361">
        <v>2517.1999999999998</v>
      </c>
    </row>
    <row r="362" spans="1:25" x14ac:dyDescent="0.35">
      <c r="A362">
        <v>318</v>
      </c>
      <c r="B362">
        <v>906.59999999999945</v>
      </c>
      <c r="C362">
        <v>971.34999999999945</v>
      </c>
      <c r="D362">
        <v>906.59999999999945</v>
      </c>
      <c r="E362">
        <v>-1074.6500000000005</v>
      </c>
      <c r="F362">
        <v>-589.02499999999964</v>
      </c>
      <c r="G362">
        <v>-2408.5</v>
      </c>
      <c r="J362">
        <v>318</v>
      </c>
      <c r="K362">
        <v>0</v>
      </c>
      <c r="L362">
        <v>0</v>
      </c>
      <c r="M362">
        <v>0</v>
      </c>
      <c r="N362">
        <v>205</v>
      </c>
      <c r="O362">
        <v>192</v>
      </c>
      <c r="P362">
        <v>305</v>
      </c>
      <c r="S362">
        <v>318</v>
      </c>
      <c r="T362">
        <v>906.59999999999945</v>
      </c>
      <c r="U362">
        <v>997.25</v>
      </c>
      <c r="V362">
        <v>906.60000000000036</v>
      </c>
      <c r="W362">
        <v>2279.1999999999994</v>
      </c>
      <c r="X362">
        <v>2182.9999999999995</v>
      </c>
      <c r="Y362">
        <v>2435.1999999999998</v>
      </c>
    </row>
    <row r="363" spans="1:25" x14ac:dyDescent="0.35">
      <c r="A363">
        <v>319</v>
      </c>
      <c r="B363">
        <v>906.59999999999945</v>
      </c>
      <c r="C363">
        <v>964.875</v>
      </c>
      <c r="D363">
        <v>906.59999999999945</v>
      </c>
      <c r="E363">
        <v>-1178.25</v>
      </c>
      <c r="F363">
        <v>-401.25</v>
      </c>
      <c r="G363">
        <v>-2408.5</v>
      </c>
      <c r="J363">
        <v>319</v>
      </c>
      <c r="K363">
        <v>0</v>
      </c>
      <c r="L363">
        <v>0</v>
      </c>
      <c r="M363">
        <v>0</v>
      </c>
      <c r="N363">
        <v>210</v>
      </c>
      <c r="O363">
        <v>205</v>
      </c>
      <c r="P363">
        <v>327</v>
      </c>
      <c r="S363">
        <v>319</v>
      </c>
      <c r="T363">
        <v>906.59999999999945</v>
      </c>
      <c r="U363">
        <v>984.29999999999927</v>
      </c>
      <c r="V363">
        <v>906.60000000000036</v>
      </c>
      <c r="W363">
        <v>2243.1999999999998</v>
      </c>
      <c r="X363">
        <v>1133.3458405552492</v>
      </c>
      <c r="Y363">
        <v>1940.5179746894291</v>
      </c>
    </row>
    <row r="364" spans="1:25" x14ac:dyDescent="0.35">
      <c r="A364">
        <v>320</v>
      </c>
      <c r="B364">
        <v>906.59999999999945</v>
      </c>
      <c r="C364">
        <v>977.82499999999982</v>
      </c>
      <c r="D364">
        <v>906.59999999999945</v>
      </c>
      <c r="E364">
        <v>-1074.6500000000005</v>
      </c>
      <c r="F364">
        <v>-466</v>
      </c>
      <c r="G364">
        <v>-2291.9499999999998</v>
      </c>
      <c r="J364">
        <v>320</v>
      </c>
      <c r="K364">
        <v>0</v>
      </c>
      <c r="L364">
        <v>0</v>
      </c>
      <c r="M364">
        <v>0</v>
      </c>
      <c r="N364">
        <v>234</v>
      </c>
      <c r="O364">
        <v>174</v>
      </c>
      <c r="P364">
        <v>310</v>
      </c>
      <c r="S364">
        <v>320</v>
      </c>
      <c r="T364">
        <v>906.59999999999945</v>
      </c>
      <c r="U364">
        <v>964.87499999999909</v>
      </c>
      <c r="V364">
        <v>906.59999999999945</v>
      </c>
      <c r="W364">
        <v>282.28357875790039</v>
      </c>
      <c r="X364">
        <v>2238.8999999999992</v>
      </c>
      <c r="Y364">
        <v>2451.1999999999998</v>
      </c>
    </row>
    <row r="365" spans="1:25" x14ac:dyDescent="0.35">
      <c r="A365">
        <v>321</v>
      </c>
      <c r="B365">
        <v>906.59999999999945</v>
      </c>
      <c r="C365">
        <v>990.77499999999873</v>
      </c>
      <c r="D365">
        <v>906.59999999999945</v>
      </c>
      <c r="E365">
        <v>-971.05000000000018</v>
      </c>
      <c r="F365">
        <v>-640.82500000000073</v>
      </c>
      <c r="G365">
        <v>-2020</v>
      </c>
      <c r="J365">
        <v>321</v>
      </c>
      <c r="K365">
        <v>0</v>
      </c>
      <c r="L365">
        <v>0</v>
      </c>
      <c r="M365">
        <v>0</v>
      </c>
      <c r="N365">
        <v>234</v>
      </c>
      <c r="O365">
        <v>175</v>
      </c>
      <c r="P365">
        <v>326</v>
      </c>
      <c r="S365">
        <v>321</v>
      </c>
      <c r="T365">
        <v>906.59999999999945</v>
      </c>
      <c r="U365">
        <v>1010.1999999999998</v>
      </c>
      <c r="V365">
        <v>906.60000000000036</v>
      </c>
      <c r="W365">
        <v>2311.1999999999994</v>
      </c>
      <c r="X365">
        <v>2282.3249999999998</v>
      </c>
      <c r="Y365">
        <v>2461.1999999999998</v>
      </c>
    </row>
    <row r="366" spans="1:25" x14ac:dyDescent="0.35">
      <c r="A366">
        <v>322</v>
      </c>
      <c r="B366">
        <v>906.59999999999945</v>
      </c>
      <c r="C366">
        <v>1023.1499999999996</v>
      </c>
      <c r="D366">
        <v>906.60000000000036</v>
      </c>
      <c r="E366">
        <v>-1320.7000000000007</v>
      </c>
      <c r="F366">
        <v>-401.25</v>
      </c>
      <c r="G366">
        <v>-2279</v>
      </c>
      <c r="J366">
        <v>322</v>
      </c>
      <c r="K366">
        <v>0</v>
      </c>
      <c r="L366">
        <v>0</v>
      </c>
      <c r="M366">
        <v>0</v>
      </c>
      <c r="N366">
        <v>227</v>
      </c>
      <c r="O366">
        <v>176</v>
      </c>
      <c r="P366">
        <v>325</v>
      </c>
      <c r="S366">
        <v>322</v>
      </c>
      <c r="T366">
        <v>906.59999999999945</v>
      </c>
      <c r="U366">
        <v>990.77499999999964</v>
      </c>
      <c r="V366">
        <v>919.55000000000018</v>
      </c>
      <c r="W366">
        <v>2259.1999999999994</v>
      </c>
      <c r="X366">
        <v>-517.80000000000018</v>
      </c>
      <c r="Y366">
        <v>-2550.9499999999998</v>
      </c>
    </row>
    <row r="367" spans="1:25" x14ac:dyDescent="0.35">
      <c r="A367">
        <v>323</v>
      </c>
      <c r="B367">
        <v>906.59999999999945</v>
      </c>
      <c r="C367">
        <v>958.39999999999964</v>
      </c>
      <c r="D367">
        <v>906.59999999999945</v>
      </c>
      <c r="E367">
        <v>-1191.2000000000007</v>
      </c>
      <c r="F367">
        <v>-524.27500000000055</v>
      </c>
      <c r="G367">
        <v>-2525.0500000000002</v>
      </c>
      <c r="J367">
        <v>323</v>
      </c>
      <c r="K367">
        <v>0</v>
      </c>
      <c r="L367">
        <v>0</v>
      </c>
      <c r="M367">
        <v>0</v>
      </c>
      <c r="N367">
        <v>220</v>
      </c>
      <c r="O367">
        <v>190</v>
      </c>
      <c r="P367">
        <v>313</v>
      </c>
      <c r="S367">
        <v>323</v>
      </c>
      <c r="T367">
        <v>906.59999999999945</v>
      </c>
      <c r="U367">
        <v>932.49999999999909</v>
      </c>
      <c r="V367">
        <v>906.60000000000036</v>
      </c>
      <c r="W367">
        <v>-761.13794239037315</v>
      </c>
      <c r="X367">
        <v>-88.268275238982824</v>
      </c>
      <c r="Y367">
        <v>2429.1999999999989</v>
      </c>
    </row>
    <row r="368" spans="1:25" x14ac:dyDescent="0.35">
      <c r="A368">
        <v>324</v>
      </c>
      <c r="B368">
        <v>906.59999999999945</v>
      </c>
      <c r="C368">
        <v>984.29999999999927</v>
      </c>
      <c r="D368">
        <v>906.59999999999945</v>
      </c>
      <c r="E368">
        <v>-906.30000000000018</v>
      </c>
      <c r="F368">
        <v>-595.5</v>
      </c>
      <c r="G368">
        <v>-2266.0500000000002</v>
      </c>
      <c r="J368">
        <v>324</v>
      </c>
      <c r="K368">
        <v>0</v>
      </c>
      <c r="L368">
        <v>0</v>
      </c>
      <c r="M368">
        <v>0</v>
      </c>
      <c r="N368">
        <v>211</v>
      </c>
      <c r="O368">
        <v>161</v>
      </c>
      <c r="P368">
        <v>323</v>
      </c>
      <c r="S368">
        <v>324</v>
      </c>
      <c r="T368">
        <v>906.59999999999945</v>
      </c>
      <c r="U368">
        <v>977.82499999999891</v>
      </c>
      <c r="V368">
        <v>906.60000000000036</v>
      </c>
      <c r="W368">
        <v>2241.1999999999994</v>
      </c>
      <c r="X368">
        <v>2322.3249999999998</v>
      </c>
      <c r="Y368">
        <v>2457.1999999999998</v>
      </c>
    </row>
    <row r="369" spans="1:25" x14ac:dyDescent="0.35">
      <c r="A369">
        <v>325</v>
      </c>
      <c r="B369">
        <v>906.59999999999945</v>
      </c>
      <c r="C369">
        <v>971.34999999999854</v>
      </c>
      <c r="D369">
        <v>906.59999999999945</v>
      </c>
      <c r="E369">
        <v>-841.55000000000018</v>
      </c>
      <c r="F369">
        <v>-640.82500000000073</v>
      </c>
      <c r="G369">
        <v>-2343.75</v>
      </c>
      <c r="J369">
        <v>325</v>
      </c>
      <c r="K369">
        <v>0</v>
      </c>
      <c r="L369">
        <v>0</v>
      </c>
      <c r="M369">
        <v>0</v>
      </c>
      <c r="N369">
        <v>216</v>
      </c>
      <c r="O369">
        <v>179</v>
      </c>
      <c r="P369">
        <v>327</v>
      </c>
      <c r="S369">
        <v>325</v>
      </c>
      <c r="T369">
        <v>906.59999999999945</v>
      </c>
      <c r="U369">
        <v>971.34999999999854</v>
      </c>
      <c r="V369">
        <v>906.59999999999945</v>
      </c>
      <c r="W369">
        <v>134.47785147221703</v>
      </c>
      <c r="X369">
        <v>44.578991121949969</v>
      </c>
      <c r="Y369">
        <v>2413.1999999999998</v>
      </c>
    </row>
    <row r="370" spans="1:25" x14ac:dyDescent="0.35">
      <c r="A370">
        <v>326</v>
      </c>
      <c r="B370">
        <v>906.59999999999945</v>
      </c>
      <c r="C370">
        <v>1016.6749999999993</v>
      </c>
      <c r="D370">
        <v>906.60000000000036</v>
      </c>
      <c r="E370">
        <v>-1074.6500000000005</v>
      </c>
      <c r="F370">
        <v>-342.97500000000036</v>
      </c>
      <c r="G370">
        <v>-2434.4000000000005</v>
      </c>
      <c r="J370">
        <v>326</v>
      </c>
      <c r="K370">
        <v>0</v>
      </c>
      <c r="L370">
        <v>0</v>
      </c>
      <c r="M370">
        <v>0</v>
      </c>
      <c r="N370">
        <v>236</v>
      </c>
      <c r="O370">
        <v>183</v>
      </c>
      <c r="P370">
        <v>328</v>
      </c>
      <c r="S370">
        <v>326</v>
      </c>
      <c r="T370">
        <v>906.59999999999945</v>
      </c>
      <c r="U370">
        <v>990.77499999999964</v>
      </c>
      <c r="V370">
        <v>906.59999999999945</v>
      </c>
      <c r="W370">
        <v>2261.1999999999994</v>
      </c>
      <c r="X370">
        <v>2230.4249999999988</v>
      </c>
      <c r="Y370">
        <v>677.77737034189749</v>
      </c>
    </row>
    <row r="371" spans="1:25" x14ac:dyDescent="0.35">
      <c r="A371">
        <v>327</v>
      </c>
      <c r="B371">
        <v>906.59999999999945</v>
      </c>
      <c r="C371">
        <v>990.77499999999873</v>
      </c>
      <c r="D371">
        <v>906.60000000000036</v>
      </c>
      <c r="E371">
        <v>-1165.3000000000002</v>
      </c>
      <c r="F371">
        <v>-763.85000000000036</v>
      </c>
      <c r="G371">
        <v>-2382.6000000000004</v>
      </c>
      <c r="J371">
        <v>327</v>
      </c>
      <c r="K371">
        <v>0</v>
      </c>
      <c r="L371">
        <v>0</v>
      </c>
      <c r="M371">
        <v>0</v>
      </c>
      <c r="N371">
        <v>230</v>
      </c>
      <c r="O371">
        <v>176</v>
      </c>
      <c r="P371">
        <v>321</v>
      </c>
      <c r="S371">
        <v>327</v>
      </c>
      <c r="T371">
        <v>906.59999999999945</v>
      </c>
      <c r="U371">
        <v>958.39999999999964</v>
      </c>
      <c r="V371">
        <v>906.59999999999945</v>
      </c>
      <c r="W371">
        <v>-31.754177101157666</v>
      </c>
      <c r="X371">
        <v>2237.4749999999999</v>
      </c>
      <c r="Y371">
        <v>2178.6936223597377</v>
      </c>
    </row>
    <row r="372" spans="1:25" x14ac:dyDescent="0.35">
      <c r="A372">
        <v>328</v>
      </c>
      <c r="B372">
        <v>906.59999999999945</v>
      </c>
      <c r="C372">
        <v>990.77499999999964</v>
      </c>
      <c r="D372">
        <v>906.59999999999945</v>
      </c>
      <c r="E372">
        <v>-1087.6000000000004</v>
      </c>
      <c r="F372">
        <v>-407.72500000000036</v>
      </c>
      <c r="G372">
        <v>-2279</v>
      </c>
      <c r="J372">
        <v>328</v>
      </c>
      <c r="K372">
        <v>0</v>
      </c>
      <c r="L372">
        <v>0</v>
      </c>
      <c r="M372">
        <v>0</v>
      </c>
      <c r="N372">
        <v>231</v>
      </c>
      <c r="O372">
        <v>193</v>
      </c>
      <c r="P372">
        <v>316</v>
      </c>
      <c r="S372">
        <v>328</v>
      </c>
      <c r="T372">
        <v>906.59999999999945</v>
      </c>
      <c r="U372">
        <v>990.77499999999964</v>
      </c>
      <c r="V372">
        <v>919.54999999999927</v>
      </c>
      <c r="W372">
        <v>2229.1999999999994</v>
      </c>
      <c r="X372">
        <v>2242.4249999999997</v>
      </c>
      <c r="Y372">
        <v>-1218.4731623857119</v>
      </c>
    </row>
    <row r="373" spans="1:25" x14ac:dyDescent="0.35">
      <c r="A373">
        <v>329</v>
      </c>
      <c r="B373">
        <v>906.59999999999945</v>
      </c>
      <c r="C373">
        <v>951.92499999999927</v>
      </c>
      <c r="D373">
        <v>906.59999999999945</v>
      </c>
      <c r="E373">
        <v>-1126.4500000000007</v>
      </c>
      <c r="F373">
        <v>-440.10000000000036</v>
      </c>
      <c r="G373">
        <v>-2123.6000000000004</v>
      </c>
      <c r="J373">
        <v>329</v>
      </c>
      <c r="K373">
        <v>0</v>
      </c>
      <c r="L373">
        <v>0</v>
      </c>
      <c r="M373">
        <v>0</v>
      </c>
      <c r="N373">
        <v>203</v>
      </c>
      <c r="O373">
        <v>193</v>
      </c>
      <c r="P373">
        <v>354</v>
      </c>
      <c r="S373">
        <v>329</v>
      </c>
      <c r="T373">
        <v>906.59999999999945</v>
      </c>
      <c r="U373">
        <v>1023.1499999999996</v>
      </c>
      <c r="V373">
        <v>906.60000000000036</v>
      </c>
      <c r="W373">
        <v>2243.1999999999998</v>
      </c>
      <c r="X373">
        <v>2234.5249999999992</v>
      </c>
      <c r="Y373">
        <v>2417.1999999999989</v>
      </c>
    </row>
    <row r="374" spans="1:25" x14ac:dyDescent="0.35">
      <c r="A374">
        <v>330</v>
      </c>
      <c r="B374">
        <v>906.59999999999945</v>
      </c>
      <c r="C374">
        <v>958.39999999999964</v>
      </c>
      <c r="D374">
        <v>906.59999999999945</v>
      </c>
      <c r="E374">
        <v>-1359.5500000000002</v>
      </c>
      <c r="F374">
        <v>-323.55000000000018</v>
      </c>
      <c r="G374">
        <v>-2162.4500000000007</v>
      </c>
      <c r="J374">
        <v>330</v>
      </c>
      <c r="K374">
        <v>0</v>
      </c>
      <c r="L374">
        <v>0</v>
      </c>
      <c r="M374">
        <v>0</v>
      </c>
      <c r="N374">
        <v>247</v>
      </c>
      <c r="O374">
        <v>187</v>
      </c>
      <c r="P374">
        <v>319</v>
      </c>
      <c r="S374">
        <v>330</v>
      </c>
      <c r="T374">
        <v>906.59999999999945</v>
      </c>
      <c r="U374">
        <v>990.77499999999964</v>
      </c>
      <c r="V374">
        <v>906.60000000000036</v>
      </c>
      <c r="W374">
        <v>2263.1999999999998</v>
      </c>
      <c r="X374">
        <v>2219.85</v>
      </c>
      <c r="Y374">
        <v>2413.1999999999998</v>
      </c>
    </row>
    <row r="375" spans="1:25" x14ac:dyDescent="0.35">
      <c r="A375">
        <v>331</v>
      </c>
      <c r="B375">
        <v>906.59999999999945</v>
      </c>
      <c r="C375">
        <v>984.29999999999927</v>
      </c>
      <c r="D375">
        <v>906.60000000000036</v>
      </c>
      <c r="E375">
        <v>-1061.7000000000007</v>
      </c>
      <c r="F375">
        <v>-796.22500000000036</v>
      </c>
      <c r="G375">
        <v>-2188.3500000000004</v>
      </c>
      <c r="J375">
        <v>331</v>
      </c>
      <c r="K375">
        <v>0</v>
      </c>
      <c r="L375">
        <v>0</v>
      </c>
      <c r="M375">
        <v>0</v>
      </c>
      <c r="N375">
        <v>211</v>
      </c>
      <c r="O375">
        <v>192</v>
      </c>
      <c r="P375">
        <v>332</v>
      </c>
      <c r="S375">
        <v>331</v>
      </c>
      <c r="T375">
        <v>906.59999999999945</v>
      </c>
      <c r="U375">
        <v>958.39999999999964</v>
      </c>
      <c r="V375">
        <v>906.59999999999945</v>
      </c>
      <c r="W375">
        <v>2243.1999999999998</v>
      </c>
      <c r="X375">
        <v>2199.474999999999</v>
      </c>
      <c r="Y375">
        <v>2163.6175724813156</v>
      </c>
    </row>
    <row r="376" spans="1:25" x14ac:dyDescent="0.35">
      <c r="A376">
        <v>332</v>
      </c>
      <c r="B376">
        <v>906.59999999999945</v>
      </c>
      <c r="C376">
        <v>990.77499999999964</v>
      </c>
      <c r="D376">
        <v>906.60000000000036</v>
      </c>
      <c r="E376">
        <v>-1100.5500000000002</v>
      </c>
      <c r="F376">
        <v>-524.27500000000055</v>
      </c>
      <c r="G376">
        <v>-2382.6000000000004</v>
      </c>
      <c r="J376">
        <v>332</v>
      </c>
      <c r="K376">
        <v>0</v>
      </c>
      <c r="L376">
        <v>0</v>
      </c>
      <c r="M376">
        <v>0</v>
      </c>
      <c r="N376">
        <v>217</v>
      </c>
      <c r="O376">
        <v>169</v>
      </c>
      <c r="P376">
        <v>320</v>
      </c>
      <c r="S376">
        <v>332</v>
      </c>
      <c r="T376">
        <v>906.59999999999945</v>
      </c>
      <c r="U376">
        <v>990.77499999999964</v>
      </c>
      <c r="V376">
        <v>906.60000000000036</v>
      </c>
      <c r="W376">
        <v>2263.1999999999998</v>
      </c>
      <c r="X376">
        <v>2245.9499999999994</v>
      </c>
      <c r="Y376">
        <v>1078.2660248232642</v>
      </c>
    </row>
    <row r="377" spans="1:25" x14ac:dyDescent="0.35">
      <c r="A377">
        <v>333</v>
      </c>
      <c r="B377">
        <v>906.59999999999945</v>
      </c>
      <c r="C377">
        <v>977.82499999999891</v>
      </c>
      <c r="D377">
        <v>906.59999999999945</v>
      </c>
      <c r="E377">
        <v>-1268.9000000000005</v>
      </c>
      <c r="F377">
        <v>-323.55000000000109</v>
      </c>
      <c r="G377">
        <v>-2253.1000000000004</v>
      </c>
      <c r="J377">
        <v>333</v>
      </c>
      <c r="K377">
        <v>0</v>
      </c>
      <c r="L377">
        <v>0</v>
      </c>
      <c r="M377">
        <v>0</v>
      </c>
      <c r="N377">
        <v>231</v>
      </c>
      <c r="O377">
        <v>190</v>
      </c>
      <c r="P377">
        <v>321</v>
      </c>
      <c r="S377">
        <v>333</v>
      </c>
      <c r="T377">
        <v>906.59999999999945</v>
      </c>
      <c r="U377">
        <v>990.77499999999873</v>
      </c>
      <c r="V377">
        <v>906.60000000000036</v>
      </c>
      <c r="W377">
        <v>1826.6665299307788</v>
      </c>
      <c r="X377">
        <v>2269.2749999999992</v>
      </c>
      <c r="Y377">
        <v>2439.1999999999989</v>
      </c>
    </row>
    <row r="378" spans="1:25" x14ac:dyDescent="0.35">
      <c r="A378">
        <v>334</v>
      </c>
      <c r="B378">
        <v>906.59999999999945</v>
      </c>
      <c r="C378">
        <v>990.77499999999873</v>
      </c>
      <c r="D378">
        <v>906.59999999999945</v>
      </c>
      <c r="E378">
        <v>-906.30000000000018</v>
      </c>
      <c r="F378">
        <v>-673.20000000000073</v>
      </c>
      <c r="G378">
        <v>-2473.25</v>
      </c>
      <c r="J378">
        <v>334</v>
      </c>
      <c r="K378">
        <v>0</v>
      </c>
      <c r="L378">
        <v>0</v>
      </c>
      <c r="M378">
        <v>0</v>
      </c>
      <c r="N378">
        <v>239</v>
      </c>
      <c r="O378">
        <v>172</v>
      </c>
      <c r="P378">
        <v>331</v>
      </c>
      <c r="S378">
        <v>334</v>
      </c>
      <c r="T378">
        <v>906.59999999999945</v>
      </c>
      <c r="U378">
        <v>1003.7249999999995</v>
      </c>
      <c r="V378">
        <v>906.59999999999945</v>
      </c>
      <c r="W378">
        <v>1022.6827370563242</v>
      </c>
      <c r="X378">
        <v>2232.4249999999997</v>
      </c>
      <c r="Y378">
        <v>2463.1999999999998</v>
      </c>
    </row>
    <row r="379" spans="1:25" x14ac:dyDescent="0.35">
      <c r="A379">
        <v>335</v>
      </c>
      <c r="B379">
        <v>906.59999999999945</v>
      </c>
      <c r="C379">
        <v>938.97499999999945</v>
      </c>
      <c r="D379">
        <v>906.59999999999945</v>
      </c>
      <c r="E379">
        <v>-1113.5</v>
      </c>
      <c r="F379">
        <v>-576.07500000000073</v>
      </c>
      <c r="G379">
        <v>-2356.6999999999998</v>
      </c>
      <c r="J379">
        <v>335</v>
      </c>
      <c r="K379">
        <v>0</v>
      </c>
      <c r="L379">
        <v>0</v>
      </c>
      <c r="M379">
        <v>0</v>
      </c>
      <c r="N379">
        <v>254</v>
      </c>
      <c r="O379">
        <v>164</v>
      </c>
      <c r="P379">
        <v>314</v>
      </c>
      <c r="S379">
        <v>335</v>
      </c>
      <c r="T379">
        <v>906.59999999999945</v>
      </c>
      <c r="U379">
        <v>964.87499999999909</v>
      </c>
      <c r="V379">
        <v>906.59999999999945</v>
      </c>
      <c r="W379">
        <v>2281.1999999999994</v>
      </c>
      <c r="X379">
        <v>1684.2047079356189</v>
      </c>
      <c r="Y379">
        <v>640.49729813941212</v>
      </c>
    </row>
    <row r="380" spans="1:25" x14ac:dyDescent="0.35">
      <c r="A380">
        <v>336</v>
      </c>
      <c r="B380">
        <v>906.59999999999945</v>
      </c>
      <c r="C380">
        <v>958.39999999999964</v>
      </c>
      <c r="D380">
        <v>906.60000000000036</v>
      </c>
      <c r="E380">
        <v>-1268.9000000000005</v>
      </c>
      <c r="F380">
        <v>-420.67500000000018</v>
      </c>
      <c r="G380">
        <v>-2317.8500000000004</v>
      </c>
      <c r="J380">
        <v>336</v>
      </c>
      <c r="K380">
        <v>0</v>
      </c>
      <c r="L380">
        <v>0</v>
      </c>
      <c r="M380">
        <v>0</v>
      </c>
      <c r="N380">
        <v>218</v>
      </c>
      <c r="O380">
        <v>192</v>
      </c>
      <c r="P380">
        <v>309</v>
      </c>
      <c r="S380">
        <v>336</v>
      </c>
      <c r="T380">
        <v>906.59999999999945</v>
      </c>
      <c r="U380">
        <v>1016.6749999999993</v>
      </c>
      <c r="V380">
        <v>906.59999999999945</v>
      </c>
      <c r="W380">
        <v>2273.1999999999998</v>
      </c>
      <c r="X380">
        <v>2231.9499999999994</v>
      </c>
      <c r="Y380">
        <v>37.629212205791646</v>
      </c>
    </row>
    <row r="381" spans="1:25" x14ac:dyDescent="0.35">
      <c r="A381">
        <v>337</v>
      </c>
      <c r="B381">
        <v>906.59999999999945</v>
      </c>
      <c r="C381">
        <v>945.44999999999982</v>
      </c>
      <c r="D381">
        <v>906.59999999999945</v>
      </c>
      <c r="E381">
        <v>-919.25</v>
      </c>
      <c r="F381">
        <v>-440.10000000000036</v>
      </c>
      <c r="G381">
        <v>-2654.55</v>
      </c>
      <c r="J381">
        <v>337</v>
      </c>
      <c r="K381">
        <v>0</v>
      </c>
      <c r="L381">
        <v>0</v>
      </c>
      <c r="M381">
        <v>0</v>
      </c>
      <c r="N381">
        <v>230</v>
      </c>
      <c r="O381">
        <v>179</v>
      </c>
      <c r="P381">
        <v>346</v>
      </c>
      <c r="S381">
        <v>337</v>
      </c>
      <c r="T381">
        <v>906.59999999999945</v>
      </c>
      <c r="U381">
        <v>977.82499999999982</v>
      </c>
      <c r="V381">
        <v>906.59999999999945</v>
      </c>
      <c r="W381">
        <v>1431.6993645947719</v>
      </c>
      <c r="X381">
        <v>2320.3249999999998</v>
      </c>
      <c r="Y381">
        <v>2449.1999999999989</v>
      </c>
    </row>
    <row r="382" spans="1:25" x14ac:dyDescent="0.35">
      <c r="A382">
        <v>338</v>
      </c>
      <c r="B382">
        <v>906.59999999999945</v>
      </c>
      <c r="C382">
        <v>971.34999999999945</v>
      </c>
      <c r="D382">
        <v>906.59999999999945</v>
      </c>
      <c r="E382">
        <v>-1281.8500000000004</v>
      </c>
      <c r="F382">
        <v>-368.875</v>
      </c>
      <c r="G382">
        <v>-2084.75</v>
      </c>
      <c r="J382">
        <v>338</v>
      </c>
      <c r="K382">
        <v>0</v>
      </c>
      <c r="L382">
        <v>0</v>
      </c>
      <c r="M382">
        <v>0</v>
      </c>
      <c r="N382">
        <v>213</v>
      </c>
      <c r="O382">
        <v>176</v>
      </c>
      <c r="P382">
        <v>348</v>
      </c>
      <c r="S382">
        <v>338</v>
      </c>
      <c r="T382">
        <v>906.59999999999945</v>
      </c>
      <c r="U382">
        <v>990.77499999999964</v>
      </c>
      <c r="V382">
        <v>906.59999999999945</v>
      </c>
      <c r="W382">
        <v>2245.1999999999998</v>
      </c>
      <c r="X382">
        <v>2218.0499999999988</v>
      </c>
      <c r="Y382">
        <v>2463.1999999999998</v>
      </c>
    </row>
    <row r="383" spans="1:25" x14ac:dyDescent="0.35">
      <c r="A383">
        <v>339</v>
      </c>
      <c r="B383">
        <v>906.59999999999945</v>
      </c>
      <c r="C383">
        <v>1016.6749999999993</v>
      </c>
      <c r="D383">
        <v>906.60000000000036</v>
      </c>
      <c r="E383">
        <v>-1230.0500000000002</v>
      </c>
      <c r="F383">
        <v>-453.05000000000109</v>
      </c>
      <c r="G383">
        <v>-2279</v>
      </c>
      <c r="J383">
        <v>339</v>
      </c>
      <c r="K383">
        <v>0</v>
      </c>
      <c r="L383">
        <v>0</v>
      </c>
      <c r="M383">
        <v>0</v>
      </c>
      <c r="N383">
        <v>244</v>
      </c>
      <c r="O383">
        <v>169</v>
      </c>
      <c r="P383">
        <v>337</v>
      </c>
      <c r="S383">
        <v>339</v>
      </c>
      <c r="T383">
        <v>906.59999999999945</v>
      </c>
      <c r="U383">
        <v>932.5</v>
      </c>
      <c r="V383">
        <v>906.60000000000036</v>
      </c>
      <c r="W383">
        <v>2273.1999999999998</v>
      </c>
      <c r="X383">
        <v>2266.8999999999992</v>
      </c>
      <c r="Y383">
        <v>2221.4303493624266</v>
      </c>
    </row>
    <row r="384" spans="1:25" x14ac:dyDescent="0.35">
      <c r="A384">
        <v>340</v>
      </c>
      <c r="B384">
        <v>906.59999999999945</v>
      </c>
      <c r="C384">
        <v>1003.7249999999985</v>
      </c>
      <c r="D384">
        <v>906.59999999999945</v>
      </c>
      <c r="E384">
        <v>-815.65000000000055</v>
      </c>
      <c r="F384">
        <v>-614.92500000000109</v>
      </c>
      <c r="G384">
        <v>-2330.8000000000002</v>
      </c>
      <c r="J384">
        <v>340</v>
      </c>
      <c r="K384">
        <v>0</v>
      </c>
      <c r="L384">
        <v>0</v>
      </c>
      <c r="M384">
        <v>0</v>
      </c>
      <c r="N384">
        <v>223</v>
      </c>
      <c r="O384">
        <v>157</v>
      </c>
      <c r="P384">
        <v>339</v>
      </c>
      <c r="S384">
        <v>340</v>
      </c>
      <c r="T384">
        <v>906.59999999999945</v>
      </c>
      <c r="U384">
        <v>958.39999999999964</v>
      </c>
      <c r="V384">
        <v>906.59999999999945</v>
      </c>
      <c r="W384">
        <v>1202.7623816082578</v>
      </c>
      <c r="X384">
        <v>2207.5749999999998</v>
      </c>
      <c r="Y384">
        <v>2403.1999999999998</v>
      </c>
    </row>
    <row r="385" spans="1:25" x14ac:dyDescent="0.35">
      <c r="A385">
        <v>341</v>
      </c>
      <c r="B385">
        <v>906.59999999999945</v>
      </c>
      <c r="C385">
        <v>945.44999999999982</v>
      </c>
      <c r="D385">
        <v>906.60000000000036</v>
      </c>
      <c r="E385">
        <v>-1165.3000000000002</v>
      </c>
      <c r="F385">
        <v>-355.92500000000018</v>
      </c>
      <c r="G385">
        <v>-2382.6000000000004</v>
      </c>
      <c r="J385">
        <v>341</v>
      </c>
      <c r="K385">
        <v>0</v>
      </c>
      <c r="L385">
        <v>0</v>
      </c>
      <c r="M385">
        <v>0</v>
      </c>
      <c r="N385">
        <v>225</v>
      </c>
      <c r="O385">
        <v>165</v>
      </c>
      <c r="P385">
        <v>314</v>
      </c>
      <c r="S385">
        <v>341</v>
      </c>
      <c r="T385">
        <v>906.59999999999945</v>
      </c>
      <c r="U385">
        <v>977.82499999999891</v>
      </c>
      <c r="V385">
        <v>906.59999999999945</v>
      </c>
      <c r="W385">
        <v>1202.9265182418367</v>
      </c>
      <c r="X385">
        <v>2226.9999999999991</v>
      </c>
      <c r="Y385">
        <v>-323.5499045206102</v>
      </c>
    </row>
    <row r="386" spans="1:25" x14ac:dyDescent="0.35">
      <c r="A386">
        <v>342</v>
      </c>
      <c r="B386">
        <v>906.59999999999945</v>
      </c>
      <c r="C386">
        <v>1003.7249999999995</v>
      </c>
      <c r="D386">
        <v>906.59999999999945</v>
      </c>
      <c r="E386">
        <v>-1230.0500000000002</v>
      </c>
      <c r="F386">
        <v>-226.42500000000109</v>
      </c>
      <c r="G386">
        <v>-2279</v>
      </c>
      <c r="J386">
        <v>342</v>
      </c>
      <c r="K386">
        <v>0</v>
      </c>
      <c r="L386">
        <v>0</v>
      </c>
      <c r="M386">
        <v>0</v>
      </c>
      <c r="N386">
        <v>225</v>
      </c>
      <c r="O386">
        <v>183</v>
      </c>
      <c r="P386">
        <v>343</v>
      </c>
      <c r="S386">
        <v>342</v>
      </c>
      <c r="T386">
        <v>906.59999999999945</v>
      </c>
      <c r="U386">
        <v>958.39999999999873</v>
      </c>
      <c r="V386">
        <v>906.60000000000036</v>
      </c>
      <c r="W386">
        <v>501.18131755159106</v>
      </c>
      <c r="X386">
        <v>2218.9999999999995</v>
      </c>
      <c r="Y386">
        <v>2487.1999999999998</v>
      </c>
    </row>
    <row r="387" spans="1:25" x14ac:dyDescent="0.35">
      <c r="A387">
        <v>343</v>
      </c>
      <c r="B387">
        <v>906.59999999999945</v>
      </c>
      <c r="C387">
        <v>971.34999999999945</v>
      </c>
      <c r="D387">
        <v>906.59999999999945</v>
      </c>
      <c r="E387">
        <v>-1281.8500000000004</v>
      </c>
      <c r="F387">
        <v>-504.85000000000036</v>
      </c>
      <c r="G387">
        <v>-2330.8000000000002</v>
      </c>
      <c r="J387">
        <v>343</v>
      </c>
      <c r="K387">
        <v>0</v>
      </c>
      <c r="L387">
        <v>0</v>
      </c>
      <c r="M387">
        <v>0</v>
      </c>
      <c r="N387">
        <v>233</v>
      </c>
      <c r="O387">
        <v>182</v>
      </c>
      <c r="P387">
        <v>333</v>
      </c>
      <c r="S387">
        <v>343</v>
      </c>
      <c r="T387">
        <v>906.59999999999945</v>
      </c>
      <c r="U387">
        <v>990.77499999999964</v>
      </c>
      <c r="V387">
        <v>906.59999999999945</v>
      </c>
      <c r="W387">
        <v>2295.1999999999998</v>
      </c>
      <c r="X387">
        <v>2266.8999999999992</v>
      </c>
      <c r="Y387">
        <v>-49.422845448805674</v>
      </c>
    </row>
    <row r="388" spans="1:25" x14ac:dyDescent="0.35">
      <c r="A388">
        <v>344</v>
      </c>
      <c r="B388">
        <v>906.59999999999945</v>
      </c>
      <c r="C388">
        <v>990.77499999999964</v>
      </c>
      <c r="D388">
        <v>906.59999999999945</v>
      </c>
      <c r="E388">
        <v>-984</v>
      </c>
      <c r="F388">
        <v>-446.57500000000073</v>
      </c>
      <c r="G388">
        <v>-2576.8500000000004</v>
      </c>
      <c r="J388">
        <v>344</v>
      </c>
      <c r="K388">
        <v>0</v>
      </c>
      <c r="L388">
        <v>0</v>
      </c>
      <c r="M388">
        <v>0</v>
      </c>
      <c r="N388">
        <v>192</v>
      </c>
      <c r="O388">
        <v>188</v>
      </c>
      <c r="P388">
        <v>322</v>
      </c>
      <c r="S388">
        <v>344</v>
      </c>
      <c r="T388">
        <v>906.59999999999945</v>
      </c>
      <c r="U388">
        <v>971.34999999999945</v>
      </c>
      <c r="V388">
        <v>934.60000000000014</v>
      </c>
      <c r="W388">
        <v>1932.1150659327141</v>
      </c>
      <c r="X388">
        <v>2280.5249999999996</v>
      </c>
      <c r="Y388">
        <v>-1385.7893863461536</v>
      </c>
    </row>
    <row r="389" spans="1:25" x14ac:dyDescent="0.35">
      <c r="A389">
        <v>345</v>
      </c>
      <c r="B389">
        <v>906.59999999999945</v>
      </c>
      <c r="C389">
        <v>977.82499999999982</v>
      </c>
      <c r="D389">
        <v>906.59999999999945</v>
      </c>
      <c r="E389">
        <v>-945.15000000000055</v>
      </c>
      <c r="F389">
        <v>-453.05000000000109</v>
      </c>
      <c r="G389">
        <v>-2408.5</v>
      </c>
      <c r="J389">
        <v>345</v>
      </c>
      <c r="K389">
        <v>0</v>
      </c>
      <c r="L389">
        <v>0</v>
      </c>
      <c r="M389">
        <v>0</v>
      </c>
      <c r="N389">
        <v>233</v>
      </c>
      <c r="O389">
        <v>180</v>
      </c>
      <c r="P389">
        <v>308</v>
      </c>
      <c r="S389">
        <v>345</v>
      </c>
      <c r="T389">
        <v>906.59999999999945</v>
      </c>
      <c r="U389">
        <v>945.44999999999982</v>
      </c>
      <c r="V389">
        <v>906.60000000000036</v>
      </c>
      <c r="W389">
        <v>2235.1999999999998</v>
      </c>
      <c r="X389">
        <v>2245.9499999999994</v>
      </c>
      <c r="Y389">
        <v>1572.1607468851084</v>
      </c>
    </row>
    <row r="390" spans="1:25" x14ac:dyDescent="0.35">
      <c r="A390">
        <v>346</v>
      </c>
      <c r="B390">
        <v>906.59999999999945</v>
      </c>
      <c r="C390">
        <v>945.44999999999891</v>
      </c>
      <c r="D390">
        <v>906.59999999999945</v>
      </c>
      <c r="E390">
        <v>-1035.8000000000002</v>
      </c>
      <c r="F390">
        <v>-284.70000000000073</v>
      </c>
      <c r="G390">
        <v>-2550.9499999999998</v>
      </c>
      <c r="J390">
        <v>346</v>
      </c>
      <c r="K390">
        <v>0</v>
      </c>
      <c r="L390">
        <v>0</v>
      </c>
      <c r="M390">
        <v>0</v>
      </c>
      <c r="N390">
        <v>212</v>
      </c>
      <c r="O390">
        <v>174</v>
      </c>
      <c r="P390">
        <v>312</v>
      </c>
      <c r="S390">
        <v>346</v>
      </c>
      <c r="T390">
        <v>906.59999999999945</v>
      </c>
      <c r="U390">
        <v>964.875</v>
      </c>
      <c r="V390">
        <v>906.60000000000036</v>
      </c>
      <c r="W390">
        <v>1853.9393732308736</v>
      </c>
      <c r="X390">
        <v>1407.8772867296368</v>
      </c>
      <c r="Y390">
        <v>2120.4196247154186</v>
      </c>
    </row>
    <row r="391" spans="1:25" x14ac:dyDescent="0.35">
      <c r="A391">
        <v>347</v>
      </c>
      <c r="B391">
        <v>906.59999999999945</v>
      </c>
      <c r="C391">
        <v>1010.1999999999989</v>
      </c>
      <c r="D391">
        <v>906.59999999999945</v>
      </c>
      <c r="E391">
        <v>-867.45000000000073</v>
      </c>
      <c r="F391">
        <v>-420.67500000000109</v>
      </c>
      <c r="G391">
        <v>-2188.3500000000004</v>
      </c>
      <c r="J391">
        <v>347</v>
      </c>
      <c r="K391">
        <v>0</v>
      </c>
      <c r="L391">
        <v>0</v>
      </c>
      <c r="M391">
        <v>0</v>
      </c>
      <c r="N391">
        <v>205</v>
      </c>
      <c r="O391">
        <v>180</v>
      </c>
      <c r="P391">
        <v>335</v>
      </c>
      <c r="S391">
        <v>347</v>
      </c>
      <c r="T391">
        <v>906.59999999999945</v>
      </c>
      <c r="U391">
        <v>997.25</v>
      </c>
      <c r="V391">
        <v>906.59999999999945</v>
      </c>
      <c r="W391">
        <v>2237.1999999999989</v>
      </c>
      <c r="X391">
        <v>2265.8499999999995</v>
      </c>
      <c r="Y391">
        <v>2449.1999999999989</v>
      </c>
    </row>
    <row r="392" spans="1:25" x14ac:dyDescent="0.35">
      <c r="A392">
        <v>348</v>
      </c>
      <c r="B392">
        <v>906.59999999999945</v>
      </c>
      <c r="C392">
        <v>958.39999999999964</v>
      </c>
      <c r="D392">
        <v>906.59999999999945</v>
      </c>
      <c r="E392">
        <v>-1255.9500000000007</v>
      </c>
      <c r="F392">
        <v>-291.17500000000018</v>
      </c>
      <c r="G392">
        <v>-2123.6000000000004</v>
      </c>
      <c r="J392">
        <v>348</v>
      </c>
      <c r="K392">
        <v>0</v>
      </c>
      <c r="L392">
        <v>0</v>
      </c>
      <c r="M392">
        <v>0</v>
      </c>
      <c r="N392">
        <v>241</v>
      </c>
      <c r="O392">
        <v>189</v>
      </c>
      <c r="P392">
        <v>321</v>
      </c>
      <c r="S392">
        <v>348</v>
      </c>
      <c r="T392">
        <v>906.59999999999945</v>
      </c>
      <c r="U392">
        <v>964.875</v>
      </c>
      <c r="V392">
        <v>906.59999999999945</v>
      </c>
      <c r="W392">
        <v>2259.1999999999994</v>
      </c>
      <c r="X392">
        <v>1692.3175942728662</v>
      </c>
      <c r="Y392">
        <v>2465.1999999999998</v>
      </c>
    </row>
    <row r="393" spans="1:25" x14ac:dyDescent="0.35">
      <c r="A393">
        <v>349</v>
      </c>
      <c r="B393">
        <v>906.59999999999945</v>
      </c>
      <c r="C393">
        <v>997.24999999999909</v>
      </c>
      <c r="D393">
        <v>906.59999999999945</v>
      </c>
      <c r="E393">
        <v>-919.25</v>
      </c>
      <c r="F393">
        <v>-608.45000000000073</v>
      </c>
      <c r="G393">
        <v>-2304.9000000000005</v>
      </c>
      <c r="J393">
        <v>349</v>
      </c>
      <c r="K393">
        <v>0</v>
      </c>
      <c r="L393">
        <v>0</v>
      </c>
      <c r="M393">
        <v>0</v>
      </c>
      <c r="N393">
        <v>231</v>
      </c>
      <c r="O393">
        <v>186</v>
      </c>
      <c r="P393">
        <v>321</v>
      </c>
      <c r="S393">
        <v>349</v>
      </c>
      <c r="T393">
        <v>906.59999999999945</v>
      </c>
      <c r="U393">
        <v>1029.625</v>
      </c>
      <c r="V393">
        <v>906.59999999999945</v>
      </c>
      <c r="W393">
        <v>1265.2644217670395</v>
      </c>
      <c r="X393">
        <v>1314.8451200611075</v>
      </c>
      <c r="Y393">
        <v>2433.1999999999998</v>
      </c>
    </row>
    <row r="394" spans="1:25" x14ac:dyDescent="0.35">
      <c r="A394">
        <v>350</v>
      </c>
      <c r="B394">
        <v>906.59999999999945</v>
      </c>
      <c r="C394">
        <v>984.29999999999927</v>
      </c>
      <c r="D394">
        <v>906.59999999999945</v>
      </c>
      <c r="E394">
        <v>-1165.3000000000002</v>
      </c>
      <c r="F394">
        <v>-252.32500000000073</v>
      </c>
      <c r="G394">
        <v>-2071.8000000000002</v>
      </c>
      <c r="J394">
        <v>350</v>
      </c>
      <c r="K394">
        <v>0</v>
      </c>
      <c r="L394">
        <v>0</v>
      </c>
      <c r="M394">
        <v>0</v>
      </c>
      <c r="N394">
        <v>240</v>
      </c>
      <c r="O394">
        <v>183</v>
      </c>
      <c r="P394">
        <v>308</v>
      </c>
      <c r="S394">
        <v>350</v>
      </c>
      <c r="T394">
        <v>906.59999999999945</v>
      </c>
      <c r="U394">
        <v>964.875</v>
      </c>
      <c r="V394">
        <v>906.59999999999945</v>
      </c>
      <c r="W394">
        <v>1393.7252599721805</v>
      </c>
      <c r="X394">
        <v>2257.9499999999998</v>
      </c>
      <c r="Y394">
        <v>2501.1999999999998</v>
      </c>
    </row>
    <row r="395" spans="1:25" x14ac:dyDescent="0.35">
      <c r="A395">
        <v>351</v>
      </c>
      <c r="B395">
        <v>906.59999999999945</v>
      </c>
      <c r="C395">
        <v>997.25</v>
      </c>
      <c r="D395">
        <v>906.60000000000036</v>
      </c>
      <c r="E395">
        <v>-1035.8000000000002</v>
      </c>
      <c r="F395">
        <v>-737.95000000000073</v>
      </c>
      <c r="G395">
        <v>-2745.2</v>
      </c>
      <c r="J395">
        <v>351</v>
      </c>
      <c r="K395">
        <v>0</v>
      </c>
      <c r="L395">
        <v>0</v>
      </c>
      <c r="M395">
        <v>0</v>
      </c>
      <c r="N395">
        <v>211</v>
      </c>
      <c r="O395">
        <v>177</v>
      </c>
      <c r="P395">
        <v>327</v>
      </c>
      <c r="S395">
        <v>351</v>
      </c>
      <c r="T395">
        <v>906.59999999999945</v>
      </c>
      <c r="U395">
        <v>977.82499999999982</v>
      </c>
      <c r="V395">
        <v>906.60000000000036</v>
      </c>
      <c r="W395">
        <v>2293.1999999999998</v>
      </c>
      <c r="X395">
        <v>2211.9499999999994</v>
      </c>
      <c r="Y395">
        <v>2212.1153386017195</v>
      </c>
    </row>
    <row r="396" spans="1:25" x14ac:dyDescent="0.35">
      <c r="A396">
        <v>352</v>
      </c>
      <c r="B396">
        <v>906.59999999999945</v>
      </c>
      <c r="C396">
        <v>971.34999999999945</v>
      </c>
      <c r="D396">
        <v>906.60000000000036</v>
      </c>
      <c r="E396">
        <v>-1527.9000000000005</v>
      </c>
      <c r="F396">
        <v>-472.47500000000036</v>
      </c>
      <c r="G396">
        <v>-2266.0500000000002</v>
      </c>
      <c r="J396">
        <v>352</v>
      </c>
      <c r="K396">
        <v>0</v>
      </c>
      <c r="L396">
        <v>0</v>
      </c>
      <c r="M396">
        <v>0</v>
      </c>
      <c r="N396">
        <v>225</v>
      </c>
      <c r="O396">
        <v>181</v>
      </c>
      <c r="P396">
        <v>327</v>
      </c>
      <c r="S396">
        <v>352</v>
      </c>
      <c r="T396">
        <v>906.59999999999945</v>
      </c>
      <c r="U396">
        <v>977.82499999999891</v>
      </c>
      <c r="V396">
        <v>906.60000000000036</v>
      </c>
      <c r="W396">
        <v>2211.1999999999994</v>
      </c>
      <c r="X396">
        <v>2276.3249999999994</v>
      </c>
      <c r="Y396">
        <v>2431.1999999999998</v>
      </c>
    </row>
    <row r="397" spans="1:25" x14ac:dyDescent="0.35">
      <c r="A397">
        <v>353</v>
      </c>
      <c r="B397">
        <v>906.59999999999945</v>
      </c>
      <c r="C397">
        <v>997.25</v>
      </c>
      <c r="D397">
        <v>906.59999999999945</v>
      </c>
      <c r="E397">
        <v>-1009.9000000000005</v>
      </c>
      <c r="F397">
        <v>-873.92500000000018</v>
      </c>
      <c r="G397">
        <v>-2473.25</v>
      </c>
      <c r="J397">
        <v>353</v>
      </c>
      <c r="K397">
        <v>0</v>
      </c>
      <c r="L397">
        <v>0</v>
      </c>
      <c r="M397">
        <v>0</v>
      </c>
      <c r="N397">
        <v>210</v>
      </c>
      <c r="O397">
        <v>175</v>
      </c>
      <c r="P397">
        <v>309</v>
      </c>
      <c r="S397">
        <v>353</v>
      </c>
      <c r="T397">
        <v>906.59999999999945</v>
      </c>
      <c r="U397">
        <v>997.25</v>
      </c>
      <c r="V397">
        <v>906.60000000000036</v>
      </c>
      <c r="W397">
        <v>2307.1999999999989</v>
      </c>
      <c r="X397">
        <v>794.84229519435848</v>
      </c>
      <c r="Y397">
        <v>2471.1999999999998</v>
      </c>
    </row>
    <row r="398" spans="1:25" x14ac:dyDescent="0.35">
      <c r="A398">
        <v>354</v>
      </c>
      <c r="B398">
        <v>906.59999999999945</v>
      </c>
      <c r="C398">
        <v>964.875</v>
      </c>
      <c r="D398">
        <v>906.60000000000036</v>
      </c>
      <c r="E398">
        <v>-984</v>
      </c>
      <c r="F398">
        <v>-718.52499999999964</v>
      </c>
      <c r="G398">
        <v>-2188.3500000000004</v>
      </c>
      <c r="J398">
        <v>354</v>
      </c>
      <c r="K398">
        <v>0</v>
      </c>
      <c r="L398">
        <v>0</v>
      </c>
      <c r="M398">
        <v>0</v>
      </c>
      <c r="N398">
        <v>220</v>
      </c>
      <c r="O398">
        <v>174</v>
      </c>
      <c r="P398">
        <v>312</v>
      </c>
      <c r="S398">
        <v>354</v>
      </c>
      <c r="T398">
        <v>906.59999999999945</v>
      </c>
      <c r="U398">
        <v>984.29999999999927</v>
      </c>
      <c r="V398">
        <v>906.60000000000036</v>
      </c>
      <c r="W398">
        <v>-867.45000000000073</v>
      </c>
      <c r="X398">
        <v>1465.5868680130015</v>
      </c>
      <c r="Y398">
        <v>-496.26192681082466</v>
      </c>
    </row>
    <row r="399" spans="1:25" x14ac:dyDescent="0.35">
      <c r="A399">
        <v>355</v>
      </c>
      <c r="B399">
        <v>906.59999999999945</v>
      </c>
      <c r="C399">
        <v>971.34999999999854</v>
      </c>
      <c r="D399">
        <v>906.60000000000036</v>
      </c>
      <c r="E399">
        <v>-815.65000000000055</v>
      </c>
      <c r="F399">
        <v>-414.20000000000073</v>
      </c>
      <c r="G399">
        <v>-1877.5500000000002</v>
      </c>
      <c r="J399">
        <v>355</v>
      </c>
      <c r="K399">
        <v>0</v>
      </c>
      <c r="L399">
        <v>0</v>
      </c>
      <c r="M399">
        <v>0</v>
      </c>
      <c r="N399">
        <v>210</v>
      </c>
      <c r="O399">
        <v>202</v>
      </c>
      <c r="P399">
        <v>310</v>
      </c>
      <c r="S399">
        <v>355</v>
      </c>
      <c r="T399">
        <v>906.59999999999945</v>
      </c>
      <c r="U399">
        <v>964.875</v>
      </c>
      <c r="V399">
        <v>906.60000000000036</v>
      </c>
      <c r="W399">
        <v>2253.1999999999998</v>
      </c>
      <c r="X399">
        <v>2238.9999999999995</v>
      </c>
      <c r="Y399">
        <v>2425.1999999999998</v>
      </c>
    </row>
    <row r="400" spans="1:25" x14ac:dyDescent="0.35">
      <c r="A400">
        <v>356</v>
      </c>
      <c r="B400">
        <v>906.59999999999945</v>
      </c>
      <c r="C400">
        <v>984.30000000000018</v>
      </c>
      <c r="D400">
        <v>906.60000000000036</v>
      </c>
      <c r="E400">
        <v>-880.40000000000055</v>
      </c>
      <c r="F400">
        <v>-491.89999999999964</v>
      </c>
      <c r="G400">
        <v>-2861.75</v>
      </c>
      <c r="J400">
        <v>356</v>
      </c>
      <c r="K400">
        <v>0</v>
      </c>
      <c r="L400">
        <v>0</v>
      </c>
      <c r="M400">
        <v>0</v>
      </c>
      <c r="N400">
        <v>211</v>
      </c>
      <c r="O400">
        <v>180</v>
      </c>
      <c r="P400">
        <v>307</v>
      </c>
      <c r="S400">
        <v>356</v>
      </c>
      <c r="T400">
        <v>906.59999999999945</v>
      </c>
      <c r="U400">
        <v>977.82499999999891</v>
      </c>
      <c r="V400">
        <v>906.59999999999945</v>
      </c>
      <c r="W400">
        <v>1931.6286173496314</v>
      </c>
      <c r="X400">
        <v>2329.9499999999998</v>
      </c>
      <c r="Y400">
        <v>1633.5852207849584</v>
      </c>
    </row>
    <row r="401" spans="1:25" x14ac:dyDescent="0.35">
      <c r="A401">
        <v>357</v>
      </c>
      <c r="B401">
        <v>906.59999999999945</v>
      </c>
      <c r="C401">
        <v>938.97499999999945</v>
      </c>
      <c r="D401">
        <v>906.60000000000036</v>
      </c>
      <c r="E401">
        <v>-1424.3000000000002</v>
      </c>
      <c r="F401">
        <v>-433.625</v>
      </c>
      <c r="G401">
        <v>-2291.9499999999998</v>
      </c>
      <c r="J401">
        <v>357</v>
      </c>
      <c r="K401">
        <v>0</v>
      </c>
      <c r="L401">
        <v>0</v>
      </c>
      <c r="M401">
        <v>0</v>
      </c>
      <c r="N401">
        <v>232</v>
      </c>
      <c r="O401">
        <v>168</v>
      </c>
      <c r="P401">
        <v>324</v>
      </c>
      <c r="S401">
        <v>357</v>
      </c>
      <c r="T401">
        <v>906.59999999999945</v>
      </c>
      <c r="U401">
        <v>951.92500000000018</v>
      </c>
      <c r="V401">
        <v>906.59999999999945</v>
      </c>
      <c r="W401">
        <v>1375.873983621665</v>
      </c>
      <c r="X401">
        <v>2208.5249999999996</v>
      </c>
      <c r="Y401">
        <v>1942.5427330775874</v>
      </c>
    </row>
    <row r="402" spans="1:25" x14ac:dyDescent="0.35">
      <c r="A402">
        <v>358</v>
      </c>
      <c r="B402">
        <v>906.59999999999945</v>
      </c>
      <c r="C402">
        <v>945.44999999999982</v>
      </c>
      <c r="D402">
        <v>906.59999999999945</v>
      </c>
      <c r="E402">
        <v>-1165.3000000000002</v>
      </c>
      <c r="F402">
        <v>-232.90000000000055</v>
      </c>
      <c r="G402">
        <v>-2408.5</v>
      </c>
      <c r="J402">
        <v>358</v>
      </c>
      <c r="K402">
        <v>0</v>
      </c>
      <c r="L402">
        <v>0</v>
      </c>
      <c r="M402">
        <v>0</v>
      </c>
      <c r="N402">
        <v>226</v>
      </c>
      <c r="O402">
        <v>203</v>
      </c>
      <c r="P402">
        <v>308</v>
      </c>
      <c r="S402">
        <v>358</v>
      </c>
      <c r="T402">
        <v>906.59999999999945</v>
      </c>
      <c r="U402">
        <v>938.97499999999945</v>
      </c>
      <c r="V402">
        <v>906.59999999999945</v>
      </c>
      <c r="W402">
        <v>-616.82543027319991</v>
      </c>
      <c r="X402">
        <v>2212.9999999999995</v>
      </c>
      <c r="Y402">
        <v>-986.72983497858877</v>
      </c>
    </row>
    <row r="403" spans="1:25" x14ac:dyDescent="0.35">
      <c r="A403">
        <v>359</v>
      </c>
      <c r="B403">
        <v>906.59999999999945</v>
      </c>
      <c r="C403">
        <v>951.92499999999927</v>
      </c>
      <c r="D403">
        <v>906.59999999999945</v>
      </c>
      <c r="E403">
        <v>-1022.8500000000004</v>
      </c>
      <c r="F403">
        <v>-271.75</v>
      </c>
      <c r="G403">
        <v>-2084.75</v>
      </c>
      <c r="J403">
        <v>359</v>
      </c>
      <c r="K403">
        <v>0</v>
      </c>
      <c r="L403">
        <v>0</v>
      </c>
      <c r="M403">
        <v>0</v>
      </c>
      <c r="N403">
        <v>232</v>
      </c>
      <c r="O403">
        <v>193</v>
      </c>
      <c r="P403">
        <v>353</v>
      </c>
      <c r="S403">
        <v>359</v>
      </c>
      <c r="T403">
        <v>906.59999999999945</v>
      </c>
      <c r="U403">
        <v>1003.7250000000004</v>
      </c>
      <c r="V403">
        <v>906.60000000000036</v>
      </c>
      <c r="W403">
        <v>2275.1999999999998</v>
      </c>
      <c r="X403">
        <v>2268.8999999999992</v>
      </c>
      <c r="Y403">
        <v>-2512.1000000000004</v>
      </c>
    </row>
    <row r="404" spans="1:25" x14ac:dyDescent="0.35">
      <c r="A404">
        <v>360</v>
      </c>
      <c r="B404">
        <v>906.59999999999945</v>
      </c>
      <c r="C404">
        <v>971.34999999999945</v>
      </c>
      <c r="D404">
        <v>906.59999999999945</v>
      </c>
      <c r="E404">
        <v>-1048.75</v>
      </c>
      <c r="F404">
        <v>-673.20000000000073</v>
      </c>
      <c r="G404">
        <v>-2123.6000000000004</v>
      </c>
      <c r="J404">
        <v>360</v>
      </c>
      <c r="K404">
        <v>0</v>
      </c>
      <c r="L404">
        <v>0</v>
      </c>
      <c r="M404">
        <v>0</v>
      </c>
      <c r="N404">
        <v>236</v>
      </c>
      <c r="O404">
        <v>191</v>
      </c>
      <c r="P404">
        <v>311</v>
      </c>
      <c r="S404">
        <v>360</v>
      </c>
      <c r="T404">
        <v>906.59999999999945</v>
      </c>
      <c r="U404">
        <v>958.39999999999964</v>
      </c>
      <c r="V404">
        <v>906.60000000000036</v>
      </c>
      <c r="W404">
        <v>2245.1999999999998</v>
      </c>
      <c r="X404">
        <v>2246.5249999999992</v>
      </c>
      <c r="Y404">
        <v>-1360.4871536345145</v>
      </c>
    </row>
    <row r="405" spans="1:25" x14ac:dyDescent="0.35">
      <c r="A405">
        <v>361</v>
      </c>
      <c r="B405">
        <v>906.59999999999945</v>
      </c>
      <c r="C405">
        <v>971.35000000000036</v>
      </c>
      <c r="D405">
        <v>906.60000000000036</v>
      </c>
      <c r="E405">
        <v>-1061.7000000000007</v>
      </c>
      <c r="F405">
        <v>-181.10000000000036</v>
      </c>
      <c r="G405">
        <v>-2525.0500000000002</v>
      </c>
      <c r="J405">
        <v>361</v>
      </c>
      <c r="K405">
        <v>0</v>
      </c>
      <c r="L405">
        <v>0</v>
      </c>
      <c r="M405">
        <v>0</v>
      </c>
      <c r="N405">
        <v>253</v>
      </c>
      <c r="O405">
        <v>181</v>
      </c>
      <c r="P405">
        <v>320</v>
      </c>
      <c r="S405">
        <v>361</v>
      </c>
      <c r="T405">
        <v>906.59999999999945</v>
      </c>
      <c r="U405">
        <v>951.92499999999927</v>
      </c>
      <c r="V405">
        <v>906.59999999999945</v>
      </c>
      <c r="W405">
        <v>2275.1999999999998</v>
      </c>
      <c r="X405">
        <v>2316.6999999999994</v>
      </c>
      <c r="Y405">
        <v>2483.1999999999998</v>
      </c>
    </row>
    <row r="406" spans="1:25" x14ac:dyDescent="0.35">
      <c r="A406">
        <v>362</v>
      </c>
      <c r="B406">
        <v>906.59999999999945</v>
      </c>
      <c r="C406">
        <v>984.29999999999927</v>
      </c>
      <c r="D406">
        <v>906.59999999999945</v>
      </c>
      <c r="E406">
        <v>-440.10000000000036</v>
      </c>
      <c r="F406">
        <v>-653.77499999999964</v>
      </c>
      <c r="G406">
        <v>-2356.6999999999998</v>
      </c>
      <c r="J406">
        <v>362</v>
      </c>
      <c r="K406">
        <v>0</v>
      </c>
      <c r="L406">
        <v>0</v>
      </c>
      <c r="M406">
        <v>0</v>
      </c>
      <c r="N406">
        <v>231</v>
      </c>
      <c r="O406">
        <v>181</v>
      </c>
      <c r="P406">
        <v>310</v>
      </c>
      <c r="S406">
        <v>362</v>
      </c>
      <c r="T406">
        <v>906.59999999999945</v>
      </c>
      <c r="U406">
        <v>964.875</v>
      </c>
      <c r="V406">
        <v>906.60000000000036</v>
      </c>
      <c r="W406">
        <v>2009.0477953963559</v>
      </c>
      <c r="X406">
        <v>9.5034820985284796</v>
      </c>
      <c r="Y406">
        <v>1179.3258696856792</v>
      </c>
    </row>
    <row r="407" spans="1:25" x14ac:dyDescent="0.35">
      <c r="A407">
        <v>363</v>
      </c>
      <c r="B407">
        <v>906.59999999999945</v>
      </c>
      <c r="C407">
        <v>1003.7250000000004</v>
      </c>
      <c r="D407">
        <v>906.60000000000036</v>
      </c>
      <c r="E407">
        <v>-1217.1000000000004</v>
      </c>
      <c r="F407">
        <v>-407.72500000000036</v>
      </c>
      <c r="G407">
        <v>-2602.75</v>
      </c>
      <c r="J407">
        <v>363</v>
      </c>
      <c r="K407">
        <v>0</v>
      </c>
      <c r="L407">
        <v>0</v>
      </c>
      <c r="M407">
        <v>0</v>
      </c>
      <c r="N407">
        <v>234</v>
      </c>
      <c r="O407">
        <v>196</v>
      </c>
      <c r="P407">
        <v>344</v>
      </c>
      <c r="S407">
        <v>363</v>
      </c>
      <c r="T407">
        <v>906.59999999999945</v>
      </c>
      <c r="U407">
        <v>990.77499999999964</v>
      </c>
      <c r="V407">
        <v>906.59999999999945</v>
      </c>
      <c r="W407">
        <v>2261.1999999999994</v>
      </c>
      <c r="X407">
        <v>2281.2749999999992</v>
      </c>
      <c r="Y407">
        <v>-1109.3895328666044</v>
      </c>
    </row>
    <row r="408" spans="1:25" x14ac:dyDescent="0.35">
      <c r="A408">
        <v>364</v>
      </c>
      <c r="B408">
        <v>906.59999999999945</v>
      </c>
      <c r="C408">
        <v>958.39999999999964</v>
      </c>
      <c r="D408">
        <v>906.60000000000036</v>
      </c>
      <c r="E408">
        <v>-1204.1500000000005</v>
      </c>
      <c r="F408">
        <v>-355.92500000000018</v>
      </c>
      <c r="G408">
        <v>-2654.55</v>
      </c>
      <c r="J408">
        <v>364</v>
      </c>
      <c r="K408">
        <v>0</v>
      </c>
      <c r="L408">
        <v>0</v>
      </c>
      <c r="M408">
        <v>0</v>
      </c>
      <c r="N408">
        <v>226</v>
      </c>
      <c r="O408">
        <v>202</v>
      </c>
      <c r="P408">
        <v>320</v>
      </c>
      <c r="S408">
        <v>364</v>
      </c>
      <c r="T408">
        <v>906.59999999999945</v>
      </c>
      <c r="U408">
        <v>958.39999999999964</v>
      </c>
      <c r="V408">
        <v>906.59999999999945</v>
      </c>
      <c r="W408">
        <v>2285.1999999999998</v>
      </c>
      <c r="X408">
        <v>2310.3249999999998</v>
      </c>
      <c r="Y408">
        <v>-207.56649177257941</v>
      </c>
    </row>
    <row r="409" spans="1:25" x14ac:dyDescent="0.35">
      <c r="A409">
        <v>365</v>
      </c>
      <c r="B409">
        <v>906.59999999999945</v>
      </c>
      <c r="C409">
        <v>990.77499999999964</v>
      </c>
      <c r="D409">
        <v>906.60000000000036</v>
      </c>
      <c r="E409">
        <v>-1087.6000000000004</v>
      </c>
      <c r="F409">
        <v>-498.375</v>
      </c>
      <c r="G409">
        <v>-2576.8500000000004</v>
      </c>
      <c r="J409">
        <v>365</v>
      </c>
      <c r="K409">
        <v>0</v>
      </c>
      <c r="L409">
        <v>0</v>
      </c>
      <c r="M409">
        <v>0</v>
      </c>
      <c r="N409">
        <v>231</v>
      </c>
      <c r="O409">
        <v>164</v>
      </c>
      <c r="P409">
        <v>307</v>
      </c>
      <c r="S409">
        <v>365</v>
      </c>
      <c r="T409">
        <v>906.59999999999945</v>
      </c>
      <c r="U409">
        <v>977.82499999999891</v>
      </c>
      <c r="V409">
        <v>906.59999999999945</v>
      </c>
      <c r="W409">
        <v>2271.1999999999994</v>
      </c>
      <c r="X409">
        <v>145.6594826299343</v>
      </c>
      <c r="Y409">
        <v>1030.7196348770099</v>
      </c>
    </row>
    <row r="410" spans="1:25" x14ac:dyDescent="0.35">
      <c r="A410">
        <v>366</v>
      </c>
      <c r="B410">
        <v>906.59999999999945</v>
      </c>
      <c r="C410">
        <v>1016.6749999999993</v>
      </c>
      <c r="D410">
        <v>906.59999999999945</v>
      </c>
      <c r="E410">
        <v>-984</v>
      </c>
      <c r="F410">
        <v>-381.82500000000073</v>
      </c>
      <c r="G410">
        <v>-2369.6500000000005</v>
      </c>
      <c r="J410">
        <v>366</v>
      </c>
      <c r="K410">
        <v>0</v>
      </c>
      <c r="L410">
        <v>0</v>
      </c>
      <c r="M410">
        <v>0</v>
      </c>
      <c r="N410">
        <v>222</v>
      </c>
      <c r="O410">
        <v>182</v>
      </c>
      <c r="P410">
        <v>306</v>
      </c>
      <c r="S410">
        <v>366</v>
      </c>
      <c r="T410">
        <v>906.59999999999945</v>
      </c>
      <c r="U410">
        <v>964.875</v>
      </c>
      <c r="V410">
        <v>906.60000000000036</v>
      </c>
      <c r="W410">
        <v>2257.1999999999989</v>
      </c>
      <c r="X410">
        <v>2248.5249999999996</v>
      </c>
      <c r="Y410">
        <v>79.002962779757581</v>
      </c>
    </row>
    <row r="411" spans="1:25" x14ac:dyDescent="0.35">
      <c r="A411">
        <v>367</v>
      </c>
      <c r="B411">
        <v>906.59999999999945</v>
      </c>
      <c r="C411">
        <v>984.29999999999927</v>
      </c>
      <c r="D411">
        <v>906.60000000000036</v>
      </c>
      <c r="E411">
        <v>-1048.75</v>
      </c>
      <c r="F411">
        <v>-459.52499999999964</v>
      </c>
      <c r="G411">
        <v>-2460.3000000000002</v>
      </c>
      <c r="J411">
        <v>367</v>
      </c>
      <c r="K411">
        <v>0</v>
      </c>
      <c r="L411">
        <v>0</v>
      </c>
      <c r="M411">
        <v>0</v>
      </c>
      <c r="N411">
        <v>239</v>
      </c>
      <c r="O411">
        <v>188</v>
      </c>
      <c r="P411">
        <v>311</v>
      </c>
      <c r="S411">
        <v>367</v>
      </c>
      <c r="T411">
        <v>906.59999999999945</v>
      </c>
      <c r="U411">
        <v>977.82499999999891</v>
      </c>
      <c r="V411">
        <v>906.59999999999945</v>
      </c>
      <c r="W411">
        <v>134.63493606181692</v>
      </c>
      <c r="X411">
        <v>2261.3749999999995</v>
      </c>
      <c r="Y411">
        <v>1471.1574218915462</v>
      </c>
    </row>
    <row r="412" spans="1:25" x14ac:dyDescent="0.35">
      <c r="A412">
        <v>368</v>
      </c>
      <c r="B412">
        <v>906.59999999999945</v>
      </c>
      <c r="C412">
        <v>964.87499999999909</v>
      </c>
      <c r="D412">
        <v>906.60000000000036</v>
      </c>
      <c r="E412">
        <v>-1165.3000000000002</v>
      </c>
      <c r="F412">
        <v>-388.30000000000018</v>
      </c>
      <c r="G412">
        <v>-2123.6000000000004</v>
      </c>
      <c r="J412">
        <v>368</v>
      </c>
      <c r="K412">
        <v>0</v>
      </c>
      <c r="L412">
        <v>0</v>
      </c>
      <c r="M412">
        <v>0</v>
      </c>
      <c r="N412">
        <v>224</v>
      </c>
      <c r="O412">
        <v>170</v>
      </c>
      <c r="P412">
        <v>315</v>
      </c>
      <c r="S412">
        <v>368</v>
      </c>
      <c r="T412">
        <v>906.59999999999945</v>
      </c>
      <c r="U412">
        <v>997.25</v>
      </c>
      <c r="V412">
        <v>906.59999999999945</v>
      </c>
      <c r="W412">
        <v>2289.1999999999994</v>
      </c>
      <c r="X412">
        <v>2226.0499999999997</v>
      </c>
      <c r="Y412">
        <v>2449.1999999999989</v>
      </c>
    </row>
    <row r="413" spans="1:25" x14ac:dyDescent="0.35">
      <c r="A413">
        <v>369</v>
      </c>
      <c r="B413">
        <v>906.59999999999945</v>
      </c>
      <c r="C413">
        <v>971.34999999999945</v>
      </c>
      <c r="D413">
        <v>906.59999999999945</v>
      </c>
      <c r="E413">
        <v>-1165.3000000000002</v>
      </c>
      <c r="F413">
        <v>-368.875</v>
      </c>
      <c r="G413">
        <v>-2460.3000000000002</v>
      </c>
      <c r="J413">
        <v>369</v>
      </c>
      <c r="K413">
        <v>0</v>
      </c>
      <c r="L413">
        <v>0</v>
      </c>
      <c r="M413">
        <v>0</v>
      </c>
      <c r="N413">
        <v>219</v>
      </c>
      <c r="O413">
        <v>157</v>
      </c>
      <c r="P413">
        <v>311</v>
      </c>
      <c r="S413">
        <v>369</v>
      </c>
      <c r="T413">
        <v>906.59999999999945</v>
      </c>
      <c r="U413">
        <v>971.35000000000036</v>
      </c>
      <c r="V413">
        <v>906.59999999999945</v>
      </c>
      <c r="W413">
        <v>1344.2125165554135</v>
      </c>
      <c r="X413">
        <v>-550.17500000000109</v>
      </c>
      <c r="Y413">
        <v>-450.35842700229091</v>
      </c>
    </row>
    <row r="414" spans="1:25" x14ac:dyDescent="0.35">
      <c r="A414">
        <v>370</v>
      </c>
      <c r="B414">
        <v>906.59999999999945</v>
      </c>
      <c r="C414">
        <v>977.82499999999982</v>
      </c>
      <c r="D414">
        <v>906.60000000000036</v>
      </c>
      <c r="E414">
        <v>-1165.3000000000002</v>
      </c>
      <c r="F414">
        <v>-796.22500000000036</v>
      </c>
      <c r="G414">
        <v>-2525.0500000000002</v>
      </c>
      <c r="J414">
        <v>370</v>
      </c>
      <c r="K414">
        <v>0</v>
      </c>
      <c r="L414">
        <v>0</v>
      </c>
      <c r="M414">
        <v>0</v>
      </c>
      <c r="N414">
        <v>218</v>
      </c>
      <c r="O414">
        <v>163</v>
      </c>
      <c r="P414">
        <v>330</v>
      </c>
      <c r="S414">
        <v>370</v>
      </c>
      <c r="T414">
        <v>906.59999999999945</v>
      </c>
      <c r="U414">
        <v>1010.1999999999998</v>
      </c>
      <c r="V414">
        <v>906.59999999999945</v>
      </c>
      <c r="W414">
        <v>2273.1999999999998</v>
      </c>
      <c r="X414">
        <v>2239.474999999999</v>
      </c>
      <c r="Y414">
        <v>2481.1999999999998</v>
      </c>
    </row>
    <row r="415" spans="1:25" x14ac:dyDescent="0.35">
      <c r="A415">
        <v>371</v>
      </c>
      <c r="B415">
        <v>906.59999999999945</v>
      </c>
      <c r="C415">
        <v>977.82499999999982</v>
      </c>
      <c r="D415">
        <v>906.59999999999945</v>
      </c>
      <c r="E415">
        <v>-1281.8500000000004</v>
      </c>
      <c r="F415">
        <v>-213.47500000000036</v>
      </c>
      <c r="G415">
        <v>-2576.8500000000004</v>
      </c>
      <c r="J415">
        <v>371</v>
      </c>
      <c r="K415">
        <v>0</v>
      </c>
      <c r="L415">
        <v>0</v>
      </c>
      <c r="M415">
        <v>0</v>
      </c>
      <c r="N415">
        <v>243</v>
      </c>
      <c r="O415">
        <v>197</v>
      </c>
      <c r="P415">
        <v>333</v>
      </c>
      <c r="S415">
        <v>371</v>
      </c>
      <c r="T415">
        <v>906.59999999999945</v>
      </c>
      <c r="U415">
        <v>984.29999999999927</v>
      </c>
      <c r="V415">
        <v>906.59999999999945</v>
      </c>
      <c r="W415">
        <v>2227.1999999999989</v>
      </c>
      <c r="X415">
        <v>723.71404467799721</v>
      </c>
      <c r="Y415">
        <v>2447.1999999999998</v>
      </c>
    </row>
    <row r="416" spans="1:25" x14ac:dyDescent="0.35">
      <c r="A416">
        <v>372</v>
      </c>
      <c r="B416">
        <v>906.59999999999945</v>
      </c>
      <c r="C416">
        <v>977.82499999999891</v>
      </c>
      <c r="D416">
        <v>906.59999999999945</v>
      </c>
      <c r="E416">
        <v>-1126.4500000000007</v>
      </c>
      <c r="F416">
        <v>-511.32500000000073</v>
      </c>
      <c r="G416">
        <v>-2356.6999999999998</v>
      </c>
      <c r="J416">
        <v>372</v>
      </c>
      <c r="K416">
        <v>0</v>
      </c>
      <c r="L416">
        <v>0</v>
      </c>
      <c r="M416">
        <v>0</v>
      </c>
      <c r="N416">
        <v>211</v>
      </c>
      <c r="O416">
        <v>200</v>
      </c>
      <c r="P416">
        <v>340</v>
      </c>
      <c r="S416">
        <v>372</v>
      </c>
      <c r="T416">
        <v>906.59999999999945</v>
      </c>
      <c r="U416">
        <v>951.92499999999927</v>
      </c>
      <c r="V416">
        <v>906.60000000000036</v>
      </c>
      <c r="W416">
        <v>2277.1999999999989</v>
      </c>
      <c r="X416">
        <v>2242.0499999999993</v>
      </c>
      <c r="Y416">
        <v>-403.1422885878701</v>
      </c>
    </row>
    <row r="417" spans="1:25" x14ac:dyDescent="0.35">
      <c r="A417">
        <v>373</v>
      </c>
      <c r="B417">
        <v>906.59999999999945</v>
      </c>
      <c r="C417">
        <v>977.82499999999891</v>
      </c>
      <c r="D417">
        <v>906.59999999999945</v>
      </c>
      <c r="E417">
        <v>-1113.5</v>
      </c>
      <c r="F417">
        <v>-323.55000000000018</v>
      </c>
      <c r="G417">
        <v>-1955.25</v>
      </c>
      <c r="J417">
        <v>373</v>
      </c>
      <c r="K417">
        <v>0</v>
      </c>
      <c r="L417">
        <v>0</v>
      </c>
      <c r="M417">
        <v>0</v>
      </c>
      <c r="N417">
        <v>237</v>
      </c>
      <c r="O417">
        <v>174</v>
      </c>
      <c r="P417">
        <v>303</v>
      </c>
      <c r="S417">
        <v>373</v>
      </c>
      <c r="T417">
        <v>906.59999999999945</v>
      </c>
      <c r="U417">
        <v>984.29999999999927</v>
      </c>
      <c r="V417">
        <v>906.59999999999945</v>
      </c>
      <c r="W417">
        <v>2215.1999999999998</v>
      </c>
      <c r="X417">
        <v>2186.9999999999991</v>
      </c>
      <c r="Y417">
        <v>1311.0654543476162</v>
      </c>
    </row>
    <row r="418" spans="1:25" x14ac:dyDescent="0.35">
      <c r="A418">
        <v>374</v>
      </c>
      <c r="B418">
        <v>906.59999999999945</v>
      </c>
      <c r="C418">
        <v>1003.7249999999995</v>
      </c>
      <c r="D418">
        <v>906.60000000000036</v>
      </c>
      <c r="E418">
        <v>-776.80000000000018</v>
      </c>
      <c r="F418">
        <v>-239.375</v>
      </c>
      <c r="G418">
        <v>-2356.6999999999998</v>
      </c>
      <c r="J418">
        <v>374</v>
      </c>
      <c r="K418">
        <v>0</v>
      </c>
      <c r="L418">
        <v>0</v>
      </c>
      <c r="M418">
        <v>0</v>
      </c>
      <c r="N418">
        <v>247</v>
      </c>
      <c r="O418">
        <v>166</v>
      </c>
      <c r="P418">
        <v>321</v>
      </c>
      <c r="S418">
        <v>374</v>
      </c>
      <c r="T418">
        <v>906.59999999999945</v>
      </c>
      <c r="U418">
        <v>977.82499999999891</v>
      </c>
      <c r="V418">
        <v>906.60000000000036</v>
      </c>
      <c r="W418">
        <v>2275.1999999999998</v>
      </c>
      <c r="X418">
        <v>2263.9499999999994</v>
      </c>
      <c r="Y418">
        <v>1469.94210713643</v>
      </c>
    </row>
    <row r="419" spans="1:25" x14ac:dyDescent="0.35">
      <c r="A419">
        <v>375</v>
      </c>
      <c r="B419">
        <v>906.59999999999945</v>
      </c>
      <c r="C419">
        <v>951.92500000000018</v>
      </c>
      <c r="D419">
        <v>906.59999999999945</v>
      </c>
      <c r="E419">
        <v>-1126.4500000000007</v>
      </c>
      <c r="F419">
        <v>-550.17500000000109</v>
      </c>
      <c r="G419">
        <v>-2563.9000000000005</v>
      </c>
      <c r="J419">
        <v>375</v>
      </c>
      <c r="K419">
        <v>0</v>
      </c>
      <c r="L419">
        <v>0</v>
      </c>
      <c r="M419">
        <v>0</v>
      </c>
      <c r="N419">
        <v>241</v>
      </c>
      <c r="O419">
        <v>158</v>
      </c>
      <c r="P419">
        <v>305</v>
      </c>
      <c r="S419">
        <v>375</v>
      </c>
      <c r="T419">
        <v>906.59999999999945</v>
      </c>
      <c r="U419">
        <v>951.92499999999927</v>
      </c>
      <c r="V419">
        <v>906.59999999999945</v>
      </c>
      <c r="W419">
        <v>2289.1999999999994</v>
      </c>
      <c r="X419">
        <v>-563.125</v>
      </c>
      <c r="Y419">
        <v>1238.5806189237805</v>
      </c>
    </row>
    <row r="420" spans="1:25" x14ac:dyDescent="0.35">
      <c r="A420">
        <v>376</v>
      </c>
      <c r="B420">
        <v>906.59999999999945</v>
      </c>
      <c r="C420">
        <v>964.875</v>
      </c>
      <c r="D420">
        <v>906.60000000000036</v>
      </c>
      <c r="E420">
        <v>-1074.6500000000005</v>
      </c>
      <c r="F420">
        <v>-342.97500000000036</v>
      </c>
      <c r="G420">
        <v>-2369.6500000000005</v>
      </c>
      <c r="J420">
        <v>376</v>
      </c>
      <c r="K420">
        <v>0</v>
      </c>
      <c r="L420">
        <v>0</v>
      </c>
      <c r="M420">
        <v>0</v>
      </c>
      <c r="N420">
        <v>211</v>
      </c>
      <c r="O420">
        <v>174</v>
      </c>
      <c r="P420">
        <v>326</v>
      </c>
      <c r="S420">
        <v>376</v>
      </c>
      <c r="T420">
        <v>906.59999999999945</v>
      </c>
      <c r="U420">
        <v>984.29999999999927</v>
      </c>
      <c r="V420">
        <v>906.59999999999945</v>
      </c>
      <c r="W420">
        <v>2259.1999999999994</v>
      </c>
      <c r="X420">
        <v>2273.8500000000004</v>
      </c>
      <c r="Y420">
        <v>2491.1999999999998</v>
      </c>
    </row>
    <row r="421" spans="1:25" x14ac:dyDescent="0.35">
      <c r="A421">
        <v>377</v>
      </c>
      <c r="B421">
        <v>906.59999999999945</v>
      </c>
      <c r="C421">
        <v>977.82499999999982</v>
      </c>
      <c r="D421">
        <v>906.60000000000036</v>
      </c>
      <c r="E421">
        <v>-1126.4500000000007</v>
      </c>
      <c r="F421">
        <v>-420.67500000000018</v>
      </c>
      <c r="G421">
        <v>-2175.4000000000005</v>
      </c>
      <c r="J421">
        <v>377</v>
      </c>
      <c r="K421">
        <v>0</v>
      </c>
      <c r="L421">
        <v>0</v>
      </c>
      <c r="M421">
        <v>0</v>
      </c>
      <c r="N421">
        <v>237</v>
      </c>
      <c r="O421">
        <v>177</v>
      </c>
      <c r="P421">
        <v>300</v>
      </c>
      <c r="S421">
        <v>377</v>
      </c>
      <c r="T421">
        <v>906.59999999999945</v>
      </c>
      <c r="U421">
        <v>964.87499999999909</v>
      </c>
      <c r="V421">
        <v>906.59999999999945</v>
      </c>
      <c r="W421">
        <v>2269.1999999999994</v>
      </c>
      <c r="X421">
        <v>2222.4249999999997</v>
      </c>
      <c r="Y421">
        <v>1660.431191007242</v>
      </c>
    </row>
    <row r="422" spans="1:25" x14ac:dyDescent="0.35">
      <c r="A422">
        <v>378</v>
      </c>
      <c r="B422">
        <v>906.59999999999945</v>
      </c>
      <c r="C422">
        <v>984.29999999999927</v>
      </c>
      <c r="D422">
        <v>906.59999999999945</v>
      </c>
      <c r="E422">
        <v>-841.55000000000018</v>
      </c>
      <c r="F422">
        <v>-601.97500000000036</v>
      </c>
      <c r="G422">
        <v>-2615.6999999999998</v>
      </c>
      <c r="J422">
        <v>378</v>
      </c>
      <c r="K422">
        <v>0</v>
      </c>
      <c r="L422">
        <v>0</v>
      </c>
      <c r="M422">
        <v>0</v>
      </c>
      <c r="N422">
        <v>230</v>
      </c>
      <c r="O422">
        <v>174</v>
      </c>
      <c r="P422">
        <v>323</v>
      </c>
      <c r="S422">
        <v>378</v>
      </c>
      <c r="T422">
        <v>906.59999999999945</v>
      </c>
      <c r="U422">
        <v>977.82499999999891</v>
      </c>
      <c r="V422">
        <v>906.60000000000036</v>
      </c>
      <c r="W422">
        <v>2263.1999999999998</v>
      </c>
      <c r="X422">
        <v>2299.2749999999992</v>
      </c>
      <c r="Y422">
        <v>2014.8777263088896</v>
      </c>
    </row>
    <row r="423" spans="1:25" x14ac:dyDescent="0.35">
      <c r="A423">
        <v>379</v>
      </c>
      <c r="B423">
        <v>906.59999999999945</v>
      </c>
      <c r="C423">
        <v>958.39999999999964</v>
      </c>
      <c r="D423">
        <v>906.60000000000036</v>
      </c>
      <c r="E423">
        <v>-1035.8000000000002</v>
      </c>
      <c r="F423">
        <v>-446.57500000000073</v>
      </c>
      <c r="G423">
        <v>-2266.0500000000002</v>
      </c>
      <c r="J423">
        <v>379</v>
      </c>
      <c r="K423">
        <v>0</v>
      </c>
      <c r="L423">
        <v>0</v>
      </c>
      <c r="M423">
        <v>0</v>
      </c>
      <c r="N423">
        <v>240</v>
      </c>
      <c r="O423">
        <v>181</v>
      </c>
      <c r="P423">
        <v>303</v>
      </c>
      <c r="S423">
        <v>379</v>
      </c>
      <c r="T423">
        <v>906.59999999999945</v>
      </c>
      <c r="U423">
        <v>964.875</v>
      </c>
      <c r="V423">
        <v>906.59999999999945</v>
      </c>
      <c r="W423">
        <v>2293.1999999999998</v>
      </c>
      <c r="X423">
        <v>736.23284004570746</v>
      </c>
      <c r="Y423">
        <v>2429.1999999999989</v>
      </c>
    </row>
    <row r="424" spans="1:25" x14ac:dyDescent="0.35">
      <c r="A424">
        <v>380</v>
      </c>
      <c r="B424">
        <v>906.59999999999945</v>
      </c>
      <c r="C424">
        <v>997.24999999999909</v>
      </c>
      <c r="D424">
        <v>906.59999999999945</v>
      </c>
      <c r="E424">
        <v>-1178.25</v>
      </c>
      <c r="F424">
        <v>-491.90000000000055</v>
      </c>
      <c r="G424">
        <v>-2538</v>
      </c>
      <c r="J424">
        <v>380</v>
      </c>
      <c r="K424">
        <v>0</v>
      </c>
      <c r="L424">
        <v>0</v>
      </c>
      <c r="M424">
        <v>0</v>
      </c>
      <c r="N424">
        <v>198</v>
      </c>
      <c r="O424">
        <v>198</v>
      </c>
      <c r="P424">
        <v>349</v>
      </c>
      <c r="S424">
        <v>380</v>
      </c>
      <c r="T424">
        <v>906.59999999999945</v>
      </c>
      <c r="U424">
        <v>945.44999999999982</v>
      </c>
      <c r="V424">
        <v>906.59999999999945</v>
      </c>
      <c r="W424">
        <v>2289.1999999999994</v>
      </c>
      <c r="X424">
        <v>841.45599700076286</v>
      </c>
      <c r="Y424">
        <v>2449.1999999999989</v>
      </c>
    </row>
    <row r="425" spans="1:25" x14ac:dyDescent="0.35">
      <c r="A425">
        <v>381</v>
      </c>
      <c r="B425">
        <v>906.59999999999945</v>
      </c>
      <c r="C425">
        <v>977.82499999999982</v>
      </c>
      <c r="D425">
        <v>906.59999999999945</v>
      </c>
      <c r="E425">
        <v>-971.05000000000018</v>
      </c>
      <c r="F425">
        <v>-601.97500000000036</v>
      </c>
      <c r="G425">
        <v>-2421.4499999999998</v>
      </c>
      <c r="J425">
        <v>381</v>
      </c>
      <c r="K425">
        <v>0</v>
      </c>
      <c r="L425">
        <v>0</v>
      </c>
      <c r="M425">
        <v>0</v>
      </c>
      <c r="N425">
        <v>204</v>
      </c>
      <c r="O425">
        <v>182</v>
      </c>
      <c r="P425">
        <v>305</v>
      </c>
      <c r="S425">
        <v>381</v>
      </c>
      <c r="T425">
        <v>906.59999999999945</v>
      </c>
      <c r="U425">
        <v>951.92499999999927</v>
      </c>
      <c r="V425">
        <v>906.59999999999945</v>
      </c>
      <c r="W425">
        <v>2291.1999999999994</v>
      </c>
      <c r="X425">
        <v>434.86250496677178</v>
      </c>
      <c r="Y425">
        <v>1203.6197270275088</v>
      </c>
    </row>
    <row r="426" spans="1:25" x14ac:dyDescent="0.35">
      <c r="A426">
        <v>382</v>
      </c>
      <c r="B426">
        <v>906.59999999999945</v>
      </c>
      <c r="C426">
        <v>977.82499999999982</v>
      </c>
      <c r="D426">
        <v>906.59999999999945</v>
      </c>
      <c r="E426">
        <v>-984</v>
      </c>
      <c r="F426">
        <v>-666.72500000000036</v>
      </c>
      <c r="G426">
        <v>-2317.8500000000004</v>
      </c>
      <c r="J426">
        <v>382</v>
      </c>
      <c r="K426">
        <v>0</v>
      </c>
      <c r="L426">
        <v>0</v>
      </c>
      <c r="M426">
        <v>0</v>
      </c>
      <c r="N426">
        <v>233</v>
      </c>
      <c r="O426">
        <v>179</v>
      </c>
      <c r="P426">
        <v>329</v>
      </c>
      <c r="S426">
        <v>382</v>
      </c>
      <c r="T426">
        <v>906.59999999999945</v>
      </c>
      <c r="U426">
        <v>971.34999999999945</v>
      </c>
      <c r="V426">
        <v>906.60000000000036</v>
      </c>
      <c r="W426">
        <v>2227.1999999999989</v>
      </c>
      <c r="X426">
        <v>2253.9499999999994</v>
      </c>
      <c r="Y426">
        <v>1455.3636988295511</v>
      </c>
    </row>
    <row r="427" spans="1:25" x14ac:dyDescent="0.35">
      <c r="A427">
        <v>383</v>
      </c>
      <c r="B427">
        <v>906.59999999999945</v>
      </c>
      <c r="C427">
        <v>1016.6749999999993</v>
      </c>
      <c r="D427">
        <v>906.59999999999945</v>
      </c>
      <c r="E427">
        <v>-1178.25</v>
      </c>
      <c r="F427">
        <v>-375.35000000000036</v>
      </c>
      <c r="G427">
        <v>-2369.6500000000005</v>
      </c>
      <c r="J427">
        <v>383</v>
      </c>
      <c r="K427">
        <v>0</v>
      </c>
      <c r="L427">
        <v>0</v>
      </c>
      <c r="M427">
        <v>0</v>
      </c>
      <c r="N427">
        <v>213</v>
      </c>
      <c r="O427">
        <v>191</v>
      </c>
      <c r="P427">
        <v>286</v>
      </c>
      <c r="S427">
        <v>383</v>
      </c>
      <c r="T427">
        <v>906.59999999999945</v>
      </c>
      <c r="U427">
        <v>1036.0999999999995</v>
      </c>
      <c r="V427">
        <v>906.59999999999945</v>
      </c>
      <c r="W427">
        <v>2241.1999999999994</v>
      </c>
      <c r="X427">
        <v>876.92414215315102</v>
      </c>
      <c r="Y427">
        <v>2429.1999999999989</v>
      </c>
    </row>
    <row r="428" spans="1:25" x14ac:dyDescent="0.35">
      <c r="A428">
        <v>384</v>
      </c>
      <c r="B428">
        <v>906.59999999999945</v>
      </c>
      <c r="C428">
        <v>938.97499999999945</v>
      </c>
      <c r="D428">
        <v>906.59999999999945</v>
      </c>
      <c r="E428">
        <v>-737.95000000000073</v>
      </c>
      <c r="F428">
        <v>-446.57500000000073</v>
      </c>
      <c r="G428">
        <v>-2538</v>
      </c>
      <c r="J428">
        <v>384</v>
      </c>
      <c r="K428">
        <v>0</v>
      </c>
      <c r="L428">
        <v>0</v>
      </c>
      <c r="M428">
        <v>0</v>
      </c>
      <c r="N428">
        <v>222</v>
      </c>
      <c r="O428">
        <v>179</v>
      </c>
      <c r="P428">
        <v>322</v>
      </c>
      <c r="S428">
        <v>384</v>
      </c>
      <c r="T428">
        <v>906.59999999999945</v>
      </c>
      <c r="U428">
        <v>977.82499999999982</v>
      </c>
      <c r="V428">
        <v>906.59999999999945</v>
      </c>
      <c r="W428">
        <v>2227.1999999999989</v>
      </c>
      <c r="X428">
        <v>2281.849999999999</v>
      </c>
      <c r="Y428">
        <v>2481.1999999999998</v>
      </c>
    </row>
    <row r="429" spans="1:25" x14ac:dyDescent="0.35">
      <c r="A429">
        <v>385</v>
      </c>
      <c r="B429">
        <v>906.59999999999945</v>
      </c>
      <c r="C429">
        <v>964.87499999999909</v>
      </c>
      <c r="D429">
        <v>906.59999999999945</v>
      </c>
      <c r="E429">
        <v>-1100.5500000000002</v>
      </c>
      <c r="F429">
        <v>-563.125</v>
      </c>
      <c r="G429">
        <v>-2201.3000000000002</v>
      </c>
      <c r="J429">
        <v>385</v>
      </c>
      <c r="K429">
        <v>0</v>
      </c>
      <c r="L429">
        <v>0</v>
      </c>
      <c r="M429">
        <v>0</v>
      </c>
      <c r="N429">
        <v>229</v>
      </c>
      <c r="O429">
        <v>189</v>
      </c>
      <c r="P429">
        <v>348</v>
      </c>
      <c r="S429">
        <v>385</v>
      </c>
      <c r="T429">
        <v>906.59999999999945</v>
      </c>
      <c r="U429">
        <v>971.34999999999945</v>
      </c>
      <c r="V429">
        <v>906.59999999999945</v>
      </c>
      <c r="W429">
        <v>2219.1999999999994</v>
      </c>
      <c r="X429">
        <v>2258.8999999999992</v>
      </c>
      <c r="Y429">
        <v>120.10892388859338</v>
      </c>
    </row>
    <row r="430" spans="1:25" x14ac:dyDescent="0.35">
      <c r="A430">
        <v>386</v>
      </c>
      <c r="B430">
        <v>906.59999999999945</v>
      </c>
      <c r="C430">
        <v>964.875</v>
      </c>
      <c r="D430">
        <v>906.59999999999945</v>
      </c>
      <c r="E430">
        <v>-1178.25</v>
      </c>
      <c r="F430">
        <v>-660.25</v>
      </c>
      <c r="G430">
        <v>-2628.6500000000005</v>
      </c>
      <c r="J430">
        <v>386</v>
      </c>
      <c r="K430">
        <v>0</v>
      </c>
      <c r="L430">
        <v>0</v>
      </c>
      <c r="M430">
        <v>0</v>
      </c>
      <c r="N430">
        <v>223</v>
      </c>
      <c r="O430">
        <v>179</v>
      </c>
      <c r="P430">
        <v>309</v>
      </c>
      <c r="S430">
        <v>386</v>
      </c>
      <c r="T430">
        <v>906.59999999999945</v>
      </c>
      <c r="U430">
        <v>945.44999999999982</v>
      </c>
      <c r="V430">
        <v>906.60000000000036</v>
      </c>
      <c r="W430">
        <v>-1359.5500000000002</v>
      </c>
      <c r="X430">
        <v>2341.7499999999991</v>
      </c>
      <c r="Y430">
        <v>2389.1999999999989</v>
      </c>
    </row>
    <row r="431" spans="1:25" x14ac:dyDescent="0.35">
      <c r="A431">
        <v>387</v>
      </c>
      <c r="B431">
        <v>906.59999999999945</v>
      </c>
      <c r="C431">
        <v>951.92499999999927</v>
      </c>
      <c r="D431">
        <v>906.59999999999945</v>
      </c>
      <c r="E431">
        <v>-906.30000000000018</v>
      </c>
      <c r="F431">
        <v>-64.550000000001091</v>
      </c>
      <c r="G431">
        <v>-2667.5</v>
      </c>
      <c r="J431">
        <v>387</v>
      </c>
      <c r="K431">
        <v>0</v>
      </c>
      <c r="L431">
        <v>0</v>
      </c>
      <c r="M431">
        <v>0</v>
      </c>
      <c r="N431">
        <v>225</v>
      </c>
      <c r="O431">
        <v>172</v>
      </c>
      <c r="P431">
        <v>325</v>
      </c>
      <c r="S431">
        <v>387</v>
      </c>
      <c r="T431">
        <v>906.59999999999945</v>
      </c>
      <c r="U431">
        <v>1016.6750000000002</v>
      </c>
      <c r="V431">
        <v>906.59999999999945</v>
      </c>
      <c r="W431">
        <v>2251.1999999999994</v>
      </c>
      <c r="X431">
        <v>1648.7703427609622</v>
      </c>
      <c r="Y431">
        <v>1899.302716821564</v>
      </c>
    </row>
    <row r="432" spans="1:25" x14ac:dyDescent="0.35">
      <c r="A432">
        <v>388</v>
      </c>
      <c r="B432">
        <v>906.59999999999945</v>
      </c>
      <c r="C432">
        <v>977.82499999999982</v>
      </c>
      <c r="D432">
        <v>906.60000000000036</v>
      </c>
      <c r="E432">
        <v>-1540.8500000000004</v>
      </c>
      <c r="F432">
        <v>-653.77499999999964</v>
      </c>
      <c r="G432">
        <v>-2279</v>
      </c>
      <c r="J432">
        <v>388</v>
      </c>
      <c r="K432">
        <v>0</v>
      </c>
      <c r="L432">
        <v>0</v>
      </c>
      <c r="M432">
        <v>0</v>
      </c>
      <c r="N432">
        <v>225</v>
      </c>
      <c r="O432">
        <v>187</v>
      </c>
      <c r="P432">
        <v>329</v>
      </c>
      <c r="S432">
        <v>388</v>
      </c>
      <c r="T432">
        <v>906.59999999999945</v>
      </c>
      <c r="U432">
        <v>964.87499999999909</v>
      </c>
      <c r="V432">
        <v>906.59999999999945</v>
      </c>
      <c r="W432">
        <v>2239.1999999999994</v>
      </c>
      <c r="X432">
        <v>1127.5391819330591</v>
      </c>
      <c r="Y432">
        <v>2477.1999999999998</v>
      </c>
    </row>
    <row r="433" spans="1:25" x14ac:dyDescent="0.35">
      <c r="A433">
        <v>389</v>
      </c>
      <c r="B433">
        <v>906.59999999999945</v>
      </c>
      <c r="C433">
        <v>964.87499999999909</v>
      </c>
      <c r="D433">
        <v>906.59999999999945</v>
      </c>
      <c r="E433">
        <v>-1333.6500000000005</v>
      </c>
      <c r="F433">
        <v>-401.25</v>
      </c>
      <c r="G433">
        <v>-2486.1999999999998</v>
      </c>
      <c r="J433">
        <v>389</v>
      </c>
      <c r="K433">
        <v>0</v>
      </c>
      <c r="L433">
        <v>0</v>
      </c>
      <c r="M433">
        <v>0</v>
      </c>
      <c r="N433">
        <v>248</v>
      </c>
      <c r="O433">
        <v>193</v>
      </c>
      <c r="P433">
        <v>294</v>
      </c>
      <c r="S433">
        <v>389</v>
      </c>
      <c r="T433">
        <v>906.59999999999945</v>
      </c>
      <c r="U433">
        <v>971.35000000000036</v>
      </c>
      <c r="V433">
        <v>906.60000000000036</v>
      </c>
      <c r="W433">
        <v>2259.1999999999994</v>
      </c>
      <c r="X433">
        <v>2334.3249999999989</v>
      </c>
      <c r="Y433">
        <v>2461.1999999999998</v>
      </c>
    </row>
    <row r="434" spans="1:25" x14ac:dyDescent="0.35">
      <c r="A434">
        <v>390</v>
      </c>
      <c r="B434">
        <v>906.59999999999945</v>
      </c>
      <c r="C434">
        <v>984.29999999999927</v>
      </c>
      <c r="D434">
        <v>906.59999999999945</v>
      </c>
      <c r="E434">
        <v>-1126.4500000000007</v>
      </c>
      <c r="F434">
        <v>-472.47500000000036</v>
      </c>
      <c r="G434">
        <v>-1903.4500000000007</v>
      </c>
      <c r="J434">
        <v>390</v>
      </c>
      <c r="K434">
        <v>0</v>
      </c>
      <c r="L434">
        <v>0</v>
      </c>
      <c r="M434">
        <v>0</v>
      </c>
      <c r="N434">
        <v>249</v>
      </c>
      <c r="O434">
        <v>175</v>
      </c>
      <c r="P434">
        <v>308</v>
      </c>
      <c r="S434">
        <v>390</v>
      </c>
      <c r="T434">
        <v>906.59999999999945</v>
      </c>
      <c r="U434">
        <v>977.82499999999982</v>
      </c>
      <c r="V434">
        <v>906.60000000000036</v>
      </c>
      <c r="W434">
        <v>1611.778326561373</v>
      </c>
      <c r="X434">
        <v>2272.4249999999997</v>
      </c>
      <c r="Y434">
        <v>2501.1999999999998</v>
      </c>
    </row>
    <row r="435" spans="1:25" x14ac:dyDescent="0.35">
      <c r="A435">
        <v>391</v>
      </c>
      <c r="B435">
        <v>906.59999999999945</v>
      </c>
      <c r="C435">
        <v>964.875</v>
      </c>
      <c r="D435">
        <v>906.60000000000036</v>
      </c>
      <c r="E435">
        <v>-1048.75</v>
      </c>
      <c r="F435">
        <v>-284.70000000000073</v>
      </c>
      <c r="G435">
        <v>-2253.1000000000004</v>
      </c>
      <c r="J435">
        <v>391</v>
      </c>
      <c r="K435">
        <v>0</v>
      </c>
      <c r="L435">
        <v>0</v>
      </c>
      <c r="M435">
        <v>0</v>
      </c>
      <c r="N435">
        <v>217</v>
      </c>
      <c r="O435">
        <v>167</v>
      </c>
      <c r="P435">
        <v>327</v>
      </c>
      <c r="S435">
        <v>391</v>
      </c>
      <c r="T435">
        <v>906.59999999999945</v>
      </c>
      <c r="U435">
        <v>997.25</v>
      </c>
      <c r="V435">
        <v>906.60000000000036</v>
      </c>
      <c r="W435">
        <v>-291.69262739245812</v>
      </c>
      <c r="X435">
        <v>2279.3749999999991</v>
      </c>
      <c r="Y435">
        <v>2411.1999999999998</v>
      </c>
    </row>
    <row r="436" spans="1:25" x14ac:dyDescent="0.35">
      <c r="A436">
        <v>392</v>
      </c>
      <c r="B436">
        <v>906.59999999999945</v>
      </c>
      <c r="C436">
        <v>945.44999999999891</v>
      </c>
      <c r="D436">
        <v>906.59999999999945</v>
      </c>
      <c r="E436">
        <v>-1100.5500000000002</v>
      </c>
      <c r="F436">
        <v>-466</v>
      </c>
      <c r="G436">
        <v>-2317.8500000000004</v>
      </c>
      <c r="J436">
        <v>392</v>
      </c>
      <c r="K436">
        <v>0</v>
      </c>
      <c r="L436">
        <v>0</v>
      </c>
      <c r="M436">
        <v>0</v>
      </c>
      <c r="N436">
        <v>226</v>
      </c>
      <c r="O436">
        <v>172</v>
      </c>
      <c r="P436">
        <v>332</v>
      </c>
      <c r="S436">
        <v>392</v>
      </c>
      <c r="T436">
        <v>906.59999999999945</v>
      </c>
      <c r="U436">
        <v>964.875</v>
      </c>
      <c r="V436">
        <v>906.59999999999945</v>
      </c>
      <c r="W436">
        <v>406.80464315949348</v>
      </c>
      <c r="X436">
        <v>1368.4927742934642</v>
      </c>
      <c r="Y436">
        <v>-878.60058833722928</v>
      </c>
    </row>
    <row r="437" spans="1:25" x14ac:dyDescent="0.35">
      <c r="A437">
        <v>393</v>
      </c>
      <c r="B437">
        <v>906.59999999999945</v>
      </c>
      <c r="C437">
        <v>958.39999999999873</v>
      </c>
      <c r="D437">
        <v>906.60000000000036</v>
      </c>
      <c r="E437">
        <v>-996.95000000000073</v>
      </c>
      <c r="F437">
        <v>-265.27499999999964</v>
      </c>
      <c r="G437">
        <v>-2330.8000000000002</v>
      </c>
      <c r="J437">
        <v>393</v>
      </c>
      <c r="K437">
        <v>0</v>
      </c>
      <c r="L437">
        <v>0</v>
      </c>
      <c r="M437">
        <v>0</v>
      </c>
      <c r="N437">
        <v>246</v>
      </c>
      <c r="O437">
        <v>176</v>
      </c>
      <c r="P437">
        <v>324</v>
      </c>
      <c r="S437">
        <v>393</v>
      </c>
      <c r="T437">
        <v>906.59999999999945</v>
      </c>
      <c r="U437">
        <v>977.82499999999891</v>
      </c>
      <c r="V437">
        <v>906.60000000000036</v>
      </c>
      <c r="W437">
        <v>2311.1999999999994</v>
      </c>
      <c r="X437">
        <v>2209.9499999999998</v>
      </c>
      <c r="Y437">
        <v>-1420.3351823313606</v>
      </c>
    </row>
    <row r="438" spans="1:25" x14ac:dyDescent="0.35">
      <c r="A438">
        <v>394</v>
      </c>
      <c r="B438">
        <v>906.59999999999945</v>
      </c>
      <c r="C438">
        <v>958.39999999999964</v>
      </c>
      <c r="D438">
        <v>906.59999999999945</v>
      </c>
      <c r="E438">
        <v>-880.40000000000055</v>
      </c>
      <c r="F438">
        <v>-699.10000000000036</v>
      </c>
      <c r="G438">
        <v>-2382.6000000000004</v>
      </c>
      <c r="J438">
        <v>394</v>
      </c>
      <c r="K438">
        <v>0</v>
      </c>
      <c r="L438">
        <v>0</v>
      </c>
      <c r="M438">
        <v>0</v>
      </c>
      <c r="N438">
        <v>236</v>
      </c>
      <c r="O438">
        <v>169</v>
      </c>
      <c r="P438">
        <v>313</v>
      </c>
      <c r="S438">
        <v>394</v>
      </c>
      <c r="T438">
        <v>906.59999999999945</v>
      </c>
      <c r="U438">
        <v>964.875</v>
      </c>
      <c r="V438">
        <v>906.59999999999945</v>
      </c>
      <c r="W438">
        <v>2247.1999999999989</v>
      </c>
      <c r="X438">
        <v>2197.5749999999998</v>
      </c>
      <c r="Y438">
        <v>2447.1999999999998</v>
      </c>
    </row>
    <row r="439" spans="1:25" x14ac:dyDescent="0.35">
      <c r="A439">
        <v>395</v>
      </c>
      <c r="B439">
        <v>906.59999999999945</v>
      </c>
      <c r="C439">
        <v>971.34999999999945</v>
      </c>
      <c r="D439">
        <v>906.59999999999945</v>
      </c>
      <c r="E439">
        <v>-996.95000000000073</v>
      </c>
      <c r="F439">
        <v>-556.65000000000055</v>
      </c>
      <c r="G439">
        <v>-2382.6000000000004</v>
      </c>
      <c r="J439">
        <v>395</v>
      </c>
      <c r="K439">
        <v>0</v>
      </c>
      <c r="L439">
        <v>0</v>
      </c>
      <c r="M439">
        <v>0</v>
      </c>
      <c r="N439">
        <v>229</v>
      </c>
      <c r="O439">
        <v>159</v>
      </c>
      <c r="P439">
        <v>314</v>
      </c>
      <c r="S439">
        <v>395</v>
      </c>
      <c r="T439">
        <v>906.59999999999945</v>
      </c>
      <c r="U439">
        <v>951.92499999999927</v>
      </c>
      <c r="V439">
        <v>906.59999999999945</v>
      </c>
      <c r="W439">
        <v>2225.1999999999998</v>
      </c>
      <c r="X439">
        <v>2215</v>
      </c>
      <c r="Y439">
        <v>1901.1660511671889</v>
      </c>
    </row>
    <row r="440" spans="1:25" x14ac:dyDescent="0.35">
      <c r="A440">
        <v>396</v>
      </c>
      <c r="B440">
        <v>906.59999999999945</v>
      </c>
      <c r="C440">
        <v>1023.1499999999996</v>
      </c>
      <c r="D440">
        <v>906.59999999999945</v>
      </c>
      <c r="E440">
        <v>-1048.75</v>
      </c>
      <c r="F440">
        <v>-673.20000000000073</v>
      </c>
      <c r="G440">
        <v>-2149.5</v>
      </c>
      <c r="J440">
        <v>396</v>
      </c>
      <c r="K440">
        <v>0</v>
      </c>
      <c r="L440">
        <v>0</v>
      </c>
      <c r="M440">
        <v>0</v>
      </c>
      <c r="N440">
        <v>238</v>
      </c>
      <c r="O440">
        <v>170</v>
      </c>
      <c r="P440">
        <v>343</v>
      </c>
      <c r="S440">
        <v>396</v>
      </c>
      <c r="T440">
        <v>906.59999999999945</v>
      </c>
      <c r="U440">
        <v>951.92499999999927</v>
      </c>
      <c r="V440">
        <v>919.55000000000018</v>
      </c>
      <c r="W440">
        <v>2297.1999999999989</v>
      </c>
      <c r="X440">
        <v>2222.4249999999997</v>
      </c>
      <c r="Y440">
        <v>2497.1999999999998</v>
      </c>
    </row>
    <row r="441" spans="1:25" x14ac:dyDescent="0.35">
      <c r="A441">
        <v>397</v>
      </c>
      <c r="B441">
        <v>906.59999999999945</v>
      </c>
      <c r="C441">
        <v>945.44999999999891</v>
      </c>
      <c r="D441">
        <v>919.54999999999927</v>
      </c>
      <c r="E441">
        <v>-1139.4000000000005</v>
      </c>
      <c r="F441">
        <v>-511.32500000000073</v>
      </c>
      <c r="G441">
        <v>-2227.2000000000007</v>
      </c>
      <c r="J441">
        <v>397</v>
      </c>
      <c r="K441">
        <v>0</v>
      </c>
      <c r="L441">
        <v>0</v>
      </c>
      <c r="M441">
        <v>0</v>
      </c>
      <c r="N441">
        <v>220</v>
      </c>
      <c r="O441">
        <v>198</v>
      </c>
      <c r="P441">
        <v>326</v>
      </c>
      <c r="S441">
        <v>397</v>
      </c>
      <c r="T441">
        <v>906.59999999999945</v>
      </c>
      <c r="U441">
        <v>958.39999999999964</v>
      </c>
      <c r="V441">
        <v>906.60000000000036</v>
      </c>
      <c r="W441">
        <v>1256.9438432793681</v>
      </c>
      <c r="X441">
        <v>2234.4249999999993</v>
      </c>
      <c r="Y441">
        <v>683.19031427659183</v>
      </c>
    </row>
    <row r="442" spans="1:25" x14ac:dyDescent="0.35">
      <c r="A442">
        <v>398</v>
      </c>
      <c r="B442">
        <v>906.59999999999945</v>
      </c>
      <c r="C442">
        <v>977.82499999999982</v>
      </c>
      <c r="D442">
        <v>906.59999999999945</v>
      </c>
      <c r="E442">
        <v>-1087.6000000000004</v>
      </c>
      <c r="F442">
        <v>-414.20000000000073</v>
      </c>
      <c r="G442">
        <v>-2447.3500000000004</v>
      </c>
      <c r="J442">
        <v>398</v>
      </c>
      <c r="K442">
        <v>0</v>
      </c>
      <c r="L442">
        <v>0</v>
      </c>
      <c r="M442">
        <v>0</v>
      </c>
      <c r="N442">
        <v>223</v>
      </c>
      <c r="O442">
        <v>193</v>
      </c>
      <c r="P442">
        <v>335</v>
      </c>
      <c r="S442">
        <v>398</v>
      </c>
      <c r="T442">
        <v>906.59999999999945</v>
      </c>
      <c r="U442">
        <v>1016.6750000000002</v>
      </c>
      <c r="V442">
        <v>906.59999999999945</v>
      </c>
      <c r="W442">
        <v>2291.1999999999994</v>
      </c>
      <c r="X442">
        <v>2251.4750000000004</v>
      </c>
      <c r="Y442">
        <v>2461.1999999999998</v>
      </c>
    </row>
    <row r="443" spans="1:25" x14ac:dyDescent="0.35">
      <c r="A443">
        <v>399</v>
      </c>
      <c r="B443">
        <v>906.59999999999945</v>
      </c>
      <c r="C443">
        <v>964.87499999999909</v>
      </c>
      <c r="D443">
        <v>906.59999999999945</v>
      </c>
      <c r="E443">
        <v>-737.95000000000073</v>
      </c>
      <c r="F443">
        <v>-550.17500000000018</v>
      </c>
      <c r="G443">
        <v>-2253.1000000000004</v>
      </c>
      <c r="J443">
        <v>399</v>
      </c>
      <c r="K443">
        <v>0</v>
      </c>
      <c r="L443">
        <v>0</v>
      </c>
      <c r="M443">
        <v>0</v>
      </c>
      <c r="N443">
        <v>228</v>
      </c>
      <c r="O443">
        <v>169</v>
      </c>
      <c r="P443">
        <v>317</v>
      </c>
      <c r="S443">
        <v>399</v>
      </c>
      <c r="T443">
        <v>906.59999999999945</v>
      </c>
      <c r="U443">
        <v>951.92499999999927</v>
      </c>
      <c r="V443">
        <v>906.60000000000036</v>
      </c>
      <c r="W443">
        <v>2261.1999999999994</v>
      </c>
      <c r="X443">
        <v>2228.5249999999996</v>
      </c>
      <c r="Y443">
        <v>401.03907220720293</v>
      </c>
    </row>
    <row r="444" spans="1:25" x14ac:dyDescent="0.35">
      <c r="A444">
        <v>400</v>
      </c>
      <c r="B444">
        <v>906.59999999999945</v>
      </c>
      <c r="C444">
        <v>964.87499999999909</v>
      </c>
      <c r="D444">
        <v>906.60000000000036</v>
      </c>
      <c r="E444">
        <v>-1022.8500000000004</v>
      </c>
      <c r="F444">
        <v>-530.75</v>
      </c>
      <c r="G444">
        <v>-2253.1000000000004</v>
      </c>
      <c r="J444">
        <v>400</v>
      </c>
      <c r="K444">
        <v>0</v>
      </c>
      <c r="L444">
        <v>0</v>
      </c>
      <c r="M444">
        <v>0</v>
      </c>
      <c r="N444">
        <v>212</v>
      </c>
      <c r="O444">
        <v>171</v>
      </c>
      <c r="P444">
        <v>313</v>
      </c>
      <c r="S444">
        <v>400</v>
      </c>
      <c r="T444">
        <v>906.59999999999945</v>
      </c>
      <c r="U444">
        <v>1003.7249999999985</v>
      </c>
      <c r="V444">
        <v>924.60000000000014</v>
      </c>
      <c r="W444">
        <v>-1000.9415290064757</v>
      </c>
      <c r="X444">
        <v>2207.4749999999999</v>
      </c>
      <c r="Y444">
        <v>2425.1999999999998</v>
      </c>
    </row>
    <row r="445" spans="1:25" x14ac:dyDescent="0.35">
      <c r="A445">
        <v>401</v>
      </c>
      <c r="B445">
        <v>906.59999999999945</v>
      </c>
      <c r="C445">
        <v>971.34999999999945</v>
      </c>
      <c r="D445">
        <v>906.59999999999945</v>
      </c>
      <c r="E445">
        <v>-1204.1500000000005</v>
      </c>
      <c r="F445">
        <v>-673.20000000000073</v>
      </c>
      <c r="G445">
        <v>-2188.3500000000004</v>
      </c>
      <c r="J445">
        <v>401</v>
      </c>
      <c r="K445">
        <v>0</v>
      </c>
      <c r="L445">
        <v>0</v>
      </c>
      <c r="M445">
        <v>0</v>
      </c>
      <c r="N445">
        <v>210</v>
      </c>
      <c r="O445">
        <v>170</v>
      </c>
      <c r="P445">
        <v>311</v>
      </c>
      <c r="S445">
        <v>401</v>
      </c>
      <c r="T445">
        <v>906.59999999999945</v>
      </c>
      <c r="U445">
        <v>958.39999999999964</v>
      </c>
      <c r="V445">
        <v>906.59999999999945</v>
      </c>
      <c r="W445">
        <v>124.62069306184276</v>
      </c>
      <c r="X445">
        <v>2263.8500000000004</v>
      </c>
      <c r="Y445">
        <v>68.510037833343631</v>
      </c>
    </row>
    <row r="446" spans="1:25" x14ac:dyDescent="0.35">
      <c r="A446">
        <v>402</v>
      </c>
      <c r="B446">
        <v>906.59999999999945</v>
      </c>
      <c r="C446">
        <v>958.39999999999964</v>
      </c>
      <c r="D446">
        <v>906.59999999999945</v>
      </c>
      <c r="E446">
        <v>-1281.8500000000004</v>
      </c>
      <c r="F446">
        <v>-485.42500000000109</v>
      </c>
      <c r="G446">
        <v>-2460.3000000000002</v>
      </c>
      <c r="J446">
        <v>402</v>
      </c>
      <c r="K446">
        <v>0</v>
      </c>
      <c r="L446">
        <v>0</v>
      </c>
      <c r="M446">
        <v>0</v>
      </c>
      <c r="N446">
        <v>232</v>
      </c>
      <c r="O446">
        <v>192</v>
      </c>
      <c r="P446">
        <v>313</v>
      </c>
      <c r="S446">
        <v>402</v>
      </c>
      <c r="T446">
        <v>906.59999999999945</v>
      </c>
      <c r="U446">
        <v>964.875</v>
      </c>
      <c r="V446">
        <v>906.60000000000036</v>
      </c>
      <c r="W446">
        <v>1625.7586283951391</v>
      </c>
      <c r="X446">
        <v>2239.474999999999</v>
      </c>
      <c r="Y446">
        <v>857.55517299228495</v>
      </c>
    </row>
    <row r="447" spans="1:25" x14ac:dyDescent="0.35">
      <c r="A447">
        <v>403</v>
      </c>
      <c r="B447">
        <v>906.59999999999945</v>
      </c>
      <c r="C447">
        <v>945.44999999999982</v>
      </c>
      <c r="D447">
        <v>906.60000000000036</v>
      </c>
      <c r="E447">
        <v>-1152.3500000000004</v>
      </c>
      <c r="F447">
        <v>-407.72500000000036</v>
      </c>
      <c r="G447">
        <v>-2291.9499999999998</v>
      </c>
      <c r="J447">
        <v>403</v>
      </c>
      <c r="K447">
        <v>0</v>
      </c>
      <c r="L447">
        <v>0</v>
      </c>
      <c r="M447">
        <v>0</v>
      </c>
      <c r="N447">
        <v>240</v>
      </c>
      <c r="O447">
        <v>181</v>
      </c>
      <c r="P447">
        <v>318</v>
      </c>
      <c r="S447">
        <v>403</v>
      </c>
      <c r="T447">
        <v>906.59999999999945</v>
      </c>
      <c r="U447">
        <v>971.34999999999854</v>
      </c>
      <c r="V447">
        <v>906.59999999999945</v>
      </c>
      <c r="W447">
        <v>2241.1999999999994</v>
      </c>
      <c r="X447">
        <v>2253.3749999999995</v>
      </c>
      <c r="Y447">
        <v>-2201.3000000000002</v>
      </c>
    </row>
    <row r="448" spans="1:25" x14ac:dyDescent="0.35">
      <c r="A448">
        <v>404</v>
      </c>
      <c r="B448">
        <v>906.59999999999945</v>
      </c>
      <c r="C448">
        <v>990.77499999999873</v>
      </c>
      <c r="D448">
        <v>906.60000000000036</v>
      </c>
      <c r="E448">
        <v>-893.35000000000036</v>
      </c>
      <c r="F448">
        <v>-265.27499999999964</v>
      </c>
      <c r="G448">
        <v>-1994.1000000000004</v>
      </c>
      <c r="J448">
        <v>404</v>
      </c>
      <c r="K448">
        <v>0</v>
      </c>
      <c r="L448">
        <v>0</v>
      </c>
      <c r="M448">
        <v>0</v>
      </c>
      <c r="N448">
        <v>227</v>
      </c>
      <c r="O448">
        <v>188</v>
      </c>
      <c r="P448">
        <v>305</v>
      </c>
      <c r="S448">
        <v>404</v>
      </c>
      <c r="T448">
        <v>906.59999999999945</v>
      </c>
      <c r="U448">
        <v>971.35000000000036</v>
      </c>
      <c r="V448">
        <v>919.54999999999927</v>
      </c>
      <c r="W448">
        <v>-141.40509674116151</v>
      </c>
      <c r="X448">
        <v>2214.0500000000002</v>
      </c>
      <c r="Y448">
        <v>2413.1999999999998</v>
      </c>
    </row>
    <row r="449" spans="1:25" x14ac:dyDescent="0.35">
      <c r="A449">
        <v>405</v>
      </c>
      <c r="B449">
        <v>906.59999999999945</v>
      </c>
      <c r="C449">
        <v>951.92499999999927</v>
      </c>
      <c r="D449">
        <v>906.59999999999945</v>
      </c>
      <c r="E449">
        <v>-1165.3000000000002</v>
      </c>
      <c r="F449">
        <v>-601.97500000000036</v>
      </c>
      <c r="G449">
        <v>-2408.5</v>
      </c>
      <c r="J449">
        <v>405</v>
      </c>
      <c r="K449">
        <v>0</v>
      </c>
      <c r="L449">
        <v>0</v>
      </c>
      <c r="M449">
        <v>0</v>
      </c>
      <c r="N449">
        <v>219</v>
      </c>
      <c r="O449">
        <v>187</v>
      </c>
      <c r="P449">
        <v>308</v>
      </c>
      <c r="S449">
        <v>405</v>
      </c>
      <c r="T449">
        <v>906.59999999999945</v>
      </c>
      <c r="U449">
        <v>1010.1999999999998</v>
      </c>
      <c r="V449">
        <v>906.59999999999945</v>
      </c>
      <c r="W449">
        <v>1683.5544122915785</v>
      </c>
      <c r="X449">
        <v>2251.4750000000004</v>
      </c>
      <c r="Y449">
        <v>2433.1999999999998</v>
      </c>
    </row>
    <row r="450" spans="1:25" x14ac:dyDescent="0.35">
      <c r="A450">
        <v>406</v>
      </c>
      <c r="B450">
        <v>906.59999999999945</v>
      </c>
      <c r="C450">
        <v>958.39999999999964</v>
      </c>
      <c r="D450">
        <v>906.59999999999945</v>
      </c>
      <c r="E450">
        <v>-984</v>
      </c>
      <c r="F450">
        <v>-595.5</v>
      </c>
      <c r="G450">
        <v>-2356.6999999999998</v>
      </c>
      <c r="J450">
        <v>406</v>
      </c>
      <c r="K450">
        <v>0</v>
      </c>
      <c r="L450">
        <v>0</v>
      </c>
      <c r="M450">
        <v>0</v>
      </c>
      <c r="N450">
        <v>239</v>
      </c>
      <c r="O450">
        <v>186</v>
      </c>
      <c r="P450">
        <v>322</v>
      </c>
      <c r="S450">
        <v>406</v>
      </c>
      <c r="T450">
        <v>906.59999999999945</v>
      </c>
      <c r="U450">
        <v>997.25</v>
      </c>
      <c r="V450">
        <v>906.59999999999945</v>
      </c>
      <c r="W450">
        <v>2259.1999999999994</v>
      </c>
      <c r="X450">
        <v>2174.5249999999992</v>
      </c>
      <c r="Y450">
        <v>-2266.0500000000002</v>
      </c>
    </row>
    <row r="451" spans="1:25" x14ac:dyDescent="0.35">
      <c r="A451">
        <v>407</v>
      </c>
      <c r="B451">
        <v>906.59999999999945</v>
      </c>
      <c r="C451">
        <v>964.87499999999909</v>
      </c>
      <c r="D451">
        <v>906.60000000000036</v>
      </c>
      <c r="E451">
        <v>-1281.8500000000004</v>
      </c>
      <c r="F451">
        <v>-239.375</v>
      </c>
      <c r="G451">
        <v>-2602.75</v>
      </c>
      <c r="J451">
        <v>407</v>
      </c>
      <c r="K451">
        <v>0</v>
      </c>
      <c r="L451">
        <v>0</v>
      </c>
      <c r="M451">
        <v>0</v>
      </c>
      <c r="N451">
        <v>212</v>
      </c>
      <c r="O451">
        <v>177</v>
      </c>
      <c r="P451">
        <v>324</v>
      </c>
      <c r="S451">
        <v>407</v>
      </c>
      <c r="T451">
        <v>906.59999999999945</v>
      </c>
      <c r="U451">
        <v>964.875</v>
      </c>
      <c r="V451">
        <v>906.60000000000036</v>
      </c>
      <c r="W451">
        <v>2259.1999999999994</v>
      </c>
      <c r="X451">
        <v>2263.9499999999994</v>
      </c>
      <c r="Y451">
        <v>2226.3684867429683</v>
      </c>
    </row>
    <row r="452" spans="1:25" x14ac:dyDescent="0.35">
      <c r="A452">
        <v>408</v>
      </c>
      <c r="B452">
        <v>906.59999999999945</v>
      </c>
      <c r="C452">
        <v>971.34999999999945</v>
      </c>
      <c r="D452">
        <v>906.59999999999945</v>
      </c>
      <c r="E452">
        <v>-1243</v>
      </c>
      <c r="F452">
        <v>-576.07500000000073</v>
      </c>
      <c r="G452">
        <v>-2525.0500000000002</v>
      </c>
      <c r="J452">
        <v>408</v>
      </c>
      <c r="K452">
        <v>0</v>
      </c>
      <c r="L452">
        <v>0</v>
      </c>
      <c r="M452">
        <v>0</v>
      </c>
      <c r="N452">
        <v>246</v>
      </c>
      <c r="O452">
        <v>169</v>
      </c>
      <c r="P452">
        <v>340</v>
      </c>
      <c r="S452">
        <v>408</v>
      </c>
      <c r="T452">
        <v>906.59999999999945</v>
      </c>
      <c r="U452">
        <v>1016.6749999999993</v>
      </c>
      <c r="V452">
        <v>906.60000000000036</v>
      </c>
      <c r="W452">
        <v>1990.042431162206</v>
      </c>
      <c r="X452">
        <v>926.30227226733405</v>
      </c>
      <c r="Y452">
        <v>2457.1999999999998</v>
      </c>
    </row>
    <row r="453" spans="1:25" x14ac:dyDescent="0.35">
      <c r="A453">
        <v>409</v>
      </c>
      <c r="B453">
        <v>906.59999999999945</v>
      </c>
      <c r="C453">
        <v>964.87499999999909</v>
      </c>
      <c r="D453">
        <v>906.60000000000036</v>
      </c>
      <c r="E453">
        <v>-996.95000000000073</v>
      </c>
      <c r="F453">
        <v>-284.70000000000073</v>
      </c>
      <c r="G453">
        <v>-2201.3000000000002</v>
      </c>
      <c r="J453">
        <v>409</v>
      </c>
      <c r="K453">
        <v>0</v>
      </c>
      <c r="L453">
        <v>0</v>
      </c>
      <c r="M453">
        <v>0</v>
      </c>
      <c r="N453">
        <v>223</v>
      </c>
      <c r="O453">
        <v>190</v>
      </c>
      <c r="P453">
        <v>331</v>
      </c>
      <c r="S453">
        <v>409</v>
      </c>
      <c r="T453">
        <v>906.59999999999945</v>
      </c>
      <c r="U453">
        <v>990.77499999999964</v>
      </c>
      <c r="V453">
        <v>914.60000000000014</v>
      </c>
      <c r="W453">
        <v>-1022.8500000000004</v>
      </c>
      <c r="X453">
        <v>844.71058406168027</v>
      </c>
      <c r="Y453">
        <v>2409.1999999999989</v>
      </c>
    </row>
    <row r="454" spans="1:25" x14ac:dyDescent="0.35">
      <c r="A454">
        <v>410</v>
      </c>
      <c r="B454">
        <v>906.59999999999945</v>
      </c>
      <c r="C454">
        <v>990.77499999999964</v>
      </c>
      <c r="D454">
        <v>906.59999999999945</v>
      </c>
      <c r="E454">
        <v>-919.25</v>
      </c>
      <c r="F454">
        <v>-550.17500000000109</v>
      </c>
      <c r="G454">
        <v>-2460.3000000000002</v>
      </c>
      <c r="J454">
        <v>410</v>
      </c>
      <c r="K454">
        <v>0</v>
      </c>
      <c r="L454">
        <v>0</v>
      </c>
      <c r="M454">
        <v>0</v>
      </c>
      <c r="N454">
        <v>240</v>
      </c>
      <c r="O454">
        <v>168</v>
      </c>
      <c r="P454">
        <v>317</v>
      </c>
      <c r="S454">
        <v>410</v>
      </c>
      <c r="T454">
        <v>906.59999999999945</v>
      </c>
      <c r="U454">
        <v>945.44999999999891</v>
      </c>
      <c r="V454">
        <v>906.59999999999945</v>
      </c>
      <c r="W454">
        <v>-1320.7000000000007</v>
      </c>
      <c r="X454">
        <v>2171.4750000000004</v>
      </c>
      <c r="Y454">
        <v>2433.1999999999998</v>
      </c>
    </row>
    <row r="455" spans="1:25" x14ac:dyDescent="0.35">
      <c r="A455">
        <v>411</v>
      </c>
      <c r="B455">
        <v>906.59999999999945</v>
      </c>
      <c r="C455">
        <v>1036.0999999999995</v>
      </c>
      <c r="D455">
        <v>906.59999999999945</v>
      </c>
      <c r="E455">
        <v>-1074.6500000000005</v>
      </c>
      <c r="F455">
        <v>-330.02500000000055</v>
      </c>
      <c r="G455">
        <v>-2395.5500000000002</v>
      </c>
      <c r="J455">
        <v>411</v>
      </c>
      <c r="K455">
        <v>0</v>
      </c>
      <c r="L455">
        <v>0</v>
      </c>
      <c r="M455">
        <v>0</v>
      </c>
      <c r="N455">
        <v>238</v>
      </c>
      <c r="O455">
        <v>191</v>
      </c>
      <c r="P455">
        <v>346</v>
      </c>
      <c r="S455">
        <v>411</v>
      </c>
      <c r="T455">
        <v>906.59999999999945</v>
      </c>
      <c r="U455">
        <v>977.82499999999982</v>
      </c>
      <c r="V455">
        <v>906.60000000000036</v>
      </c>
      <c r="W455">
        <v>2279.1999999999994</v>
      </c>
      <c r="X455">
        <v>2239.9499999999998</v>
      </c>
      <c r="Y455">
        <v>2419.1999999999989</v>
      </c>
    </row>
    <row r="456" spans="1:25" x14ac:dyDescent="0.35">
      <c r="A456">
        <v>412</v>
      </c>
      <c r="B456">
        <v>906.59999999999945</v>
      </c>
      <c r="C456">
        <v>964.875</v>
      </c>
      <c r="D456">
        <v>906.59999999999945</v>
      </c>
      <c r="E456">
        <v>-1061.7000000000007</v>
      </c>
      <c r="F456">
        <v>-414.20000000000073</v>
      </c>
      <c r="G456">
        <v>-2499.1500000000005</v>
      </c>
      <c r="J456">
        <v>412</v>
      </c>
      <c r="K456">
        <v>0</v>
      </c>
      <c r="L456">
        <v>0</v>
      </c>
      <c r="M456">
        <v>0</v>
      </c>
      <c r="N456">
        <v>234</v>
      </c>
      <c r="O456">
        <v>171</v>
      </c>
      <c r="P456">
        <v>329</v>
      </c>
      <c r="S456">
        <v>412</v>
      </c>
      <c r="T456">
        <v>906.59999999999945</v>
      </c>
      <c r="U456">
        <v>977.82499999999982</v>
      </c>
      <c r="V456">
        <v>906.60000000000036</v>
      </c>
      <c r="W456">
        <v>2039.300731335562</v>
      </c>
      <c r="X456">
        <v>2279.85</v>
      </c>
      <c r="Y456">
        <v>606.61913769858847</v>
      </c>
    </row>
    <row r="457" spans="1:25" x14ac:dyDescent="0.35">
      <c r="A457">
        <v>413</v>
      </c>
      <c r="B457">
        <v>906.59999999999945</v>
      </c>
      <c r="C457">
        <v>984.29999999999927</v>
      </c>
      <c r="D457">
        <v>906.60000000000036</v>
      </c>
      <c r="E457">
        <v>-1100.5500000000002</v>
      </c>
      <c r="F457">
        <v>-608.45000000000073</v>
      </c>
      <c r="G457">
        <v>-2253.1000000000004</v>
      </c>
      <c r="J457">
        <v>413</v>
      </c>
      <c r="K457">
        <v>0</v>
      </c>
      <c r="L457">
        <v>0</v>
      </c>
      <c r="M457">
        <v>0</v>
      </c>
      <c r="N457">
        <v>209</v>
      </c>
      <c r="O457">
        <v>210</v>
      </c>
      <c r="P457">
        <v>317</v>
      </c>
      <c r="S457">
        <v>413</v>
      </c>
      <c r="T457">
        <v>906.59999999999945</v>
      </c>
      <c r="U457">
        <v>951.92499999999927</v>
      </c>
      <c r="V457">
        <v>906.59999999999945</v>
      </c>
      <c r="W457">
        <v>2281.1999999999994</v>
      </c>
      <c r="X457">
        <v>-90.450000000000728</v>
      </c>
      <c r="Y457">
        <v>2471.1999999999998</v>
      </c>
    </row>
    <row r="458" spans="1:25" x14ac:dyDescent="0.35">
      <c r="A458">
        <v>414</v>
      </c>
      <c r="B458">
        <v>906.59999999999945</v>
      </c>
      <c r="C458">
        <v>984.29999999999927</v>
      </c>
      <c r="D458">
        <v>906.59999999999945</v>
      </c>
      <c r="E458">
        <v>-634.35000000000036</v>
      </c>
      <c r="F458">
        <v>-394.77499999999964</v>
      </c>
      <c r="G458">
        <v>-2007.0500000000002</v>
      </c>
      <c r="J458">
        <v>414</v>
      </c>
      <c r="K458">
        <v>0</v>
      </c>
      <c r="L458">
        <v>0</v>
      </c>
      <c r="M458">
        <v>0</v>
      </c>
      <c r="N458">
        <v>224</v>
      </c>
      <c r="O458">
        <v>160</v>
      </c>
      <c r="P458">
        <v>315</v>
      </c>
      <c r="S458">
        <v>414</v>
      </c>
      <c r="T458">
        <v>906.59999999999945</v>
      </c>
      <c r="U458">
        <v>964.875</v>
      </c>
      <c r="V458">
        <v>906.59999999999945</v>
      </c>
      <c r="W458">
        <v>2082.6986443776595</v>
      </c>
      <c r="X458">
        <v>2231.4750000000004</v>
      </c>
      <c r="Y458">
        <v>2431.1999999999998</v>
      </c>
    </row>
    <row r="459" spans="1:25" x14ac:dyDescent="0.35">
      <c r="A459">
        <v>415</v>
      </c>
      <c r="B459">
        <v>906.59999999999945</v>
      </c>
      <c r="C459">
        <v>984.29999999999927</v>
      </c>
      <c r="D459">
        <v>906.59999999999945</v>
      </c>
      <c r="E459">
        <v>-984</v>
      </c>
      <c r="F459">
        <v>-323.55000000000109</v>
      </c>
      <c r="G459">
        <v>-2421.4499999999998</v>
      </c>
      <c r="J459">
        <v>415</v>
      </c>
      <c r="K459">
        <v>0</v>
      </c>
      <c r="L459">
        <v>0</v>
      </c>
      <c r="M459">
        <v>0</v>
      </c>
      <c r="N459">
        <v>231</v>
      </c>
      <c r="O459">
        <v>172</v>
      </c>
      <c r="P459">
        <v>330</v>
      </c>
      <c r="S459">
        <v>415</v>
      </c>
      <c r="T459">
        <v>906.59999999999945</v>
      </c>
      <c r="U459">
        <v>964.87499999999909</v>
      </c>
      <c r="V459">
        <v>906.60000000000036</v>
      </c>
      <c r="W459">
        <v>2277.1999999999989</v>
      </c>
      <c r="X459">
        <v>2265.8499999999995</v>
      </c>
      <c r="Y459">
        <v>-2214.25</v>
      </c>
    </row>
    <row r="460" spans="1:25" x14ac:dyDescent="0.35">
      <c r="A460">
        <v>416</v>
      </c>
      <c r="B460">
        <v>906.59999999999945</v>
      </c>
      <c r="C460">
        <v>958.39999999999964</v>
      </c>
      <c r="D460">
        <v>906.59999999999945</v>
      </c>
      <c r="E460">
        <v>-1204.1500000000005</v>
      </c>
      <c r="F460">
        <v>-142.25</v>
      </c>
      <c r="G460">
        <v>-2408.5</v>
      </c>
      <c r="J460">
        <v>416</v>
      </c>
      <c r="K460">
        <v>0</v>
      </c>
      <c r="L460">
        <v>0</v>
      </c>
      <c r="M460">
        <v>0</v>
      </c>
      <c r="N460">
        <v>227</v>
      </c>
      <c r="O460">
        <v>193</v>
      </c>
      <c r="P460">
        <v>306</v>
      </c>
      <c r="S460">
        <v>416</v>
      </c>
      <c r="T460">
        <v>906.59999999999945</v>
      </c>
      <c r="U460">
        <v>945.44999999999982</v>
      </c>
      <c r="V460">
        <v>906.59999999999945</v>
      </c>
      <c r="W460">
        <v>2235.1999999999998</v>
      </c>
      <c r="X460">
        <v>2236.9999999999991</v>
      </c>
      <c r="Y460">
        <v>2417.1999999999989</v>
      </c>
    </row>
    <row r="461" spans="1:25" x14ac:dyDescent="0.35">
      <c r="A461">
        <v>417</v>
      </c>
      <c r="B461">
        <v>906.59999999999945</v>
      </c>
      <c r="C461">
        <v>971.34999999999945</v>
      </c>
      <c r="D461">
        <v>906.59999999999945</v>
      </c>
      <c r="E461">
        <v>-1255.9500000000007</v>
      </c>
      <c r="F461">
        <v>-563.125</v>
      </c>
      <c r="G461">
        <v>-2382.6000000000004</v>
      </c>
      <c r="J461">
        <v>417</v>
      </c>
      <c r="K461">
        <v>0</v>
      </c>
      <c r="L461">
        <v>0</v>
      </c>
      <c r="M461">
        <v>0</v>
      </c>
      <c r="N461">
        <v>229</v>
      </c>
      <c r="O461">
        <v>179</v>
      </c>
      <c r="P461">
        <v>310</v>
      </c>
      <c r="S461">
        <v>417</v>
      </c>
      <c r="T461">
        <v>906.59999999999945</v>
      </c>
      <c r="U461">
        <v>977.82499999999891</v>
      </c>
      <c r="V461">
        <v>906.59999999999945</v>
      </c>
      <c r="W461">
        <v>2251.1999999999994</v>
      </c>
      <c r="X461">
        <v>2283.8500000000004</v>
      </c>
      <c r="Y461">
        <v>-2213.2456208104709</v>
      </c>
    </row>
    <row r="462" spans="1:25" x14ac:dyDescent="0.35">
      <c r="A462">
        <v>418</v>
      </c>
      <c r="B462">
        <v>906.59999999999945</v>
      </c>
      <c r="C462">
        <v>958.39999999999964</v>
      </c>
      <c r="D462">
        <v>906.59999999999945</v>
      </c>
      <c r="E462">
        <v>-1243</v>
      </c>
      <c r="F462">
        <v>-491.89999999999964</v>
      </c>
      <c r="G462">
        <v>-2240.1500000000005</v>
      </c>
      <c r="J462">
        <v>418</v>
      </c>
      <c r="K462">
        <v>0</v>
      </c>
      <c r="L462">
        <v>0</v>
      </c>
      <c r="M462">
        <v>0</v>
      </c>
      <c r="N462">
        <v>212</v>
      </c>
      <c r="O462">
        <v>189</v>
      </c>
      <c r="P462">
        <v>313</v>
      </c>
      <c r="S462">
        <v>418</v>
      </c>
      <c r="T462">
        <v>906.59999999999945</v>
      </c>
      <c r="U462">
        <v>958.39999999999873</v>
      </c>
      <c r="V462">
        <v>906.59999999999945</v>
      </c>
      <c r="W462">
        <v>2287.1999999999989</v>
      </c>
      <c r="X462">
        <v>2210.9999999999995</v>
      </c>
      <c r="Y462">
        <v>-81.589534930902573</v>
      </c>
    </row>
    <row r="463" spans="1:25" x14ac:dyDescent="0.35">
      <c r="A463">
        <v>419</v>
      </c>
      <c r="B463">
        <v>906.59999999999945</v>
      </c>
      <c r="C463">
        <v>1003.7249999999985</v>
      </c>
      <c r="D463">
        <v>906.60000000000036</v>
      </c>
      <c r="E463">
        <v>-1152.3500000000004</v>
      </c>
      <c r="F463">
        <v>-414.20000000000073</v>
      </c>
      <c r="G463">
        <v>-2032.9500000000007</v>
      </c>
      <c r="J463">
        <v>419</v>
      </c>
      <c r="K463">
        <v>0</v>
      </c>
      <c r="L463">
        <v>0</v>
      </c>
      <c r="M463">
        <v>0</v>
      </c>
      <c r="N463">
        <v>209</v>
      </c>
      <c r="O463">
        <v>182</v>
      </c>
      <c r="P463">
        <v>316</v>
      </c>
      <c r="S463">
        <v>419</v>
      </c>
      <c r="T463">
        <v>906.59999999999945</v>
      </c>
      <c r="U463">
        <v>990.77499999999964</v>
      </c>
      <c r="V463">
        <v>906.60000000000036</v>
      </c>
      <c r="W463">
        <v>1829.2781845380732</v>
      </c>
      <c r="X463">
        <v>2198.0499999999988</v>
      </c>
      <c r="Y463">
        <v>2473.1999999999998</v>
      </c>
    </row>
    <row r="464" spans="1:25" x14ac:dyDescent="0.35">
      <c r="A464">
        <v>420</v>
      </c>
      <c r="B464">
        <v>906.59999999999945</v>
      </c>
      <c r="C464">
        <v>964.87499999999909</v>
      </c>
      <c r="D464">
        <v>906.59999999999945</v>
      </c>
      <c r="E464">
        <v>-1100.5500000000002</v>
      </c>
      <c r="F464">
        <v>-349.45000000000073</v>
      </c>
      <c r="G464">
        <v>-2395.5500000000002</v>
      </c>
      <c r="J464">
        <v>420</v>
      </c>
      <c r="K464">
        <v>0</v>
      </c>
      <c r="L464">
        <v>0</v>
      </c>
      <c r="M464">
        <v>0</v>
      </c>
      <c r="N464">
        <v>236</v>
      </c>
      <c r="O464">
        <v>187</v>
      </c>
      <c r="P464">
        <v>334</v>
      </c>
      <c r="S464">
        <v>420</v>
      </c>
      <c r="T464">
        <v>906.59999999999945</v>
      </c>
      <c r="U464">
        <v>990.77499999999964</v>
      </c>
      <c r="V464">
        <v>906.59999999999945</v>
      </c>
      <c r="W464">
        <v>2293.1999999999998</v>
      </c>
      <c r="X464">
        <v>2278.8999999999992</v>
      </c>
      <c r="Y464">
        <v>1606.4067784431131</v>
      </c>
    </row>
    <row r="465" spans="1:25" x14ac:dyDescent="0.35">
      <c r="A465">
        <v>421</v>
      </c>
      <c r="B465">
        <v>906.59999999999945</v>
      </c>
      <c r="C465">
        <v>958.39999999999964</v>
      </c>
      <c r="D465">
        <v>906.60000000000036</v>
      </c>
      <c r="E465">
        <v>-1204.1500000000005</v>
      </c>
      <c r="F465">
        <v>-485.42500000000018</v>
      </c>
      <c r="G465">
        <v>-2576.8500000000004</v>
      </c>
      <c r="J465">
        <v>421</v>
      </c>
      <c r="K465">
        <v>0</v>
      </c>
      <c r="L465">
        <v>0</v>
      </c>
      <c r="M465">
        <v>0</v>
      </c>
      <c r="N465">
        <v>196</v>
      </c>
      <c r="O465">
        <v>196</v>
      </c>
      <c r="P465">
        <v>335</v>
      </c>
      <c r="S465">
        <v>421</v>
      </c>
      <c r="T465">
        <v>906.59999999999945</v>
      </c>
      <c r="U465">
        <v>971.35000000000036</v>
      </c>
      <c r="V465">
        <v>906.59999999999945</v>
      </c>
      <c r="W465">
        <v>2269.1999999999994</v>
      </c>
      <c r="X465">
        <v>2207.4749999999999</v>
      </c>
      <c r="Y465">
        <v>2445.1999999999998</v>
      </c>
    </row>
    <row r="466" spans="1:25" x14ac:dyDescent="0.35">
      <c r="A466">
        <v>422</v>
      </c>
      <c r="B466">
        <v>906.59999999999945</v>
      </c>
      <c r="C466">
        <v>951.92499999999927</v>
      </c>
      <c r="D466">
        <v>906.59999999999945</v>
      </c>
      <c r="E466">
        <v>-1178.25</v>
      </c>
      <c r="F466">
        <v>-401.25</v>
      </c>
      <c r="G466">
        <v>-2045.9000000000005</v>
      </c>
      <c r="J466">
        <v>422</v>
      </c>
      <c r="K466">
        <v>0</v>
      </c>
      <c r="L466">
        <v>0</v>
      </c>
      <c r="M466">
        <v>0</v>
      </c>
      <c r="N466">
        <v>218</v>
      </c>
      <c r="O466">
        <v>182</v>
      </c>
      <c r="P466">
        <v>336</v>
      </c>
      <c r="S466">
        <v>422</v>
      </c>
      <c r="T466">
        <v>906.59999999999945</v>
      </c>
      <c r="U466">
        <v>964.875</v>
      </c>
      <c r="V466">
        <v>906.60000000000036</v>
      </c>
      <c r="W466">
        <v>2297.1999999999989</v>
      </c>
      <c r="X466">
        <v>2043.9433032584798</v>
      </c>
      <c r="Y466">
        <v>336.80536261881707</v>
      </c>
    </row>
    <row r="467" spans="1:25" x14ac:dyDescent="0.35">
      <c r="A467">
        <v>423</v>
      </c>
      <c r="B467">
        <v>906.59999999999945</v>
      </c>
      <c r="C467">
        <v>964.875</v>
      </c>
      <c r="D467">
        <v>906.59999999999945</v>
      </c>
      <c r="E467">
        <v>-1126.4500000000007</v>
      </c>
      <c r="F467">
        <v>-401.25</v>
      </c>
      <c r="G467">
        <v>-1981.1500000000005</v>
      </c>
      <c r="J467">
        <v>423</v>
      </c>
      <c r="K467">
        <v>0</v>
      </c>
      <c r="L467">
        <v>0</v>
      </c>
      <c r="M467">
        <v>0</v>
      </c>
      <c r="N467">
        <v>233</v>
      </c>
      <c r="O467">
        <v>192</v>
      </c>
      <c r="P467">
        <v>327</v>
      </c>
      <c r="S467">
        <v>423</v>
      </c>
      <c r="T467">
        <v>906.59999999999945</v>
      </c>
      <c r="U467">
        <v>958.39999999999964</v>
      </c>
      <c r="V467">
        <v>906.59999999999945</v>
      </c>
      <c r="W467">
        <v>2233.1999999999998</v>
      </c>
      <c r="X467">
        <v>2207.5749999999998</v>
      </c>
      <c r="Y467">
        <v>2483.1999999999998</v>
      </c>
    </row>
    <row r="468" spans="1:25" x14ac:dyDescent="0.35">
      <c r="A468">
        <v>424</v>
      </c>
      <c r="B468">
        <v>906.59999999999945</v>
      </c>
      <c r="C468">
        <v>958.39999999999873</v>
      </c>
      <c r="D468">
        <v>906.59999999999945</v>
      </c>
      <c r="E468">
        <v>-996.95000000000073</v>
      </c>
      <c r="F468">
        <v>-472.47500000000036</v>
      </c>
      <c r="G468">
        <v>-2473.25</v>
      </c>
      <c r="J468">
        <v>424</v>
      </c>
      <c r="K468">
        <v>0</v>
      </c>
      <c r="L468">
        <v>0</v>
      </c>
      <c r="M468">
        <v>0</v>
      </c>
      <c r="N468">
        <v>211</v>
      </c>
      <c r="O468">
        <v>155</v>
      </c>
      <c r="P468">
        <v>318</v>
      </c>
      <c r="S468">
        <v>424</v>
      </c>
      <c r="T468">
        <v>906.59999999999945</v>
      </c>
      <c r="U468">
        <v>1003.7249999999985</v>
      </c>
      <c r="V468">
        <v>906.60000000000036</v>
      </c>
      <c r="W468">
        <v>-1126.4500000000007</v>
      </c>
      <c r="X468">
        <v>2228.8999999999992</v>
      </c>
      <c r="Y468">
        <v>2481.1999999999998</v>
      </c>
    </row>
    <row r="469" spans="1:25" x14ac:dyDescent="0.35">
      <c r="A469">
        <v>425</v>
      </c>
      <c r="B469">
        <v>906.59999999999945</v>
      </c>
      <c r="C469">
        <v>1003.7249999999995</v>
      </c>
      <c r="D469">
        <v>906.59999999999945</v>
      </c>
      <c r="E469">
        <v>-1126.4500000000007</v>
      </c>
      <c r="F469">
        <v>-770.32500000000073</v>
      </c>
      <c r="G469">
        <v>-2395.5500000000002</v>
      </c>
      <c r="J469">
        <v>425</v>
      </c>
      <c r="K469">
        <v>0</v>
      </c>
      <c r="L469">
        <v>0</v>
      </c>
      <c r="M469">
        <v>0</v>
      </c>
      <c r="N469">
        <v>226</v>
      </c>
      <c r="O469">
        <v>175</v>
      </c>
      <c r="P469">
        <v>299</v>
      </c>
      <c r="S469">
        <v>425</v>
      </c>
      <c r="T469">
        <v>906.59999999999945</v>
      </c>
      <c r="U469">
        <v>984.29999999999927</v>
      </c>
      <c r="V469">
        <v>906.60000000000036</v>
      </c>
      <c r="W469">
        <v>2301.1999999999994</v>
      </c>
      <c r="X469">
        <v>1077.0951620108283</v>
      </c>
      <c r="Y469">
        <v>1238.1999172478327</v>
      </c>
    </row>
    <row r="470" spans="1:25" x14ac:dyDescent="0.35">
      <c r="A470">
        <v>426</v>
      </c>
      <c r="B470">
        <v>906.59999999999945</v>
      </c>
      <c r="C470">
        <v>964.875</v>
      </c>
      <c r="D470">
        <v>906.59999999999945</v>
      </c>
      <c r="E470">
        <v>-1152.3500000000004</v>
      </c>
      <c r="F470">
        <v>-239.375</v>
      </c>
      <c r="G470">
        <v>-2680.45</v>
      </c>
      <c r="J470">
        <v>426</v>
      </c>
      <c r="K470">
        <v>0</v>
      </c>
      <c r="L470">
        <v>0</v>
      </c>
      <c r="M470">
        <v>0</v>
      </c>
      <c r="N470">
        <v>240</v>
      </c>
      <c r="O470">
        <v>179</v>
      </c>
      <c r="P470">
        <v>310</v>
      </c>
      <c r="S470">
        <v>426</v>
      </c>
      <c r="T470">
        <v>906.59999999999945</v>
      </c>
      <c r="U470">
        <v>1010.1999999999989</v>
      </c>
      <c r="V470">
        <v>906.60000000000036</v>
      </c>
      <c r="W470">
        <v>2253.1999999999998</v>
      </c>
      <c r="X470">
        <v>2233.4749999999995</v>
      </c>
      <c r="Y470">
        <v>2094.5386073826521</v>
      </c>
    </row>
    <row r="471" spans="1:25" x14ac:dyDescent="0.35">
      <c r="A471">
        <v>427</v>
      </c>
      <c r="B471">
        <v>906.59999999999945</v>
      </c>
      <c r="C471">
        <v>990.77499999999873</v>
      </c>
      <c r="D471">
        <v>906.59999999999945</v>
      </c>
      <c r="E471">
        <v>-1113.5</v>
      </c>
      <c r="F471">
        <v>-310.60000000000036</v>
      </c>
      <c r="G471">
        <v>-2356.6999999999998</v>
      </c>
      <c r="J471">
        <v>427</v>
      </c>
      <c r="K471">
        <v>0</v>
      </c>
      <c r="L471">
        <v>0</v>
      </c>
      <c r="M471">
        <v>12</v>
      </c>
      <c r="N471">
        <v>214</v>
      </c>
      <c r="O471">
        <v>185</v>
      </c>
      <c r="P471">
        <v>350</v>
      </c>
      <c r="S471">
        <v>427</v>
      </c>
      <c r="T471">
        <v>906.59999999999945</v>
      </c>
      <c r="U471">
        <v>997.25</v>
      </c>
      <c r="V471">
        <v>906.60000000000036</v>
      </c>
      <c r="W471">
        <v>1980.3215596909727</v>
      </c>
      <c r="X471">
        <v>1757.244959493717</v>
      </c>
      <c r="Y471">
        <v>1912.8571332544152</v>
      </c>
    </row>
    <row r="472" spans="1:25" x14ac:dyDescent="0.35">
      <c r="A472">
        <v>428</v>
      </c>
      <c r="B472">
        <v>906.59999999999945</v>
      </c>
      <c r="C472">
        <v>932.5</v>
      </c>
      <c r="D472">
        <v>906.59999999999945</v>
      </c>
      <c r="E472">
        <v>-1022.8500000000004</v>
      </c>
      <c r="F472">
        <v>-504.85000000000036</v>
      </c>
      <c r="G472">
        <v>-2499.1500000000005</v>
      </c>
      <c r="J472">
        <v>428</v>
      </c>
      <c r="K472">
        <v>0</v>
      </c>
      <c r="L472">
        <v>0</v>
      </c>
      <c r="M472">
        <v>0</v>
      </c>
      <c r="N472">
        <v>235</v>
      </c>
      <c r="O472">
        <v>188</v>
      </c>
      <c r="P472">
        <v>311</v>
      </c>
      <c r="S472">
        <v>428</v>
      </c>
      <c r="T472">
        <v>906.59999999999945</v>
      </c>
      <c r="U472">
        <v>977.82499999999982</v>
      </c>
      <c r="V472">
        <v>906.60000000000036</v>
      </c>
      <c r="W472">
        <v>1583.0979034075981</v>
      </c>
      <c r="X472">
        <v>2172.9999999999995</v>
      </c>
      <c r="Y472">
        <v>2417.1999999999989</v>
      </c>
    </row>
    <row r="473" spans="1:25" x14ac:dyDescent="0.35">
      <c r="A473">
        <v>429</v>
      </c>
      <c r="B473">
        <v>906.59999999999945</v>
      </c>
      <c r="C473">
        <v>971.35000000000036</v>
      </c>
      <c r="D473">
        <v>906.59999999999945</v>
      </c>
      <c r="E473">
        <v>-1191.2000000000007</v>
      </c>
      <c r="F473">
        <v>-342.97500000000036</v>
      </c>
      <c r="G473">
        <v>-2395.5500000000002</v>
      </c>
      <c r="J473">
        <v>429</v>
      </c>
      <c r="K473">
        <v>0</v>
      </c>
      <c r="L473">
        <v>0</v>
      </c>
      <c r="M473">
        <v>0</v>
      </c>
      <c r="N473">
        <v>214</v>
      </c>
      <c r="O473">
        <v>195</v>
      </c>
      <c r="P473">
        <v>315</v>
      </c>
      <c r="S473">
        <v>429</v>
      </c>
      <c r="T473">
        <v>906.59999999999945</v>
      </c>
      <c r="U473">
        <v>984.29999999999927</v>
      </c>
      <c r="V473">
        <v>906.60000000000036</v>
      </c>
      <c r="W473">
        <v>2209.1999999999994</v>
      </c>
      <c r="X473">
        <v>2223.4749999999995</v>
      </c>
      <c r="Y473">
        <v>-2045.9000000000005</v>
      </c>
    </row>
    <row r="474" spans="1:25" x14ac:dyDescent="0.35">
      <c r="A474">
        <v>430</v>
      </c>
      <c r="B474">
        <v>906.59999999999945</v>
      </c>
      <c r="C474">
        <v>938.97499999999945</v>
      </c>
      <c r="D474">
        <v>906.59999999999945</v>
      </c>
      <c r="E474">
        <v>-1035.8000000000002</v>
      </c>
      <c r="F474">
        <v>-349.45000000000073</v>
      </c>
      <c r="G474">
        <v>-2486.1999999999998</v>
      </c>
      <c r="J474">
        <v>430</v>
      </c>
      <c r="K474">
        <v>0</v>
      </c>
      <c r="L474">
        <v>0</v>
      </c>
      <c r="M474">
        <v>0</v>
      </c>
      <c r="N474">
        <v>190</v>
      </c>
      <c r="O474">
        <v>169</v>
      </c>
      <c r="P474">
        <v>338</v>
      </c>
      <c r="S474">
        <v>430</v>
      </c>
      <c r="T474">
        <v>906.59999999999945</v>
      </c>
      <c r="U474">
        <v>971.34999999999945</v>
      </c>
      <c r="V474">
        <v>906.59999999999945</v>
      </c>
      <c r="W474">
        <v>2259.1999999999994</v>
      </c>
      <c r="X474">
        <v>-236.98382524774595</v>
      </c>
      <c r="Y474">
        <v>2506.1499999999996</v>
      </c>
    </row>
    <row r="475" spans="1:25" x14ac:dyDescent="0.35">
      <c r="A475">
        <v>431</v>
      </c>
      <c r="B475">
        <v>906.59999999999945</v>
      </c>
      <c r="C475">
        <v>997.25</v>
      </c>
      <c r="D475">
        <v>906.60000000000036</v>
      </c>
      <c r="E475">
        <v>-1113.5</v>
      </c>
      <c r="F475">
        <v>-640.82500000000073</v>
      </c>
      <c r="G475">
        <v>-2343.75</v>
      </c>
      <c r="J475">
        <v>431</v>
      </c>
      <c r="K475">
        <v>0</v>
      </c>
      <c r="L475">
        <v>0</v>
      </c>
      <c r="M475">
        <v>0</v>
      </c>
      <c r="N475">
        <v>245</v>
      </c>
      <c r="O475">
        <v>201</v>
      </c>
      <c r="P475">
        <v>316</v>
      </c>
      <c r="S475">
        <v>431</v>
      </c>
      <c r="T475">
        <v>906.59999999999945</v>
      </c>
      <c r="U475">
        <v>984.29999999999927</v>
      </c>
      <c r="V475">
        <v>906.59999999999945</v>
      </c>
      <c r="W475">
        <v>2227.1999999999989</v>
      </c>
      <c r="X475">
        <v>1482.993546266358</v>
      </c>
      <c r="Y475">
        <v>2449.1999999999989</v>
      </c>
    </row>
    <row r="476" spans="1:25" x14ac:dyDescent="0.35">
      <c r="A476">
        <v>432</v>
      </c>
      <c r="B476">
        <v>906.59999999999945</v>
      </c>
      <c r="C476">
        <v>971.34999999999945</v>
      </c>
      <c r="D476">
        <v>906.59999999999945</v>
      </c>
      <c r="E476">
        <v>-867.45000000000073</v>
      </c>
      <c r="F476">
        <v>-679.67500000000018</v>
      </c>
      <c r="G476">
        <v>-2421.4499999999998</v>
      </c>
      <c r="J476">
        <v>432</v>
      </c>
      <c r="K476">
        <v>0</v>
      </c>
      <c r="L476">
        <v>0</v>
      </c>
      <c r="M476">
        <v>0</v>
      </c>
      <c r="N476">
        <v>217</v>
      </c>
      <c r="O476">
        <v>167</v>
      </c>
      <c r="P476">
        <v>327</v>
      </c>
      <c r="S476">
        <v>432</v>
      </c>
      <c r="T476">
        <v>906.59999999999945</v>
      </c>
      <c r="U476">
        <v>977.82499999999982</v>
      </c>
      <c r="V476">
        <v>906.59999999999945</v>
      </c>
      <c r="W476">
        <v>2241.1999999999994</v>
      </c>
      <c r="X476">
        <v>120.86953996214686</v>
      </c>
      <c r="Y476">
        <v>2477.1999999999998</v>
      </c>
    </row>
    <row r="477" spans="1:25" x14ac:dyDescent="0.35">
      <c r="A477">
        <v>433</v>
      </c>
      <c r="B477">
        <v>906.59999999999945</v>
      </c>
      <c r="C477">
        <v>977.82499999999891</v>
      </c>
      <c r="D477">
        <v>906.59999999999945</v>
      </c>
      <c r="E477">
        <v>-1113.5</v>
      </c>
      <c r="F477">
        <v>-621.39999999999964</v>
      </c>
      <c r="G477">
        <v>-2538</v>
      </c>
      <c r="J477">
        <v>433</v>
      </c>
      <c r="K477">
        <v>0</v>
      </c>
      <c r="L477">
        <v>0</v>
      </c>
      <c r="M477">
        <v>0</v>
      </c>
      <c r="N477">
        <v>208</v>
      </c>
      <c r="O477">
        <v>201</v>
      </c>
      <c r="P477">
        <v>335</v>
      </c>
      <c r="S477">
        <v>433</v>
      </c>
      <c r="T477">
        <v>906.59999999999945</v>
      </c>
      <c r="U477">
        <v>958.39999999999964</v>
      </c>
      <c r="V477">
        <v>906.60000000000036</v>
      </c>
      <c r="W477">
        <v>2243.1999999999998</v>
      </c>
      <c r="X477">
        <v>2204.4249999999993</v>
      </c>
      <c r="Y477">
        <v>2491.1999999999998</v>
      </c>
    </row>
    <row r="478" spans="1:25" x14ac:dyDescent="0.35">
      <c r="A478">
        <v>434</v>
      </c>
      <c r="B478">
        <v>906.59999999999945</v>
      </c>
      <c r="C478">
        <v>938.97499999999854</v>
      </c>
      <c r="D478">
        <v>906.59999999999945</v>
      </c>
      <c r="E478">
        <v>-1061.7000000000007</v>
      </c>
      <c r="F478">
        <v>-530.75</v>
      </c>
      <c r="G478">
        <v>-2136.5500000000002</v>
      </c>
      <c r="J478">
        <v>434</v>
      </c>
      <c r="K478">
        <v>0</v>
      </c>
      <c r="L478">
        <v>0</v>
      </c>
      <c r="M478">
        <v>0</v>
      </c>
      <c r="N478">
        <v>209</v>
      </c>
      <c r="O478">
        <v>191</v>
      </c>
      <c r="P478">
        <v>338</v>
      </c>
      <c r="S478">
        <v>434</v>
      </c>
      <c r="T478">
        <v>906.59999999999945</v>
      </c>
      <c r="U478">
        <v>990.77499999999873</v>
      </c>
      <c r="V478">
        <v>906.59999999999945</v>
      </c>
      <c r="W478">
        <v>2215.1999999999998</v>
      </c>
      <c r="X478">
        <v>2231.9499999999994</v>
      </c>
      <c r="Y478">
        <v>2441.1999999999998</v>
      </c>
    </row>
    <row r="479" spans="1:25" x14ac:dyDescent="0.35">
      <c r="A479">
        <v>435</v>
      </c>
      <c r="B479">
        <v>906.59999999999945</v>
      </c>
      <c r="C479">
        <v>951.92499999999927</v>
      </c>
      <c r="D479">
        <v>906.60000000000036</v>
      </c>
      <c r="E479">
        <v>-932.20000000000073</v>
      </c>
      <c r="F479">
        <v>-925.72500000000036</v>
      </c>
      <c r="G479">
        <v>-2253.1000000000004</v>
      </c>
      <c r="J479">
        <v>435</v>
      </c>
      <c r="K479">
        <v>0</v>
      </c>
      <c r="L479">
        <v>0</v>
      </c>
      <c r="M479">
        <v>0</v>
      </c>
      <c r="N479">
        <v>241</v>
      </c>
      <c r="O479">
        <v>174</v>
      </c>
      <c r="P479">
        <v>322</v>
      </c>
      <c r="S479">
        <v>435</v>
      </c>
      <c r="T479">
        <v>906.59999999999945</v>
      </c>
      <c r="U479">
        <v>971.34999999999945</v>
      </c>
      <c r="V479">
        <v>906.59999999999945</v>
      </c>
      <c r="W479">
        <v>2289.1999999999994</v>
      </c>
      <c r="X479">
        <v>2285.3749999999995</v>
      </c>
      <c r="Y479">
        <v>2333.743817984524</v>
      </c>
    </row>
    <row r="480" spans="1:25" x14ac:dyDescent="0.35">
      <c r="A480">
        <v>436</v>
      </c>
      <c r="B480">
        <v>906.59999999999945</v>
      </c>
      <c r="C480">
        <v>1010.1999999999989</v>
      </c>
      <c r="D480">
        <v>906.60000000000036</v>
      </c>
      <c r="E480">
        <v>-906.30000000000018</v>
      </c>
      <c r="F480">
        <v>-414.20000000000073</v>
      </c>
      <c r="G480">
        <v>-2071.8000000000002</v>
      </c>
      <c r="J480">
        <v>436</v>
      </c>
      <c r="K480">
        <v>0</v>
      </c>
      <c r="L480">
        <v>0</v>
      </c>
      <c r="M480">
        <v>0</v>
      </c>
      <c r="N480">
        <v>214</v>
      </c>
      <c r="O480">
        <v>189</v>
      </c>
      <c r="P480">
        <v>298</v>
      </c>
      <c r="S480">
        <v>436</v>
      </c>
      <c r="T480">
        <v>906.59999999999945</v>
      </c>
      <c r="U480">
        <v>958.39999999999964</v>
      </c>
      <c r="V480">
        <v>906.60000000000036</v>
      </c>
      <c r="W480">
        <v>2247.1999999999989</v>
      </c>
      <c r="X480">
        <v>2272.3249999999998</v>
      </c>
      <c r="Y480">
        <v>2427.1999999999989</v>
      </c>
    </row>
    <row r="481" spans="1:25" x14ac:dyDescent="0.35">
      <c r="A481">
        <v>437</v>
      </c>
      <c r="B481">
        <v>906.59999999999945</v>
      </c>
      <c r="C481">
        <v>951.92499999999927</v>
      </c>
      <c r="D481">
        <v>906.59999999999945</v>
      </c>
      <c r="E481">
        <v>-867.45000000000073</v>
      </c>
      <c r="F481">
        <v>-530.75</v>
      </c>
      <c r="G481">
        <v>-2317.8500000000004</v>
      </c>
      <c r="J481">
        <v>437</v>
      </c>
      <c r="K481">
        <v>0</v>
      </c>
      <c r="L481">
        <v>0</v>
      </c>
      <c r="M481">
        <v>0</v>
      </c>
      <c r="N481">
        <v>221</v>
      </c>
      <c r="O481">
        <v>188</v>
      </c>
      <c r="P481">
        <v>349</v>
      </c>
      <c r="S481">
        <v>437</v>
      </c>
      <c r="T481">
        <v>906.59999999999945</v>
      </c>
      <c r="U481">
        <v>977.82499999999982</v>
      </c>
      <c r="V481">
        <v>906.59999999999945</v>
      </c>
      <c r="W481">
        <v>313.88298150570517</v>
      </c>
      <c r="X481">
        <v>1380.149050140056</v>
      </c>
      <c r="Y481">
        <v>-2563.9000000000005</v>
      </c>
    </row>
    <row r="482" spans="1:25" x14ac:dyDescent="0.35">
      <c r="A482">
        <v>438</v>
      </c>
      <c r="B482">
        <v>906.59999999999945</v>
      </c>
      <c r="C482">
        <v>958.39999999999964</v>
      </c>
      <c r="D482">
        <v>906.60000000000036</v>
      </c>
      <c r="E482">
        <v>-1126.4500000000007</v>
      </c>
      <c r="F482">
        <v>-673.20000000000073</v>
      </c>
      <c r="G482">
        <v>-2240.1500000000005</v>
      </c>
      <c r="J482">
        <v>438</v>
      </c>
      <c r="K482">
        <v>0</v>
      </c>
      <c r="L482">
        <v>0</v>
      </c>
      <c r="M482">
        <v>0</v>
      </c>
      <c r="N482">
        <v>234</v>
      </c>
      <c r="O482">
        <v>188</v>
      </c>
      <c r="P482">
        <v>313</v>
      </c>
      <c r="S482">
        <v>438</v>
      </c>
      <c r="T482">
        <v>906.59999999999945</v>
      </c>
      <c r="U482">
        <v>964.875</v>
      </c>
      <c r="V482">
        <v>906.59999999999945</v>
      </c>
      <c r="W482">
        <v>776.60838341576869</v>
      </c>
      <c r="X482">
        <v>2258.4249999999997</v>
      </c>
      <c r="Y482">
        <v>2507.1999999999998</v>
      </c>
    </row>
    <row r="483" spans="1:25" x14ac:dyDescent="0.35">
      <c r="A483">
        <v>439</v>
      </c>
      <c r="B483">
        <v>906.59999999999945</v>
      </c>
      <c r="C483">
        <v>964.87499999999909</v>
      </c>
      <c r="D483">
        <v>906.59999999999945</v>
      </c>
      <c r="E483">
        <v>-1165.3000000000002</v>
      </c>
      <c r="F483">
        <v>-446.57500000000073</v>
      </c>
      <c r="G483">
        <v>-2538</v>
      </c>
      <c r="J483">
        <v>439</v>
      </c>
      <c r="K483">
        <v>0</v>
      </c>
      <c r="L483">
        <v>0</v>
      </c>
      <c r="M483">
        <v>0</v>
      </c>
      <c r="N483">
        <v>218</v>
      </c>
      <c r="O483">
        <v>172</v>
      </c>
      <c r="P483">
        <v>325</v>
      </c>
      <c r="S483">
        <v>439</v>
      </c>
      <c r="T483">
        <v>906.59999999999945</v>
      </c>
      <c r="U483">
        <v>971.34999999999854</v>
      </c>
      <c r="V483">
        <v>906.59999999999945</v>
      </c>
      <c r="W483">
        <v>2249.1999999999994</v>
      </c>
      <c r="X483">
        <v>2240.5249999999996</v>
      </c>
      <c r="Y483">
        <v>-1007.9955281404532</v>
      </c>
    </row>
    <row r="484" spans="1:25" x14ac:dyDescent="0.35">
      <c r="A484">
        <v>440</v>
      </c>
      <c r="B484">
        <v>906.59999999999945</v>
      </c>
      <c r="C484">
        <v>945.44999999999982</v>
      </c>
      <c r="D484">
        <v>906.59999999999945</v>
      </c>
      <c r="E484">
        <v>-1294.8000000000002</v>
      </c>
      <c r="F484">
        <v>-453.05000000000109</v>
      </c>
      <c r="G484">
        <v>-2330.8000000000002</v>
      </c>
      <c r="J484">
        <v>440</v>
      </c>
      <c r="K484">
        <v>0</v>
      </c>
      <c r="L484">
        <v>0</v>
      </c>
      <c r="M484">
        <v>0</v>
      </c>
      <c r="N484">
        <v>216</v>
      </c>
      <c r="O484">
        <v>196</v>
      </c>
      <c r="P484">
        <v>311</v>
      </c>
      <c r="S484">
        <v>440</v>
      </c>
      <c r="T484">
        <v>906.59999999999945</v>
      </c>
      <c r="U484">
        <v>964.875</v>
      </c>
      <c r="V484">
        <v>906.59999999999945</v>
      </c>
      <c r="W484">
        <v>2255.1999999999998</v>
      </c>
      <c r="X484">
        <v>2013.9545547651301</v>
      </c>
      <c r="Y484">
        <v>-673.39612824846972</v>
      </c>
    </row>
    <row r="485" spans="1:25" x14ac:dyDescent="0.35">
      <c r="A485">
        <v>441</v>
      </c>
      <c r="B485">
        <v>906.59999999999945</v>
      </c>
      <c r="C485">
        <v>958.39999999999964</v>
      </c>
      <c r="D485">
        <v>906.60000000000036</v>
      </c>
      <c r="E485">
        <v>-971.05000000000018</v>
      </c>
      <c r="F485">
        <v>-647.30000000000018</v>
      </c>
      <c r="G485">
        <v>-2395.5500000000002</v>
      </c>
      <c r="J485">
        <v>441</v>
      </c>
      <c r="K485">
        <v>0</v>
      </c>
      <c r="L485">
        <v>0</v>
      </c>
      <c r="M485">
        <v>0</v>
      </c>
      <c r="N485">
        <v>225</v>
      </c>
      <c r="O485">
        <v>188</v>
      </c>
      <c r="P485">
        <v>309</v>
      </c>
      <c r="S485">
        <v>441</v>
      </c>
      <c r="T485">
        <v>906.59999999999945</v>
      </c>
      <c r="U485">
        <v>964.875</v>
      </c>
      <c r="V485">
        <v>906.59999999999945</v>
      </c>
      <c r="W485">
        <v>2249.1999999999994</v>
      </c>
      <c r="X485">
        <v>2235.5749999999998</v>
      </c>
      <c r="Y485">
        <v>1491.9608133634806</v>
      </c>
    </row>
    <row r="486" spans="1:25" x14ac:dyDescent="0.35">
      <c r="A486">
        <v>442</v>
      </c>
      <c r="B486">
        <v>906.59999999999945</v>
      </c>
      <c r="C486">
        <v>964.87499999999909</v>
      </c>
      <c r="D486">
        <v>906.60000000000036</v>
      </c>
      <c r="E486">
        <v>-932.20000000000073</v>
      </c>
      <c r="F486">
        <v>-504.85000000000036</v>
      </c>
      <c r="G486">
        <v>-2382.6000000000004</v>
      </c>
      <c r="J486">
        <v>442</v>
      </c>
      <c r="K486">
        <v>0</v>
      </c>
      <c r="L486">
        <v>0</v>
      </c>
      <c r="M486">
        <v>0</v>
      </c>
      <c r="N486">
        <v>223</v>
      </c>
      <c r="O486">
        <v>179</v>
      </c>
      <c r="P486">
        <v>306</v>
      </c>
      <c r="S486">
        <v>442</v>
      </c>
      <c r="T486">
        <v>906.59999999999945</v>
      </c>
      <c r="U486">
        <v>997.25</v>
      </c>
      <c r="V486">
        <v>906.59999999999945</v>
      </c>
      <c r="W486">
        <v>2183.9310383506454</v>
      </c>
      <c r="X486">
        <v>2297.8499999999985</v>
      </c>
      <c r="Y486">
        <v>2022.0956449307141</v>
      </c>
    </row>
    <row r="487" spans="1:25" x14ac:dyDescent="0.35">
      <c r="A487">
        <v>443</v>
      </c>
      <c r="B487">
        <v>906.59999999999945</v>
      </c>
      <c r="C487">
        <v>971.34999999999945</v>
      </c>
      <c r="D487">
        <v>906.59999999999945</v>
      </c>
      <c r="E487">
        <v>-1217.1000000000004</v>
      </c>
      <c r="F487">
        <v>-323.55000000000109</v>
      </c>
      <c r="G487">
        <v>-2525.0500000000002</v>
      </c>
      <c r="J487">
        <v>443</v>
      </c>
      <c r="K487">
        <v>0</v>
      </c>
      <c r="L487">
        <v>0</v>
      </c>
      <c r="M487">
        <v>0</v>
      </c>
      <c r="N487">
        <v>236</v>
      </c>
      <c r="O487">
        <v>181</v>
      </c>
      <c r="P487">
        <v>340</v>
      </c>
      <c r="S487">
        <v>443</v>
      </c>
      <c r="T487">
        <v>906.59999999999945</v>
      </c>
      <c r="U487">
        <v>1010.1999999999998</v>
      </c>
      <c r="V487">
        <v>906.59999999999945</v>
      </c>
      <c r="W487">
        <v>2249.1999999999994</v>
      </c>
      <c r="X487">
        <v>2244.5249999999992</v>
      </c>
      <c r="Y487">
        <v>-1185.683717293354</v>
      </c>
    </row>
    <row r="488" spans="1:25" x14ac:dyDescent="0.35">
      <c r="A488">
        <v>444</v>
      </c>
      <c r="B488">
        <v>906.59999999999945</v>
      </c>
      <c r="C488">
        <v>977.82499999999982</v>
      </c>
      <c r="D488">
        <v>906.60000000000036</v>
      </c>
      <c r="E488">
        <v>-854.5</v>
      </c>
      <c r="F488">
        <v>-446.57500000000073</v>
      </c>
      <c r="G488">
        <v>-2343.75</v>
      </c>
      <c r="J488">
        <v>444</v>
      </c>
      <c r="K488">
        <v>0</v>
      </c>
      <c r="L488">
        <v>0</v>
      </c>
      <c r="M488">
        <v>0</v>
      </c>
      <c r="N488">
        <v>223</v>
      </c>
      <c r="O488">
        <v>165</v>
      </c>
      <c r="P488">
        <v>302</v>
      </c>
      <c r="S488">
        <v>444</v>
      </c>
      <c r="T488">
        <v>906.59999999999945</v>
      </c>
      <c r="U488">
        <v>984.29999999999927</v>
      </c>
      <c r="V488">
        <v>906.59999999999945</v>
      </c>
      <c r="W488">
        <v>2245.1999999999998</v>
      </c>
      <c r="X488">
        <v>1006.7488783969766</v>
      </c>
      <c r="Y488">
        <v>322.26132241962387</v>
      </c>
    </row>
    <row r="489" spans="1:25" x14ac:dyDescent="0.35">
      <c r="A489">
        <v>445</v>
      </c>
      <c r="B489">
        <v>906.59999999999945</v>
      </c>
      <c r="C489">
        <v>1003.7249999999995</v>
      </c>
      <c r="D489">
        <v>906.59999999999945</v>
      </c>
      <c r="E489">
        <v>-1398.4000000000005</v>
      </c>
      <c r="F489">
        <v>-453.05000000000109</v>
      </c>
      <c r="G489">
        <v>-2408.5</v>
      </c>
      <c r="J489">
        <v>445</v>
      </c>
      <c r="K489">
        <v>0</v>
      </c>
      <c r="L489">
        <v>0</v>
      </c>
      <c r="M489">
        <v>0</v>
      </c>
      <c r="N489">
        <v>228</v>
      </c>
      <c r="O489">
        <v>179</v>
      </c>
      <c r="P489">
        <v>300</v>
      </c>
      <c r="S489">
        <v>445</v>
      </c>
      <c r="T489">
        <v>906.59999999999945</v>
      </c>
      <c r="U489">
        <v>938.97499999999945</v>
      </c>
      <c r="V489">
        <v>906.60000000000036</v>
      </c>
      <c r="W489">
        <v>2261.1999999999994</v>
      </c>
      <c r="X489">
        <v>2319.2749999999992</v>
      </c>
      <c r="Y489">
        <v>-223.90516777089738</v>
      </c>
    </row>
    <row r="490" spans="1:25" x14ac:dyDescent="0.35">
      <c r="A490">
        <v>446</v>
      </c>
      <c r="B490">
        <v>906.59999999999945</v>
      </c>
      <c r="C490">
        <v>990.77499999999964</v>
      </c>
      <c r="D490">
        <v>906.60000000000036</v>
      </c>
      <c r="E490">
        <v>-1126.4500000000007</v>
      </c>
      <c r="F490">
        <v>-142.25</v>
      </c>
      <c r="G490">
        <v>-2123.6000000000004</v>
      </c>
      <c r="J490">
        <v>446</v>
      </c>
      <c r="K490">
        <v>0</v>
      </c>
      <c r="L490">
        <v>0</v>
      </c>
      <c r="M490">
        <v>0</v>
      </c>
      <c r="N490">
        <v>227</v>
      </c>
      <c r="O490">
        <v>188</v>
      </c>
      <c r="P490">
        <v>355</v>
      </c>
      <c r="S490">
        <v>446</v>
      </c>
      <c r="T490">
        <v>906.59999999999945</v>
      </c>
      <c r="U490">
        <v>964.875</v>
      </c>
      <c r="V490">
        <v>906.59999999999945</v>
      </c>
      <c r="W490">
        <v>2305.1999999999998</v>
      </c>
      <c r="X490">
        <v>2314.3249999999989</v>
      </c>
      <c r="Y490">
        <v>431.30946746779318</v>
      </c>
    </row>
    <row r="491" spans="1:25" x14ac:dyDescent="0.35">
      <c r="A491">
        <v>447</v>
      </c>
      <c r="B491">
        <v>906.59999999999945</v>
      </c>
      <c r="C491">
        <v>997.25</v>
      </c>
      <c r="D491">
        <v>906.59999999999945</v>
      </c>
      <c r="E491">
        <v>-1307.75</v>
      </c>
      <c r="F491">
        <v>-647.30000000000109</v>
      </c>
      <c r="G491">
        <v>-2240.1500000000005</v>
      </c>
      <c r="J491">
        <v>447</v>
      </c>
      <c r="K491">
        <v>0</v>
      </c>
      <c r="L491">
        <v>0</v>
      </c>
      <c r="M491">
        <v>0</v>
      </c>
      <c r="N491">
        <v>205</v>
      </c>
      <c r="O491">
        <v>172</v>
      </c>
      <c r="P491">
        <v>317</v>
      </c>
      <c r="S491">
        <v>447</v>
      </c>
      <c r="T491">
        <v>906.59999999999945</v>
      </c>
      <c r="U491">
        <v>945.44999999999982</v>
      </c>
      <c r="V491">
        <v>906.60000000000036</v>
      </c>
      <c r="W491">
        <v>-919.25</v>
      </c>
      <c r="X491">
        <v>2240.9999999999995</v>
      </c>
      <c r="Y491">
        <v>2449.1999999999989</v>
      </c>
    </row>
    <row r="492" spans="1:25" x14ac:dyDescent="0.35">
      <c r="A492">
        <v>448</v>
      </c>
      <c r="B492">
        <v>906.59999999999945</v>
      </c>
      <c r="C492">
        <v>984.29999999999927</v>
      </c>
      <c r="D492">
        <v>906.59999999999945</v>
      </c>
      <c r="E492">
        <v>-1191.2000000000007</v>
      </c>
      <c r="F492">
        <v>-258.80000000000109</v>
      </c>
      <c r="G492">
        <v>-2279</v>
      </c>
      <c r="J492">
        <v>448</v>
      </c>
      <c r="K492">
        <v>0</v>
      </c>
      <c r="L492">
        <v>0</v>
      </c>
      <c r="M492">
        <v>0</v>
      </c>
      <c r="N492">
        <v>228</v>
      </c>
      <c r="O492">
        <v>169</v>
      </c>
      <c r="P492">
        <v>298</v>
      </c>
      <c r="S492">
        <v>448</v>
      </c>
      <c r="T492">
        <v>906.59999999999945</v>
      </c>
      <c r="U492">
        <v>1003.7250000000004</v>
      </c>
      <c r="V492">
        <v>906.59999999999945</v>
      </c>
      <c r="W492">
        <v>-277.88776833763222</v>
      </c>
      <c r="X492">
        <v>2229.85</v>
      </c>
      <c r="Y492">
        <v>2465.1999999999998</v>
      </c>
    </row>
    <row r="493" spans="1:25" x14ac:dyDescent="0.35">
      <c r="A493">
        <v>449</v>
      </c>
      <c r="B493">
        <v>906.59999999999945</v>
      </c>
      <c r="C493">
        <v>990.77499999999964</v>
      </c>
      <c r="D493">
        <v>906.60000000000036</v>
      </c>
      <c r="E493">
        <v>-932.20000000000073</v>
      </c>
      <c r="F493">
        <v>-174.625</v>
      </c>
      <c r="G493">
        <v>-2020</v>
      </c>
      <c r="J493">
        <v>449</v>
      </c>
      <c r="K493">
        <v>0</v>
      </c>
      <c r="L493">
        <v>0</v>
      </c>
      <c r="M493">
        <v>0</v>
      </c>
      <c r="N493">
        <v>243</v>
      </c>
      <c r="O493">
        <v>184</v>
      </c>
      <c r="P493">
        <v>302</v>
      </c>
      <c r="S493">
        <v>449</v>
      </c>
      <c r="T493">
        <v>906.59999999999945</v>
      </c>
      <c r="U493">
        <v>932.49999999999909</v>
      </c>
      <c r="V493">
        <v>906.59999999999945</v>
      </c>
      <c r="W493">
        <v>2283.1999999999998</v>
      </c>
      <c r="X493">
        <v>2271.9499999999989</v>
      </c>
      <c r="Y493">
        <v>2479.1999999999989</v>
      </c>
    </row>
    <row r="494" spans="1:25" x14ac:dyDescent="0.35">
      <c r="A494">
        <v>450</v>
      </c>
      <c r="B494">
        <v>906.59999999999945</v>
      </c>
      <c r="C494">
        <v>964.87499999999909</v>
      </c>
      <c r="D494">
        <v>906.60000000000036</v>
      </c>
      <c r="E494">
        <v>-1255.9500000000007</v>
      </c>
      <c r="F494">
        <v>-362.40000000000055</v>
      </c>
      <c r="G494">
        <v>-2395.5500000000002</v>
      </c>
      <c r="J494">
        <v>450</v>
      </c>
      <c r="K494">
        <v>0</v>
      </c>
      <c r="L494">
        <v>0</v>
      </c>
      <c r="M494">
        <v>0</v>
      </c>
      <c r="N494">
        <v>221</v>
      </c>
      <c r="O494">
        <v>160</v>
      </c>
      <c r="P494">
        <v>306</v>
      </c>
      <c r="S494">
        <v>450</v>
      </c>
      <c r="T494">
        <v>906.59999999999945</v>
      </c>
      <c r="U494">
        <v>984.29999999999927</v>
      </c>
      <c r="V494">
        <v>906.59999999999945</v>
      </c>
      <c r="W494">
        <v>2319.1999999999994</v>
      </c>
      <c r="X494">
        <v>2184.874107720399</v>
      </c>
      <c r="Y494">
        <v>2457.1999999999998</v>
      </c>
    </row>
    <row r="495" spans="1:25" x14ac:dyDescent="0.35">
      <c r="A495">
        <v>451</v>
      </c>
      <c r="B495">
        <v>906.59999999999945</v>
      </c>
      <c r="C495">
        <v>958.39999999999964</v>
      </c>
      <c r="D495">
        <v>906.59999999999945</v>
      </c>
      <c r="E495">
        <v>-1281.8500000000004</v>
      </c>
      <c r="F495">
        <v>-595.5</v>
      </c>
      <c r="G495">
        <v>-1929.3500000000004</v>
      </c>
      <c r="J495">
        <v>451</v>
      </c>
      <c r="K495">
        <v>0</v>
      </c>
      <c r="L495">
        <v>0</v>
      </c>
      <c r="M495">
        <v>0</v>
      </c>
      <c r="N495">
        <v>218</v>
      </c>
      <c r="O495">
        <v>178</v>
      </c>
      <c r="P495">
        <v>357</v>
      </c>
      <c r="S495">
        <v>451</v>
      </c>
      <c r="T495">
        <v>906.59999999999945</v>
      </c>
      <c r="U495">
        <v>990.77499999999964</v>
      </c>
      <c r="V495">
        <v>906.60000000000036</v>
      </c>
      <c r="W495">
        <v>-1217.1000000000004</v>
      </c>
      <c r="X495">
        <v>2303.3749999999995</v>
      </c>
      <c r="Y495">
        <v>2467.1999999999998</v>
      </c>
    </row>
    <row r="496" spans="1:25" x14ac:dyDescent="0.35">
      <c r="A496">
        <v>452</v>
      </c>
      <c r="B496">
        <v>906.59999999999945</v>
      </c>
      <c r="C496">
        <v>945.44999999999891</v>
      </c>
      <c r="D496">
        <v>906.60000000000036</v>
      </c>
      <c r="E496">
        <v>-919.25</v>
      </c>
      <c r="F496">
        <v>-342.97500000000036</v>
      </c>
      <c r="G496">
        <v>-2538</v>
      </c>
      <c r="J496">
        <v>452</v>
      </c>
      <c r="K496">
        <v>0</v>
      </c>
      <c r="L496">
        <v>0</v>
      </c>
      <c r="M496">
        <v>0</v>
      </c>
      <c r="N496">
        <v>216</v>
      </c>
      <c r="O496">
        <v>163</v>
      </c>
      <c r="P496">
        <v>318</v>
      </c>
      <c r="S496">
        <v>452</v>
      </c>
      <c r="T496">
        <v>906.59999999999945</v>
      </c>
      <c r="U496">
        <v>951.92499999999927</v>
      </c>
      <c r="V496">
        <v>906.60000000000036</v>
      </c>
      <c r="W496">
        <v>2255.1999999999998</v>
      </c>
      <c r="X496">
        <v>2293.3749999999995</v>
      </c>
      <c r="Y496">
        <v>2429.1999999999989</v>
      </c>
    </row>
    <row r="497" spans="1:25" x14ac:dyDescent="0.35">
      <c r="A497">
        <v>453</v>
      </c>
      <c r="B497">
        <v>906.59999999999945</v>
      </c>
      <c r="C497">
        <v>1003.7249999999995</v>
      </c>
      <c r="D497">
        <v>906.59999999999945</v>
      </c>
      <c r="E497">
        <v>-932.20000000000073</v>
      </c>
      <c r="F497">
        <v>-530.75</v>
      </c>
      <c r="G497">
        <v>-2266.0500000000002</v>
      </c>
      <c r="J497">
        <v>453</v>
      </c>
      <c r="K497">
        <v>0</v>
      </c>
      <c r="L497">
        <v>0</v>
      </c>
      <c r="M497">
        <v>0</v>
      </c>
      <c r="N497">
        <v>207</v>
      </c>
      <c r="O497">
        <v>197</v>
      </c>
      <c r="P497">
        <v>339</v>
      </c>
      <c r="S497">
        <v>453</v>
      </c>
      <c r="T497">
        <v>906.59999999999945</v>
      </c>
      <c r="U497">
        <v>951.92499999999927</v>
      </c>
      <c r="V497">
        <v>906.59999999999945</v>
      </c>
      <c r="W497">
        <v>2285.1999999999998</v>
      </c>
      <c r="X497">
        <v>2228.5249999999996</v>
      </c>
      <c r="Y497">
        <v>-872.64107612122439</v>
      </c>
    </row>
    <row r="498" spans="1:25" x14ac:dyDescent="0.35">
      <c r="A498">
        <v>454</v>
      </c>
      <c r="B498">
        <v>906.59999999999945</v>
      </c>
      <c r="C498">
        <v>945.44999999999982</v>
      </c>
      <c r="D498">
        <v>906.59999999999945</v>
      </c>
      <c r="E498">
        <v>-1178.25</v>
      </c>
      <c r="F498">
        <v>-323.55000000000018</v>
      </c>
      <c r="G498">
        <v>-2343.75</v>
      </c>
      <c r="J498">
        <v>454</v>
      </c>
      <c r="K498">
        <v>0</v>
      </c>
      <c r="L498">
        <v>0</v>
      </c>
      <c r="M498">
        <v>0</v>
      </c>
      <c r="N498">
        <v>225</v>
      </c>
      <c r="O498">
        <v>175</v>
      </c>
      <c r="P498">
        <v>318</v>
      </c>
      <c r="S498">
        <v>454</v>
      </c>
      <c r="T498">
        <v>906.59999999999945</v>
      </c>
      <c r="U498">
        <v>977.82499999999982</v>
      </c>
      <c r="V498">
        <v>906.59999999999945</v>
      </c>
      <c r="W498">
        <v>2247.1999999999989</v>
      </c>
      <c r="X498">
        <v>2222.4249999999997</v>
      </c>
      <c r="Y498">
        <v>2415.1999999999998</v>
      </c>
    </row>
    <row r="499" spans="1:25" x14ac:dyDescent="0.35">
      <c r="A499">
        <v>455</v>
      </c>
      <c r="B499">
        <v>906.59999999999945</v>
      </c>
      <c r="C499">
        <v>990.77499999999964</v>
      </c>
      <c r="D499">
        <v>906.59999999999945</v>
      </c>
      <c r="E499">
        <v>-1204.1500000000005</v>
      </c>
      <c r="F499">
        <v>-621.40000000000055</v>
      </c>
      <c r="G499">
        <v>-2563.9000000000005</v>
      </c>
      <c r="J499">
        <v>455</v>
      </c>
      <c r="K499">
        <v>0</v>
      </c>
      <c r="L499">
        <v>0</v>
      </c>
      <c r="M499">
        <v>0</v>
      </c>
      <c r="N499">
        <v>234</v>
      </c>
      <c r="O499">
        <v>170</v>
      </c>
      <c r="P499">
        <v>326</v>
      </c>
      <c r="S499">
        <v>455</v>
      </c>
      <c r="T499">
        <v>906.59999999999945</v>
      </c>
      <c r="U499">
        <v>997.25</v>
      </c>
      <c r="V499">
        <v>906.59999999999945</v>
      </c>
      <c r="W499">
        <v>2227.1999999999989</v>
      </c>
      <c r="X499">
        <v>983.14772665606961</v>
      </c>
      <c r="Y499">
        <v>474.09118588804267</v>
      </c>
    </row>
    <row r="500" spans="1:25" x14ac:dyDescent="0.35">
      <c r="A500">
        <v>456</v>
      </c>
      <c r="B500">
        <v>906.59999999999945</v>
      </c>
      <c r="C500">
        <v>958.39999999999964</v>
      </c>
      <c r="D500">
        <v>906.59999999999945</v>
      </c>
      <c r="E500">
        <v>-1204.1500000000005</v>
      </c>
      <c r="F500">
        <v>-582.55000000000018</v>
      </c>
      <c r="G500">
        <v>-2395.5500000000002</v>
      </c>
      <c r="J500">
        <v>456</v>
      </c>
      <c r="K500">
        <v>0</v>
      </c>
      <c r="L500">
        <v>0</v>
      </c>
      <c r="M500">
        <v>0</v>
      </c>
      <c r="N500">
        <v>245</v>
      </c>
      <c r="O500">
        <v>186</v>
      </c>
      <c r="P500">
        <v>342</v>
      </c>
      <c r="S500">
        <v>456</v>
      </c>
      <c r="T500">
        <v>906.59999999999945</v>
      </c>
      <c r="U500">
        <v>984.29999999999927</v>
      </c>
      <c r="V500">
        <v>906.59999999999945</v>
      </c>
      <c r="W500">
        <v>2259.1999999999994</v>
      </c>
      <c r="X500">
        <v>866.49761533843048</v>
      </c>
      <c r="Y500">
        <v>2467.1999999999998</v>
      </c>
    </row>
    <row r="501" spans="1:25" x14ac:dyDescent="0.35">
      <c r="A501">
        <v>457</v>
      </c>
      <c r="B501">
        <v>906.59999999999945</v>
      </c>
      <c r="C501">
        <v>1003.7249999999995</v>
      </c>
      <c r="D501">
        <v>906.59999999999945</v>
      </c>
      <c r="E501">
        <v>-802.70000000000073</v>
      </c>
      <c r="F501">
        <v>-511.32500000000073</v>
      </c>
      <c r="G501">
        <v>-2473.25</v>
      </c>
      <c r="J501">
        <v>457</v>
      </c>
      <c r="K501">
        <v>0</v>
      </c>
      <c r="L501">
        <v>0</v>
      </c>
      <c r="M501">
        <v>0</v>
      </c>
      <c r="N501">
        <v>221</v>
      </c>
      <c r="O501">
        <v>188</v>
      </c>
      <c r="P501">
        <v>288</v>
      </c>
      <c r="S501">
        <v>457</v>
      </c>
      <c r="T501">
        <v>906.59999999999945</v>
      </c>
      <c r="U501">
        <v>951.92499999999927</v>
      </c>
      <c r="V501">
        <v>906.59999999999945</v>
      </c>
      <c r="W501">
        <v>2243.1999999999998</v>
      </c>
      <c r="X501">
        <v>2306.3249999999994</v>
      </c>
      <c r="Y501">
        <v>2449.1999999999989</v>
      </c>
    </row>
    <row r="502" spans="1:25" x14ac:dyDescent="0.35">
      <c r="A502">
        <v>458</v>
      </c>
      <c r="B502">
        <v>906.59999999999945</v>
      </c>
      <c r="C502">
        <v>971.34999999999945</v>
      </c>
      <c r="D502">
        <v>906.60000000000036</v>
      </c>
      <c r="E502">
        <v>-725</v>
      </c>
      <c r="F502">
        <v>-381.82500000000073</v>
      </c>
      <c r="G502">
        <v>-2356.6999999999998</v>
      </c>
      <c r="J502">
        <v>458</v>
      </c>
      <c r="K502">
        <v>0</v>
      </c>
      <c r="L502">
        <v>0</v>
      </c>
      <c r="M502">
        <v>0</v>
      </c>
      <c r="N502">
        <v>223</v>
      </c>
      <c r="O502">
        <v>160</v>
      </c>
      <c r="P502">
        <v>294</v>
      </c>
      <c r="S502">
        <v>458</v>
      </c>
      <c r="T502">
        <v>906.59999999999945</v>
      </c>
      <c r="U502">
        <v>1023.1499999999987</v>
      </c>
      <c r="V502">
        <v>940.5999999999998</v>
      </c>
      <c r="W502">
        <v>2227.1999999999989</v>
      </c>
      <c r="X502">
        <v>2196.0499999999997</v>
      </c>
      <c r="Y502">
        <v>2515.1999999999998</v>
      </c>
    </row>
    <row r="503" spans="1:25" x14ac:dyDescent="0.35">
      <c r="A503">
        <v>459</v>
      </c>
      <c r="B503">
        <v>906.59999999999945</v>
      </c>
      <c r="C503">
        <v>1003.7249999999995</v>
      </c>
      <c r="D503">
        <v>906.59999999999945</v>
      </c>
      <c r="E503">
        <v>-1204.1500000000005</v>
      </c>
      <c r="F503">
        <v>-330.02499999999964</v>
      </c>
      <c r="G503">
        <v>-2007.0500000000002</v>
      </c>
      <c r="J503">
        <v>459</v>
      </c>
      <c r="K503">
        <v>0</v>
      </c>
      <c r="L503">
        <v>0</v>
      </c>
      <c r="M503">
        <v>0</v>
      </c>
      <c r="N503">
        <v>216</v>
      </c>
      <c r="O503">
        <v>182</v>
      </c>
      <c r="P503">
        <v>311</v>
      </c>
      <c r="S503">
        <v>459</v>
      </c>
      <c r="T503">
        <v>906.59999999999945</v>
      </c>
      <c r="U503">
        <v>964.875</v>
      </c>
      <c r="V503">
        <v>906.60000000000036</v>
      </c>
      <c r="W503">
        <v>2283.1999999999998</v>
      </c>
      <c r="X503">
        <v>2269.9499999999998</v>
      </c>
      <c r="Y503">
        <v>2439.1999999999989</v>
      </c>
    </row>
    <row r="504" spans="1:25" x14ac:dyDescent="0.35">
      <c r="A504">
        <v>460</v>
      </c>
      <c r="B504">
        <v>906.59999999999945</v>
      </c>
      <c r="C504">
        <v>1003.7250000000004</v>
      </c>
      <c r="D504">
        <v>919.55000000000018</v>
      </c>
      <c r="E504">
        <v>-1022.8500000000004</v>
      </c>
      <c r="F504">
        <v>-394.77500000000055</v>
      </c>
      <c r="G504">
        <v>-2460.3000000000002</v>
      </c>
      <c r="J504">
        <v>460</v>
      </c>
      <c r="K504">
        <v>0</v>
      </c>
      <c r="L504">
        <v>0</v>
      </c>
      <c r="M504">
        <v>0</v>
      </c>
      <c r="N504">
        <v>225</v>
      </c>
      <c r="O504">
        <v>188</v>
      </c>
      <c r="P504">
        <v>311</v>
      </c>
      <c r="S504">
        <v>460</v>
      </c>
      <c r="T504">
        <v>906.59999999999945</v>
      </c>
      <c r="U504">
        <v>1003.7249999999985</v>
      </c>
      <c r="V504">
        <v>906.59999999999945</v>
      </c>
      <c r="W504">
        <v>2249.1999999999994</v>
      </c>
      <c r="X504">
        <v>-388.30000000000018</v>
      </c>
      <c r="Y504">
        <v>730.03704050058695</v>
      </c>
    </row>
    <row r="505" spans="1:25" x14ac:dyDescent="0.35">
      <c r="A505">
        <v>461</v>
      </c>
      <c r="B505">
        <v>906.59999999999945</v>
      </c>
      <c r="C505">
        <v>990.77499999999964</v>
      </c>
      <c r="D505">
        <v>906.59999999999945</v>
      </c>
      <c r="E505">
        <v>-1139.4000000000005</v>
      </c>
      <c r="F505">
        <v>-446.57500000000073</v>
      </c>
      <c r="G505">
        <v>-2434.4000000000005</v>
      </c>
      <c r="J505">
        <v>461</v>
      </c>
      <c r="K505">
        <v>0</v>
      </c>
      <c r="L505">
        <v>0</v>
      </c>
      <c r="M505">
        <v>0</v>
      </c>
      <c r="N505">
        <v>235</v>
      </c>
      <c r="O505">
        <v>185</v>
      </c>
      <c r="P505">
        <v>329</v>
      </c>
      <c r="S505">
        <v>461</v>
      </c>
      <c r="T505">
        <v>906.59999999999945</v>
      </c>
      <c r="U505">
        <v>964.87499999999909</v>
      </c>
      <c r="V505">
        <v>906.59999999999945</v>
      </c>
      <c r="W505">
        <v>-1489.0500000000002</v>
      </c>
      <c r="X505">
        <v>-153.16799966326306</v>
      </c>
      <c r="Y505">
        <v>-1748.7872108429158</v>
      </c>
    </row>
    <row r="506" spans="1:25" x14ac:dyDescent="0.35">
      <c r="A506">
        <v>462</v>
      </c>
      <c r="B506">
        <v>906.59999999999945</v>
      </c>
      <c r="C506">
        <v>971.34999999999854</v>
      </c>
      <c r="D506">
        <v>906.59999999999945</v>
      </c>
      <c r="E506">
        <v>-1217.1000000000004</v>
      </c>
      <c r="F506">
        <v>-491.90000000000055</v>
      </c>
      <c r="G506">
        <v>-2486.1999999999998</v>
      </c>
      <c r="J506">
        <v>462</v>
      </c>
      <c r="K506">
        <v>0</v>
      </c>
      <c r="L506">
        <v>0</v>
      </c>
      <c r="M506">
        <v>0</v>
      </c>
      <c r="N506">
        <v>235</v>
      </c>
      <c r="O506">
        <v>178</v>
      </c>
      <c r="P506">
        <v>308</v>
      </c>
      <c r="S506">
        <v>462</v>
      </c>
      <c r="T506">
        <v>906.59999999999945</v>
      </c>
      <c r="U506">
        <v>1016.6749999999993</v>
      </c>
      <c r="V506">
        <v>906.59999999999945</v>
      </c>
      <c r="W506">
        <v>2285.1999999999998</v>
      </c>
      <c r="X506">
        <v>2290.7999999999997</v>
      </c>
      <c r="Y506">
        <v>-498.72896967724728</v>
      </c>
    </row>
    <row r="507" spans="1:25" x14ac:dyDescent="0.35">
      <c r="A507">
        <v>463</v>
      </c>
      <c r="B507">
        <v>906.59999999999945</v>
      </c>
      <c r="C507">
        <v>1010.1999999999989</v>
      </c>
      <c r="D507">
        <v>906.59999999999945</v>
      </c>
      <c r="E507">
        <v>-893.35000000000036</v>
      </c>
      <c r="F507">
        <v>-783.27500000000055</v>
      </c>
      <c r="G507">
        <v>-2291.9499999999998</v>
      </c>
      <c r="J507">
        <v>463</v>
      </c>
      <c r="K507">
        <v>0</v>
      </c>
      <c r="L507">
        <v>0</v>
      </c>
      <c r="M507">
        <v>6</v>
      </c>
      <c r="N507">
        <v>208</v>
      </c>
      <c r="O507">
        <v>173</v>
      </c>
      <c r="P507">
        <v>315</v>
      </c>
      <c r="S507">
        <v>463</v>
      </c>
      <c r="T507">
        <v>906.59999999999945</v>
      </c>
      <c r="U507">
        <v>951.92500000000018</v>
      </c>
      <c r="V507">
        <v>906.60000000000036</v>
      </c>
      <c r="W507">
        <v>1847.1148630430985</v>
      </c>
      <c r="X507">
        <v>2204.0500000000002</v>
      </c>
      <c r="Y507">
        <v>-754.61545737164943</v>
      </c>
    </row>
    <row r="508" spans="1:25" x14ac:dyDescent="0.35">
      <c r="A508">
        <v>464</v>
      </c>
      <c r="B508">
        <v>906.59999999999945</v>
      </c>
      <c r="C508">
        <v>977.82499999999982</v>
      </c>
      <c r="D508">
        <v>906.59999999999945</v>
      </c>
      <c r="E508">
        <v>-1268.9000000000005</v>
      </c>
      <c r="F508">
        <v>-388.30000000000018</v>
      </c>
      <c r="G508">
        <v>-2576.8500000000004</v>
      </c>
      <c r="J508">
        <v>464</v>
      </c>
      <c r="K508">
        <v>0</v>
      </c>
      <c r="L508">
        <v>0</v>
      </c>
      <c r="M508">
        <v>0</v>
      </c>
      <c r="N508">
        <v>211</v>
      </c>
      <c r="O508">
        <v>205</v>
      </c>
      <c r="P508">
        <v>350</v>
      </c>
      <c r="S508">
        <v>464</v>
      </c>
      <c r="T508">
        <v>906.59999999999945</v>
      </c>
      <c r="U508">
        <v>977.82499999999891</v>
      </c>
      <c r="V508">
        <v>906.59999999999945</v>
      </c>
      <c r="W508">
        <v>-1372.5</v>
      </c>
      <c r="X508">
        <v>2239.9499999999998</v>
      </c>
      <c r="Y508">
        <v>2477.1999999999998</v>
      </c>
    </row>
    <row r="509" spans="1:25" x14ac:dyDescent="0.35">
      <c r="A509">
        <v>465</v>
      </c>
      <c r="B509">
        <v>906.59999999999945</v>
      </c>
      <c r="C509">
        <v>951.92499999999927</v>
      </c>
      <c r="D509">
        <v>906.60000000000036</v>
      </c>
      <c r="E509">
        <v>-893.35000000000036</v>
      </c>
      <c r="F509">
        <v>-232.90000000000055</v>
      </c>
      <c r="G509">
        <v>-2032.9500000000007</v>
      </c>
      <c r="J509">
        <v>465</v>
      </c>
      <c r="K509">
        <v>0</v>
      </c>
      <c r="L509">
        <v>0</v>
      </c>
      <c r="M509">
        <v>0</v>
      </c>
      <c r="N509">
        <v>211</v>
      </c>
      <c r="O509">
        <v>184</v>
      </c>
      <c r="P509">
        <v>340</v>
      </c>
      <c r="S509">
        <v>465</v>
      </c>
      <c r="T509">
        <v>906.59999999999945</v>
      </c>
      <c r="U509">
        <v>964.87499999999909</v>
      </c>
      <c r="V509">
        <v>906.59999999999945</v>
      </c>
      <c r="W509">
        <v>2235.1999999999998</v>
      </c>
      <c r="X509">
        <v>137.84996479080422</v>
      </c>
      <c r="Y509">
        <v>2455.1999999999998</v>
      </c>
    </row>
    <row r="510" spans="1:25" x14ac:dyDescent="0.35">
      <c r="A510">
        <v>466</v>
      </c>
      <c r="B510">
        <v>906.59999999999945</v>
      </c>
      <c r="C510">
        <v>964.875</v>
      </c>
      <c r="D510">
        <v>906.59999999999945</v>
      </c>
      <c r="E510">
        <v>-984</v>
      </c>
      <c r="F510">
        <v>-297.65000000000055</v>
      </c>
      <c r="G510">
        <v>-2641.6000000000004</v>
      </c>
      <c r="J510">
        <v>466</v>
      </c>
      <c r="K510">
        <v>0</v>
      </c>
      <c r="L510">
        <v>0</v>
      </c>
      <c r="M510">
        <v>0</v>
      </c>
      <c r="N510">
        <v>215</v>
      </c>
      <c r="O510">
        <v>195</v>
      </c>
      <c r="P510">
        <v>311</v>
      </c>
      <c r="S510">
        <v>466</v>
      </c>
      <c r="T510">
        <v>906.59999999999945</v>
      </c>
      <c r="U510">
        <v>971.34999999999945</v>
      </c>
      <c r="V510">
        <v>906.59999999999945</v>
      </c>
      <c r="W510">
        <v>448.39196162912936</v>
      </c>
      <c r="X510">
        <v>60.909477997605279</v>
      </c>
      <c r="Y510">
        <v>2441.1999999999998</v>
      </c>
    </row>
    <row r="511" spans="1:25" x14ac:dyDescent="0.35">
      <c r="A511">
        <v>467</v>
      </c>
      <c r="B511">
        <v>906.59999999999945</v>
      </c>
      <c r="C511">
        <v>977.82499999999891</v>
      </c>
      <c r="D511">
        <v>906.60000000000036</v>
      </c>
      <c r="E511">
        <v>-1178.25</v>
      </c>
      <c r="F511">
        <v>-453.05000000000018</v>
      </c>
      <c r="G511">
        <v>-2356.6999999999998</v>
      </c>
      <c r="J511">
        <v>467</v>
      </c>
      <c r="K511">
        <v>0</v>
      </c>
      <c r="L511">
        <v>0</v>
      </c>
      <c r="M511">
        <v>0</v>
      </c>
      <c r="N511">
        <v>196</v>
      </c>
      <c r="O511">
        <v>170</v>
      </c>
      <c r="P511">
        <v>332</v>
      </c>
      <c r="S511">
        <v>467</v>
      </c>
      <c r="T511">
        <v>906.59999999999945</v>
      </c>
      <c r="U511">
        <v>964.87499999999909</v>
      </c>
      <c r="V511">
        <v>906.59999999999945</v>
      </c>
      <c r="W511">
        <v>-132.07288932340191</v>
      </c>
      <c r="X511">
        <v>2244.9</v>
      </c>
      <c r="Y511">
        <v>1741.3562436612265</v>
      </c>
    </row>
    <row r="512" spans="1:25" x14ac:dyDescent="0.35">
      <c r="A512">
        <v>468</v>
      </c>
      <c r="B512">
        <v>906.59999999999945</v>
      </c>
      <c r="C512">
        <v>938.97499999999945</v>
      </c>
      <c r="D512">
        <v>906.60000000000036</v>
      </c>
      <c r="E512">
        <v>-958.10000000000036</v>
      </c>
      <c r="F512">
        <v>-699.10000000000036</v>
      </c>
      <c r="G512">
        <v>-2304.9000000000005</v>
      </c>
      <c r="J512">
        <v>468</v>
      </c>
      <c r="K512">
        <v>0</v>
      </c>
      <c r="L512">
        <v>0</v>
      </c>
      <c r="M512">
        <v>0</v>
      </c>
      <c r="N512">
        <v>214</v>
      </c>
      <c r="O512">
        <v>193</v>
      </c>
      <c r="P512">
        <v>298</v>
      </c>
      <c r="S512">
        <v>468</v>
      </c>
      <c r="T512">
        <v>906.59999999999945</v>
      </c>
      <c r="U512">
        <v>971.34999999999945</v>
      </c>
      <c r="V512">
        <v>906.59999999999945</v>
      </c>
      <c r="W512">
        <v>2313.1999999999998</v>
      </c>
      <c r="X512">
        <v>2235.474999999999</v>
      </c>
      <c r="Y512">
        <v>2457.1999999999998</v>
      </c>
    </row>
    <row r="513" spans="1:25" x14ac:dyDescent="0.35">
      <c r="A513">
        <v>469</v>
      </c>
      <c r="B513">
        <v>906.59999999999945</v>
      </c>
      <c r="C513">
        <v>977.82499999999982</v>
      </c>
      <c r="D513">
        <v>906.59999999999945</v>
      </c>
      <c r="E513">
        <v>-1009.9000000000005</v>
      </c>
      <c r="F513">
        <v>-375.35000000000036</v>
      </c>
      <c r="G513">
        <v>-2214.25</v>
      </c>
      <c r="J513">
        <v>469</v>
      </c>
      <c r="K513">
        <v>0</v>
      </c>
      <c r="L513">
        <v>0</v>
      </c>
      <c r="M513">
        <v>0</v>
      </c>
      <c r="N513">
        <v>265</v>
      </c>
      <c r="O513">
        <v>180</v>
      </c>
      <c r="P513">
        <v>332</v>
      </c>
      <c r="S513">
        <v>469</v>
      </c>
      <c r="T513">
        <v>906.59999999999945</v>
      </c>
      <c r="U513">
        <v>977.82499999999891</v>
      </c>
      <c r="V513">
        <v>906.59999999999945</v>
      </c>
      <c r="W513">
        <v>2253.1999999999998</v>
      </c>
      <c r="X513">
        <v>1077.4291731394742</v>
      </c>
      <c r="Y513">
        <v>-2408.5</v>
      </c>
    </row>
    <row r="514" spans="1:25" x14ac:dyDescent="0.35">
      <c r="A514">
        <v>470</v>
      </c>
      <c r="B514">
        <v>906.59999999999945</v>
      </c>
      <c r="C514">
        <v>932.5</v>
      </c>
      <c r="D514">
        <v>906.59999999999945</v>
      </c>
      <c r="E514">
        <v>-1100.5500000000002</v>
      </c>
      <c r="F514">
        <v>-504.85000000000036</v>
      </c>
      <c r="G514">
        <v>-2589.8000000000002</v>
      </c>
      <c r="J514">
        <v>470</v>
      </c>
      <c r="K514">
        <v>0</v>
      </c>
      <c r="L514">
        <v>0</v>
      </c>
      <c r="M514">
        <v>0</v>
      </c>
      <c r="N514">
        <v>218</v>
      </c>
      <c r="O514">
        <v>191</v>
      </c>
      <c r="P514">
        <v>324</v>
      </c>
      <c r="S514">
        <v>470</v>
      </c>
      <c r="T514">
        <v>906.59999999999945</v>
      </c>
      <c r="U514">
        <v>990.77499999999964</v>
      </c>
      <c r="V514">
        <v>906.59999999999945</v>
      </c>
      <c r="W514">
        <v>2269.1999999999994</v>
      </c>
      <c r="X514">
        <v>2228.9999999999995</v>
      </c>
      <c r="Y514">
        <v>15.575318288308608</v>
      </c>
    </row>
    <row r="515" spans="1:25" x14ac:dyDescent="0.35">
      <c r="A515">
        <v>471</v>
      </c>
      <c r="B515">
        <v>906.59999999999945</v>
      </c>
      <c r="C515">
        <v>990.77499999999873</v>
      </c>
      <c r="D515">
        <v>906.59999999999945</v>
      </c>
      <c r="E515">
        <v>-1009.9000000000005</v>
      </c>
      <c r="F515">
        <v>-815.65000000000055</v>
      </c>
      <c r="G515">
        <v>-2045.9000000000005</v>
      </c>
      <c r="J515">
        <v>471</v>
      </c>
      <c r="K515">
        <v>0</v>
      </c>
      <c r="L515">
        <v>0</v>
      </c>
      <c r="M515">
        <v>0</v>
      </c>
      <c r="N515">
        <v>218</v>
      </c>
      <c r="O515">
        <v>187</v>
      </c>
      <c r="P515">
        <v>323</v>
      </c>
      <c r="S515">
        <v>471</v>
      </c>
      <c r="T515">
        <v>906.59999999999945</v>
      </c>
      <c r="U515">
        <v>951.92499999999927</v>
      </c>
      <c r="V515">
        <v>906.59999999999945</v>
      </c>
      <c r="W515">
        <v>2269.1999999999994</v>
      </c>
      <c r="X515">
        <v>1692.6861877772349</v>
      </c>
      <c r="Y515">
        <v>2437.1999999999989</v>
      </c>
    </row>
    <row r="516" spans="1:25" x14ac:dyDescent="0.35">
      <c r="A516">
        <v>472</v>
      </c>
      <c r="B516">
        <v>906.59999999999945</v>
      </c>
      <c r="C516">
        <v>971.34999999999945</v>
      </c>
      <c r="D516">
        <v>906.60000000000036</v>
      </c>
      <c r="E516">
        <v>-893.35000000000036</v>
      </c>
      <c r="F516">
        <v>-848.02500000000055</v>
      </c>
      <c r="G516">
        <v>-2369.6500000000005</v>
      </c>
      <c r="J516">
        <v>472</v>
      </c>
      <c r="K516">
        <v>0</v>
      </c>
      <c r="L516">
        <v>0</v>
      </c>
      <c r="M516">
        <v>0</v>
      </c>
      <c r="N516">
        <v>223</v>
      </c>
      <c r="O516">
        <v>185</v>
      </c>
      <c r="P516">
        <v>312</v>
      </c>
      <c r="S516">
        <v>472</v>
      </c>
      <c r="T516">
        <v>906.59999999999945</v>
      </c>
      <c r="U516">
        <v>984.29999999999927</v>
      </c>
      <c r="V516">
        <v>906.59999999999945</v>
      </c>
      <c r="W516">
        <v>2279.1999999999994</v>
      </c>
      <c r="X516">
        <v>2217.9499999999998</v>
      </c>
      <c r="Y516">
        <v>531.99174718618224</v>
      </c>
    </row>
    <row r="517" spans="1:25" x14ac:dyDescent="0.35">
      <c r="A517">
        <v>473</v>
      </c>
      <c r="B517">
        <v>906.59999999999945</v>
      </c>
      <c r="C517">
        <v>958.39999999999964</v>
      </c>
      <c r="D517">
        <v>906.59999999999945</v>
      </c>
      <c r="E517">
        <v>-1230.0500000000002</v>
      </c>
      <c r="F517">
        <v>-310.60000000000036</v>
      </c>
      <c r="G517">
        <v>-2084.75</v>
      </c>
      <c r="J517">
        <v>473</v>
      </c>
      <c r="K517">
        <v>0</v>
      </c>
      <c r="L517">
        <v>0</v>
      </c>
      <c r="M517">
        <v>0</v>
      </c>
      <c r="N517">
        <v>249</v>
      </c>
      <c r="O517">
        <v>185</v>
      </c>
      <c r="P517">
        <v>333</v>
      </c>
      <c r="S517">
        <v>473</v>
      </c>
      <c r="T517">
        <v>906.59999999999945</v>
      </c>
      <c r="U517">
        <v>990.77499999999964</v>
      </c>
      <c r="V517">
        <v>906.59999999999945</v>
      </c>
      <c r="W517">
        <v>2297.1999999999989</v>
      </c>
      <c r="X517">
        <v>1449.66791628496</v>
      </c>
      <c r="Y517">
        <v>2117.2269035404115</v>
      </c>
    </row>
    <row r="518" spans="1:25" x14ac:dyDescent="0.35">
      <c r="A518">
        <v>474</v>
      </c>
      <c r="B518">
        <v>906.59999999999945</v>
      </c>
      <c r="C518">
        <v>926.02499999999964</v>
      </c>
      <c r="D518">
        <v>906.59999999999945</v>
      </c>
      <c r="E518">
        <v>-750.90000000000055</v>
      </c>
      <c r="F518">
        <v>-524.27499999999964</v>
      </c>
      <c r="G518">
        <v>-2266.0500000000002</v>
      </c>
      <c r="J518">
        <v>474</v>
      </c>
      <c r="K518">
        <v>0</v>
      </c>
      <c r="L518">
        <v>0</v>
      </c>
      <c r="M518">
        <v>0</v>
      </c>
      <c r="N518">
        <v>245</v>
      </c>
      <c r="O518">
        <v>168</v>
      </c>
      <c r="P518">
        <v>325</v>
      </c>
      <c r="S518">
        <v>474</v>
      </c>
      <c r="T518">
        <v>906.59999999999945</v>
      </c>
      <c r="U518">
        <v>964.87499999999909</v>
      </c>
      <c r="V518">
        <v>906.59999999999945</v>
      </c>
      <c r="W518">
        <v>2275.1999999999998</v>
      </c>
      <c r="X518">
        <v>-511.32500000000073</v>
      </c>
      <c r="Y518">
        <v>2471.1999999999998</v>
      </c>
    </row>
    <row r="519" spans="1:25" x14ac:dyDescent="0.35">
      <c r="A519">
        <v>475</v>
      </c>
      <c r="B519">
        <v>906.59999999999945</v>
      </c>
      <c r="C519">
        <v>990.77499999999964</v>
      </c>
      <c r="D519">
        <v>906.59999999999945</v>
      </c>
      <c r="E519">
        <v>-815.65000000000055</v>
      </c>
      <c r="F519">
        <v>-394.77500000000055</v>
      </c>
      <c r="G519">
        <v>-2719.3</v>
      </c>
      <c r="J519">
        <v>475</v>
      </c>
      <c r="K519">
        <v>0</v>
      </c>
      <c r="L519">
        <v>0</v>
      </c>
      <c r="M519">
        <v>0</v>
      </c>
      <c r="N519">
        <v>216</v>
      </c>
      <c r="O519">
        <v>191</v>
      </c>
      <c r="P519">
        <v>313</v>
      </c>
      <c r="S519">
        <v>475</v>
      </c>
      <c r="T519">
        <v>906.59999999999945</v>
      </c>
      <c r="U519">
        <v>945.44999999999891</v>
      </c>
      <c r="V519">
        <v>906.60000000000036</v>
      </c>
      <c r="W519">
        <v>2257.1999999999989</v>
      </c>
      <c r="X519">
        <v>2318.2249999999995</v>
      </c>
      <c r="Y519">
        <v>2463.1999999999998</v>
      </c>
    </row>
    <row r="520" spans="1:25" x14ac:dyDescent="0.35">
      <c r="A520">
        <v>476</v>
      </c>
      <c r="B520">
        <v>906.59999999999945</v>
      </c>
      <c r="C520">
        <v>984.29999999999927</v>
      </c>
      <c r="D520">
        <v>906.59999999999945</v>
      </c>
      <c r="E520">
        <v>-1126.4500000000007</v>
      </c>
      <c r="F520">
        <v>-848.02500000000055</v>
      </c>
      <c r="G520">
        <v>-2538</v>
      </c>
      <c r="J520">
        <v>476</v>
      </c>
      <c r="K520">
        <v>0</v>
      </c>
      <c r="L520">
        <v>0</v>
      </c>
      <c r="M520">
        <v>0</v>
      </c>
      <c r="N520">
        <v>250</v>
      </c>
      <c r="O520">
        <v>182</v>
      </c>
      <c r="P520">
        <v>330</v>
      </c>
      <c r="S520">
        <v>476</v>
      </c>
      <c r="T520">
        <v>906.59999999999945</v>
      </c>
      <c r="U520">
        <v>958.39999999999964</v>
      </c>
      <c r="V520">
        <v>906.60000000000036</v>
      </c>
      <c r="W520">
        <v>2225.1999999999998</v>
      </c>
      <c r="X520">
        <v>2255.9499999999994</v>
      </c>
      <c r="Y520">
        <v>1039.1820893064632</v>
      </c>
    </row>
    <row r="521" spans="1:25" x14ac:dyDescent="0.35">
      <c r="A521">
        <v>477</v>
      </c>
      <c r="B521">
        <v>906.59999999999945</v>
      </c>
      <c r="C521">
        <v>1016.6750000000002</v>
      </c>
      <c r="D521">
        <v>906.60000000000036</v>
      </c>
      <c r="E521">
        <v>-1281.8500000000004</v>
      </c>
      <c r="F521">
        <v>-310.60000000000036</v>
      </c>
      <c r="G521">
        <v>-2421.4499999999998</v>
      </c>
      <c r="J521">
        <v>477</v>
      </c>
      <c r="K521">
        <v>0</v>
      </c>
      <c r="L521">
        <v>0</v>
      </c>
      <c r="M521">
        <v>0</v>
      </c>
      <c r="N521">
        <v>228</v>
      </c>
      <c r="O521">
        <v>173</v>
      </c>
      <c r="P521">
        <v>319</v>
      </c>
      <c r="S521">
        <v>477</v>
      </c>
      <c r="T521">
        <v>906.59999999999945</v>
      </c>
      <c r="U521">
        <v>1036.1000000000004</v>
      </c>
      <c r="V521">
        <v>918.59999999999968</v>
      </c>
      <c r="W521">
        <v>-893.35000000000036</v>
      </c>
      <c r="X521">
        <v>2203.9499999999994</v>
      </c>
      <c r="Y521">
        <v>1237.6299629562718</v>
      </c>
    </row>
    <row r="522" spans="1:25" x14ac:dyDescent="0.35">
      <c r="A522">
        <v>478</v>
      </c>
      <c r="B522">
        <v>906.59999999999945</v>
      </c>
      <c r="C522">
        <v>990.77499999999964</v>
      </c>
      <c r="D522">
        <v>906.59999999999945</v>
      </c>
      <c r="E522">
        <v>-854.5</v>
      </c>
      <c r="F522">
        <v>-750.90000000000055</v>
      </c>
      <c r="G522">
        <v>-2304.9000000000005</v>
      </c>
      <c r="J522">
        <v>478</v>
      </c>
      <c r="K522">
        <v>0</v>
      </c>
      <c r="L522">
        <v>0</v>
      </c>
      <c r="M522">
        <v>0</v>
      </c>
      <c r="N522">
        <v>214</v>
      </c>
      <c r="O522">
        <v>173</v>
      </c>
      <c r="P522">
        <v>336</v>
      </c>
      <c r="S522">
        <v>478</v>
      </c>
      <c r="T522">
        <v>906.59999999999945</v>
      </c>
      <c r="U522">
        <v>938.97499999999854</v>
      </c>
      <c r="V522">
        <v>906.59999999999945</v>
      </c>
      <c r="W522">
        <v>2066.1245571288764</v>
      </c>
      <c r="X522">
        <v>167.70612103545034</v>
      </c>
      <c r="Y522">
        <v>0.14388165104946893</v>
      </c>
    </row>
    <row r="523" spans="1:25" x14ac:dyDescent="0.35">
      <c r="A523">
        <v>479</v>
      </c>
      <c r="B523">
        <v>906.59999999999945</v>
      </c>
      <c r="C523">
        <v>951.92500000000018</v>
      </c>
      <c r="D523">
        <v>906.60000000000036</v>
      </c>
      <c r="E523">
        <v>-1359.5500000000002</v>
      </c>
      <c r="F523">
        <v>-640.82500000000073</v>
      </c>
      <c r="G523">
        <v>-2356.6999999999998</v>
      </c>
      <c r="J523">
        <v>479</v>
      </c>
      <c r="K523">
        <v>0</v>
      </c>
      <c r="L523">
        <v>0</v>
      </c>
      <c r="M523">
        <v>0</v>
      </c>
      <c r="N523">
        <v>212</v>
      </c>
      <c r="O523">
        <v>200</v>
      </c>
      <c r="P523">
        <v>323</v>
      </c>
      <c r="S523">
        <v>479</v>
      </c>
      <c r="T523">
        <v>906.59999999999945</v>
      </c>
      <c r="U523">
        <v>958.39999999999964</v>
      </c>
      <c r="V523">
        <v>906.59999999999945</v>
      </c>
      <c r="W523">
        <v>2249.1999999999994</v>
      </c>
      <c r="X523">
        <v>2231.3749999999995</v>
      </c>
      <c r="Y523">
        <v>-1628.4063243116871</v>
      </c>
    </row>
    <row r="524" spans="1:25" x14ac:dyDescent="0.35">
      <c r="A524">
        <v>480</v>
      </c>
      <c r="B524">
        <v>906.59999999999945</v>
      </c>
      <c r="C524">
        <v>971.35000000000036</v>
      </c>
      <c r="D524">
        <v>906.60000000000036</v>
      </c>
      <c r="E524">
        <v>-841.55000000000018</v>
      </c>
      <c r="F524">
        <v>-375.35000000000036</v>
      </c>
      <c r="G524">
        <v>-2356.6999999999998</v>
      </c>
      <c r="J524">
        <v>480</v>
      </c>
      <c r="K524">
        <v>0</v>
      </c>
      <c r="L524">
        <v>0</v>
      </c>
      <c r="M524">
        <v>0</v>
      </c>
      <c r="N524">
        <v>217</v>
      </c>
      <c r="O524">
        <v>200</v>
      </c>
      <c r="P524">
        <v>353</v>
      </c>
      <c r="S524">
        <v>480</v>
      </c>
      <c r="T524">
        <v>906.59999999999945</v>
      </c>
      <c r="U524">
        <v>971.34999999999854</v>
      </c>
      <c r="V524">
        <v>906.59999999999945</v>
      </c>
      <c r="W524">
        <v>2245.1999999999998</v>
      </c>
      <c r="X524">
        <v>1788.7385766799944</v>
      </c>
      <c r="Y524">
        <v>1404.4942689249601</v>
      </c>
    </row>
    <row r="525" spans="1:25" x14ac:dyDescent="0.35">
      <c r="A525">
        <v>481</v>
      </c>
      <c r="B525">
        <v>906.59999999999945</v>
      </c>
      <c r="C525">
        <v>977.82499999999891</v>
      </c>
      <c r="D525">
        <v>906.60000000000036</v>
      </c>
      <c r="E525">
        <v>-776.80000000000018</v>
      </c>
      <c r="F525">
        <v>-194.05000000000018</v>
      </c>
      <c r="G525">
        <v>-2641.6000000000004</v>
      </c>
      <c r="J525">
        <v>481</v>
      </c>
      <c r="K525">
        <v>0</v>
      </c>
      <c r="L525">
        <v>0</v>
      </c>
      <c r="M525">
        <v>0</v>
      </c>
      <c r="N525">
        <v>226</v>
      </c>
      <c r="O525">
        <v>188</v>
      </c>
      <c r="P525">
        <v>334</v>
      </c>
      <c r="S525">
        <v>481</v>
      </c>
      <c r="T525">
        <v>906.59999999999945</v>
      </c>
      <c r="U525">
        <v>977.82499999999982</v>
      </c>
      <c r="V525">
        <v>906.59999999999945</v>
      </c>
      <c r="W525">
        <v>2223.1999999999998</v>
      </c>
      <c r="X525">
        <v>2183.9499999999994</v>
      </c>
      <c r="Y525">
        <v>2443.1999999999998</v>
      </c>
    </row>
    <row r="526" spans="1:25" x14ac:dyDescent="0.35">
      <c r="A526">
        <v>482</v>
      </c>
      <c r="B526">
        <v>906.59999999999945</v>
      </c>
      <c r="C526">
        <v>964.875</v>
      </c>
      <c r="D526">
        <v>906.59999999999945</v>
      </c>
      <c r="E526">
        <v>-1204.1500000000005</v>
      </c>
      <c r="F526">
        <v>-317.07500000000073</v>
      </c>
      <c r="G526">
        <v>-2667.5</v>
      </c>
      <c r="J526">
        <v>482</v>
      </c>
      <c r="K526">
        <v>0</v>
      </c>
      <c r="L526">
        <v>0</v>
      </c>
      <c r="M526">
        <v>0</v>
      </c>
      <c r="N526">
        <v>238</v>
      </c>
      <c r="O526">
        <v>203</v>
      </c>
      <c r="P526">
        <v>331</v>
      </c>
      <c r="S526">
        <v>482</v>
      </c>
      <c r="T526">
        <v>906.59999999999945</v>
      </c>
      <c r="U526">
        <v>971.34999999999945</v>
      </c>
      <c r="V526">
        <v>906.59999999999945</v>
      </c>
      <c r="W526">
        <v>2261.1999999999994</v>
      </c>
      <c r="X526">
        <v>1065.603192521274</v>
      </c>
      <c r="Y526">
        <v>404.06237620899401</v>
      </c>
    </row>
    <row r="527" spans="1:25" x14ac:dyDescent="0.35">
      <c r="A527">
        <v>483</v>
      </c>
      <c r="B527">
        <v>906.59999999999945</v>
      </c>
      <c r="C527">
        <v>958.39999999999964</v>
      </c>
      <c r="D527">
        <v>906.59999999999945</v>
      </c>
      <c r="E527">
        <v>-1359.5500000000002</v>
      </c>
      <c r="F527">
        <v>-414.20000000000073</v>
      </c>
      <c r="G527">
        <v>-2576.8500000000004</v>
      </c>
      <c r="J527">
        <v>483</v>
      </c>
      <c r="K527">
        <v>0</v>
      </c>
      <c r="L527">
        <v>0</v>
      </c>
      <c r="M527">
        <v>0</v>
      </c>
      <c r="N527">
        <v>245</v>
      </c>
      <c r="O527">
        <v>185</v>
      </c>
      <c r="P527">
        <v>325</v>
      </c>
      <c r="S527">
        <v>483</v>
      </c>
      <c r="T527">
        <v>906.59999999999945</v>
      </c>
      <c r="U527">
        <v>984.29999999999927</v>
      </c>
      <c r="V527">
        <v>906.59999999999945</v>
      </c>
      <c r="W527">
        <v>2293.1999999999998</v>
      </c>
      <c r="X527">
        <v>2285.2749999999996</v>
      </c>
      <c r="Y527">
        <v>2473.1999999999998</v>
      </c>
    </row>
    <row r="528" spans="1:25" x14ac:dyDescent="0.35">
      <c r="A528">
        <v>484</v>
      </c>
      <c r="B528">
        <v>906.59999999999945</v>
      </c>
      <c r="C528">
        <v>971.34999999999945</v>
      </c>
      <c r="D528">
        <v>919.54999999999927</v>
      </c>
      <c r="E528">
        <v>-1217.1000000000004</v>
      </c>
      <c r="F528">
        <v>-414.20000000000073</v>
      </c>
      <c r="G528">
        <v>-2589.8000000000002</v>
      </c>
      <c r="J528">
        <v>484</v>
      </c>
      <c r="K528">
        <v>0</v>
      </c>
      <c r="L528">
        <v>0</v>
      </c>
      <c r="M528">
        <v>0</v>
      </c>
      <c r="N528">
        <v>227</v>
      </c>
      <c r="O528">
        <v>185</v>
      </c>
      <c r="P528">
        <v>324</v>
      </c>
      <c r="S528">
        <v>484</v>
      </c>
      <c r="T528">
        <v>906.59999999999945</v>
      </c>
      <c r="U528">
        <v>964.87499999999909</v>
      </c>
      <c r="V528">
        <v>906.59999999999945</v>
      </c>
      <c r="W528">
        <v>2269.1999999999994</v>
      </c>
      <c r="X528">
        <v>2228.9999999999995</v>
      </c>
      <c r="Y528">
        <v>2497.1999999999998</v>
      </c>
    </row>
    <row r="529" spans="1:25" x14ac:dyDescent="0.35">
      <c r="A529">
        <v>485</v>
      </c>
      <c r="B529">
        <v>906.59999999999945</v>
      </c>
      <c r="C529">
        <v>945.44999999999891</v>
      </c>
      <c r="D529">
        <v>906.60000000000036</v>
      </c>
      <c r="E529">
        <v>-880.40000000000055</v>
      </c>
      <c r="F529">
        <v>-686.14999999999964</v>
      </c>
      <c r="G529">
        <v>-2369.6500000000005</v>
      </c>
      <c r="J529">
        <v>485</v>
      </c>
      <c r="K529">
        <v>0</v>
      </c>
      <c r="L529">
        <v>0</v>
      </c>
      <c r="M529">
        <v>0</v>
      </c>
      <c r="N529">
        <v>224</v>
      </c>
      <c r="O529">
        <v>182</v>
      </c>
      <c r="P529">
        <v>332</v>
      </c>
      <c r="S529">
        <v>485</v>
      </c>
      <c r="T529">
        <v>906.59999999999945</v>
      </c>
      <c r="U529">
        <v>951.92499999999927</v>
      </c>
      <c r="V529">
        <v>906.59999999999945</v>
      </c>
      <c r="W529">
        <v>2285.1999999999998</v>
      </c>
      <c r="X529">
        <v>32.238573712526886</v>
      </c>
      <c r="Y529">
        <v>-2473.25</v>
      </c>
    </row>
    <row r="530" spans="1:25" x14ac:dyDescent="0.35">
      <c r="A530">
        <v>486</v>
      </c>
      <c r="B530">
        <v>906.59999999999945</v>
      </c>
      <c r="C530">
        <v>964.875</v>
      </c>
      <c r="D530">
        <v>906.59999999999945</v>
      </c>
      <c r="E530">
        <v>-880.40000000000055</v>
      </c>
      <c r="F530">
        <v>-174.625</v>
      </c>
      <c r="G530">
        <v>-2253.1000000000004</v>
      </c>
      <c r="J530">
        <v>486</v>
      </c>
      <c r="K530">
        <v>0</v>
      </c>
      <c r="L530">
        <v>0</v>
      </c>
      <c r="M530">
        <v>0</v>
      </c>
      <c r="N530">
        <v>227</v>
      </c>
      <c r="O530">
        <v>189</v>
      </c>
      <c r="P530">
        <v>331</v>
      </c>
      <c r="S530">
        <v>486</v>
      </c>
      <c r="T530">
        <v>906.59999999999945</v>
      </c>
      <c r="U530">
        <v>990.77499999999964</v>
      </c>
      <c r="V530">
        <v>906.60000000000036</v>
      </c>
      <c r="W530">
        <v>-430.06230492615134</v>
      </c>
      <c r="X530">
        <v>2227.375</v>
      </c>
      <c r="Y530">
        <v>-2550.9499999999998</v>
      </c>
    </row>
    <row r="531" spans="1:25" x14ac:dyDescent="0.35">
      <c r="A531">
        <v>487</v>
      </c>
      <c r="B531">
        <v>906.59999999999945</v>
      </c>
      <c r="C531">
        <v>964.875</v>
      </c>
      <c r="D531">
        <v>906.59999999999945</v>
      </c>
      <c r="E531">
        <v>-1191.2000000000007</v>
      </c>
      <c r="F531">
        <v>-550.17500000000109</v>
      </c>
      <c r="G531">
        <v>-2525.0500000000002</v>
      </c>
      <c r="J531">
        <v>487</v>
      </c>
      <c r="K531">
        <v>0</v>
      </c>
      <c r="L531">
        <v>0</v>
      </c>
      <c r="M531">
        <v>0</v>
      </c>
      <c r="N531">
        <v>222</v>
      </c>
      <c r="O531">
        <v>179</v>
      </c>
      <c r="P531">
        <v>345</v>
      </c>
      <c r="S531">
        <v>487</v>
      </c>
      <c r="T531">
        <v>906.59999999999945</v>
      </c>
      <c r="U531">
        <v>964.875</v>
      </c>
      <c r="V531">
        <v>906.59999999999945</v>
      </c>
      <c r="W531">
        <v>2311.1999999999994</v>
      </c>
      <c r="X531">
        <v>2246.4250000000002</v>
      </c>
      <c r="Y531">
        <v>200.71634638460637</v>
      </c>
    </row>
    <row r="532" spans="1:25" x14ac:dyDescent="0.35">
      <c r="A532">
        <v>488</v>
      </c>
      <c r="B532">
        <v>906.59999999999945</v>
      </c>
      <c r="C532">
        <v>984.29999999999927</v>
      </c>
      <c r="D532">
        <v>906.59999999999945</v>
      </c>
      <c r="E532">
        <v>-1022.8500000000004</v>
      </c>
      <c r="F532">
        <v>-485.42500000000109</v>
      </c>
      <c r="G532">
        <v>-2356.6999999999998</v>
      </c>
      <c r="J532">
        <v>488</v>
      </c>
      <c r="K532">
        <v>0</v>
      </c>
      <c r="L532">
        <v>0</v>
      </c>
      <c r="M532">
        <v>0</v>
      </c>
      <c r="N532">
        <v>226</v>
      </c>
      <c r="O532">
        <v>187</v>
      </c>
      <c r="P532">
        <v>307</v>
      </c>
      <c r="S532">
        <v>488</v>
      </c>
      <c r="T532">
        <v>906.59999999999945</v>
      </c>
      <c r="U532">
        <v>951.92499999999927</v>
      </c>
      <c r="V532">
        <v>906.60000000000036</v>
      </c>
      <c r="W532">
        <v>2323.1999999999998</v>
      </c>
      <c r="X532">
        <v>2216.9999999999991</v>
      </c>
      <c r="Y532">
        <v>2505.1999999999998</v>
      </c>
    </row>
    <row r="533" spans="1:25" x14ac:dyDescent="0.35">
      <c r="A533">
        <v>489</v>
      </c>
      <c r="B533">
        <v>906.59999999999945</v>
      </c>
      <c r="C533">
        <v>951.92500000000018</v>
      </c>
      <c r="D533">
        <v>906.60000000000036</v>
      </c>
      <c r="E533">
        <v>-1087.6000000000004</v>
      </c>
      <c r="F533">
        <v>-563.125</v>
      </c>
      <c r="G533">
        <v>-2317.8500000000004</v>
      </c>
      <c r="J533">
        <v>489</v>
      </c>
      <c r="K533">
        <v>0</v>
      </c>
      <c r="L533">
        <v>0</v>
      </c>
      <c r="M533">
        <v>0</v>
      </c>
      <c r="N533">
        <v>221</v>
      </c>
      <c r="O533">
        <v>178</v>
      </c>
      <c r="P533">
        <v>319</v>
      </c>
      <c r="S533">
        <v>489</v>
      </c>
      <c r="T533">
        <v>906.59999999999945</v>
      </c>
      <c r="U533">
        <v>1010.1999999999998</v>
      </c>
      <c r="V533">
        <v>906.59999999999945</v>
      </c>
      <c r="W533">
        <v>2211.1999999999994</v>
      </c>
      <c r="X533">
        <v>1747.2517110669783</v>
      </c>
      <c r="Y533">
        <v>2203.1855624039536</v>
      </c>
    </row>
    <row r="534" spans="1:25" x14ac:dyDescent="0.35">
      <c r="A534">
        <v>490</v>
      </c>
      <c r="B534">
        <v>906.59999999999945</v>
      </c>
      <c r="C534">
        <v>958.39999999999873</v>
      </c>
      <c r="D534">
        <v>906.59999999999945</v>
      </c>
      <c r="E534">
        <v>-1061.7000000000007</v>
      </c>
      <c r="F534">
        <v>-323.55000000000018</v>
      </c>
      <c r="G534">
        <v>-2110.6500000000005</v>
      </c>
      <c r="J534">
        <v>490</v>
      </c>
      <c r="K534">
        <v>0</v>
      </c>
      <c r="L534">
        <v>0</v>
      </c>
      <c r="M534">
        <v>0</v>
      </c>
      <c r="N534">
        <v>226</v>
      </c>
      <c r="O534">
        <v>165</v>
      </c>
      <c r="P534">
        <v>299</v>
      </c>
      <c r="S534">
        <v>490</v>
      </c>
      <c r="T534">
        <v>906.59999999999945</v>
      </c>
      <c r="U534">
        <v>990.77499999999964</v>
      </c>
      <c r="V534">
        <v>906.59999999999945</v>
      </c>
      <c r="W534">
        <v>-1107.9753300295151</v>
      </c>
      <c r="X534">
        <v>-298.01185631811586</v>
      </c>
      <c r="Y534">
        <v>1655.0779956102019</v>
      </c>
    </row>
    <row r="535" spans="1:25" x14ac:dyDescent="0.35">
      <c r="A535">
        <v>491</v>
      </c>
      <c r="B535">
        <v>906.59999999999945</v>
      </c>
      <c r="C535">
        <v>990.77499999999964</v>
      </c>
      <c r="D535">
        <v>906.59999999999945</v>
      </c>
      <c r="E535">
        <v>-1372.5</v>
      </c>
      <c r="F535">
        <v>-653.77500000000055</v>
      </c>
      <c r="G535">
        <v>-2369.6500000000005</v>
      </c>
      <c r="J535">
        <v>491</v>
      </c>
      <c r="K535">
        <v>0</v>
      </c>
      <c r="L535">
        <v>0</v>
      </c>
      <c r="M535">
        <v>0</v>
      </c>
      <c r="N535">
        <v>234</v>
      </c>
      <c r="O535">
        <v>166</v>
      </c>
      <c r="P535">
        <v>321</v>
      </c>
      <c r="S535">
        <v>491</v>
      </c>
      <c r="T535">
        <v>906.59999999999945</v>
      </c>
      <c r="U535">
        <v>977.82499999999982</v>
      </c>
      <c r="V535">
        <v>906.59999999999945</v>
      </c>
      <c r="W535">
        <v>2241.1999999999994</v>
      </c>
      <c r="X535">
        <v>1689.0591322219734</v>
      </c>
      <c r="Y535">
        <v>-1127.9890672729784</v>
      </c>
    </row>
    <row r="536" spans="1:25" x14ac:dyDescent="0.35">
      <c r="A536">
        <v>492</v>
      </c>
      <c r="B536">
        <v>906.59999999999945</v>
      </c>
      <c r="C536">
        <v>984.29999999999927</v>
      </c>
      <c r="D536">
        <v>906.60000000000036</v>
      </c>
      <c r="E536">
        <v>-1178.25</v>
      </c>
      <c r="F536">
        <v>-375.35000000000036</v>
      </c>
      <c r="G536">
        <v>-2214.25</v>
      </c>
      <c r="J536">
        <v>492</v>
      </c>
      <c r="K536">
        <v>0</v>
      </c>
      <c r="L536">
        <v>0</v>
      </c>
      <c r="M536">
        <v>0</v>
      </c>
      <c r="N536">
        <v>239</v>
      </c>
      <c r="O536">
        <v>169</v>
      </c>
      <c r="P536">
        <v>305</v>
      </c>
      <c r="S536">
        <v>492</v>
      </c>
      <c r="T536">
        <v>906.59999999999945</v>
      </c>
      <c r="U536">
        <v>977.82499999999982</v>
      </c>
      <c r="V536">
        <v>906.59999999999945</v>
      </c>
      <c r="W536">
        <v>2229.1999999999994</v>
      </c>
      <c r="X536">
        <v>2246.3249999999994</v>
      </c>
      <c r="Y536">
        <v>2471.1999999999998</v>
      </c>
    </row>
    <row r="537" spans="1:25" x14ac:dyDescent="0.35">
      <c r="A537">
        <v>493</v>
      </c>
      <c r="B537">
        <v>906.59999999999945</v>
      </c>
      <c r="C537">
        <v>958.39999999999964</v>
      </c>
      <c r="D537">
        <v>906.59999999999945</v>
      </c>
      <c r="E537">
        <v>-712.05000000000018</v>
      </c>
      <c r="F537">
        <v>-621.40000000000055</v>
      </c>
      <c r="G537">
        <v>-2680.45</v>
      </c>
      <c r="J537">
        <v>493</v>
      </c>
      <c r="K537">
        <v>0</v>
      </c>
      <c r="L537">
        <v>0</v>
      </c>
      <c r="M537">
        <v>0</v>
      </c>
      <c r="N537">
        <v>228</v>
      </c>
      <c r="O537">
        <v>191</v>
      </c>
      <c r="P537">
        <v>325</v>
      </c>
      <c r="S537">
        <v>493</v>
      </c>
      <c r="T537">
        <v>906.59999999999945</v>
      </c>
      <c r="U537">
        <v>977.82499999999891</v>
      </c>
      <c r="V537">
        <v>906.59999999999945</v>
      </c>
      <c r="W537">
        <v>2235.1999999999998</v>
      </c>
      <c r="X537">
        <v>2319.9499999999998</v>
      </c>
      <c r="Y537">
        <v>2461.1999999999998</v>
      </c>
    </row>
    <row r="538" spans="1:25" x14ac:dyDescent="0.35">
      <c r="A538">
        <v>494</v>
      </c>
      <c r="B538">
        <v>906.59999999999945</v>
      </c>
      <c r="C538">
        <v>977.82499999999982</v>
      </c>
      <c r="D538">
        <v>906.59999999999945</v>
      </c>
      <c r="E538">
        <v>-763.85000000000036</v>
      </c>
      <c r="F538">
        <v>-19.225000000000364</v>
      </c>
      <c r="G538">
        <v>-2162.4500000000007</v>
      </c>
      <c r="J538">
        <v>494</v>
      </c>
      <c r="K538">
        <v>0</v>
      </c>
      <c r="L538">
        <v>0</v>
      </c>
      <c r="M538">
        <v>0</v>
      </c>
      <c r="N538">
        <v>238</v>
      </c>
      <c r="O538">
        <v>182</v>
      </c>
      <c r="P538">
        <v>306</v>
      </c>
      <c r="S538">
        <v>494</v>
      </c>
      <c r="T538">
        <v>906.59999999999945</v>
      </c>
      <c r="U538">
        <v>984.30000000000018</v>
      </c>
      <c r="V538">
        <v>906.59999999999945</v>
      </c>
      <c r="W538">
        <v>2301.1999999999994</v>
      </c>
      <c r="X538">
        <v>2200.5249999999996</v>
      </c>
      <c r="Y538">
        <v>2459.1999999999989</v>
      </c>
    </row>
    <row r="539" spans="1:25" x14ac:dyDescent="0.35">
      <c r="A539">
        <v>495</v>
      </c>
      <c r="B539">
        <v>906.59999999999945</v>
      </c>
      <c r="C539">
        <v>964.875</v>
      </c>
      <c r="D539">
        <v>906.59999999999945</v>
      </c>
      <c r="E539">
        <v>-1191.2000000000007</v>
      </c>
      <c r="F539">
        <v>-446.57500000000073</v>
      </c>
      <c r="G539">
        <v>-2693.4000000000005</v>
      </c>
      <c r="J539">
        <v>495</v>
      </c>
      <c r="K539">
        <v>0</v>
      </c>
      <c r="L539">
        <v>0</v>
      </c>
      <c r="M539">
        <v>0</v>
      </c>
      <c r="N539">
        <v>212</v>
      </c>
      <c r="O539">
        <v>161</v>
      </c>
      <c r="P539">
        <v>324</v>
      </c>
      <c r="S539">
        <v>495</v>
      </c>
      <c r="T539">
        <v>906.59999999999945</v>
      </c>
      <c r="U539">
        <v>945.44999999999891</v>
      </c>
      <c r="V539">
        <v>906.59999999999945</v>
      </c>
      <c r="W539">
        <v>2247.1999999999989</v>
      </c>
      <c r="X539">
        <v>682.23812430844077</v>
      </c>
      <c r="Y539">
        <v>2467.1999999999998</v>
      </c>
    </row>
    <row r="540" spans="1:25" x14ac:dyDescent="0.35">
      <c r="A540">
        <v>496</v>
      </c>
      <c r="B540">
        <v>906.59999999999945</v>
      </c>
      <c r="C540">
        <v>990.77499999999964</v>
      </c>
      <c r="D540">
        <v>906.59999999999945</v>
      </c>
      <c r="E540">
        <v>-1100.5500000000002</v>
      </c>
      <c r="F540">
        <v>-427.15000000000055</v>
      </c>
      <c r="G540">
        <v>-2201.3000000000002</v>
      </c>
      <c r="J540">
        <v>496</v>
      </c>
      <c r="K540">
        <v>0</v>
      </c>
      <c r="L540">
        <v>0</v>
      </c>
      <c r="M540">
        <v>0</v>
      </c>
      <c r="N540">
        <v>210</v>
      </c>
      <c r="O540">
        <v>190</v>
      </c>
      <c r="P540">
        <v>321</v>
      </c>
      <c r="S540">
        <v>496</v>
      </c>
      <c r="T540">
        <v>906.59999999999945</v>
      </c>
      <c r="U540">
        <v>1003.7249999999985</v>
      </c>
      <c r="V540">
        <v>906.59999999999945</v>
      </c>
      <c r="W540">
        <v>2195.1999999999998</v>
      </c>
      <c r="X540">
        <v>2272.4249999999997</v>
      </c>
      <c r="Y540">
        <v>-2550.9499999999998</v>
      </c>
    </row>
    <row r="541" spans="1:25" x14ac:dyDescent="0.35">
      <c r="A541">
        <v>497</v>
      </c>
      <c r="B541">
        <v>906.59999999999945</v>
      </c>
      <c r="C541">
        <v>951.92499999999927</v>
      </c>
      <c r="D541">
        <v>906.60000000000036</v>
      </c>
      <c r="E541">
        <v>-1139.4000000000005</v>
      </c>
      <c r="F541">
        <v>-284.70000000000073</v>
      </c>
      <c r="G541">
        <v>-2395.5500000000002</v>
      </c>
      <c r="J541">
        <v>497</v>
      </c>
      <c r="K541">
        <v>0</v>
      </c>
      <c r="L541">
        <v>0</v>
      </c>
      <c r="M541">
        <v>0</v>
      </c>
      <c r="N541">
        <v>204</v>
      </c>
      <c r="O541">
        <v>155</v>
      </c>
      <c r="P541">
        <v>342</v>
      </c>
      <c r="S541">
        <v>497</v>
      </c>
      <c r="T541">
        <v>906.59999999999945</v>
      </c>
      <c r="U541">
        <v>971.34999999999854</v>
      </c>
      <c r="V541">
        <v>906.59999999999945</v>
      </c>
      <c r="W541">
        <v>2255.1999999999998</v>
      </c>
      <c r="X541">
        <v>2160.0499999999997</v>
      </c>
      <c r="Y541">
        <v>2467.1999999999998</v>
      </c>
    </row>
    <row r="542" spans="1:25" x14ac:dyDescent="0.35">
      <c r="A542">
        <v>498</v>
      </c>
      <c r="B542">
        <v>906.59999999999945</v>
      </c>
      <c r="C542">
        <v>971.35000000000036</v>
      </c>
      <c r="D542">
        <v>906.59999999999945</v>
      </c>
      <c r="E542">
        <v>-1022.8500000000004</v>
      </c>
      <c r="F542">
        <v>-478.95000000000073</v>
      </c>
      <c r="G542">
        <v>-2550.9499999999998</v>
      </c>
      <c r="J542">
        <v>498</v>
      </c>
      <c r="K542">
        <v>0</v>
      </c>
      <c r="L542">
        <v>0</v>
      </c>
      <c r="M542">
        <v>0</v>
      </c>
      <c r="N542">
        <v>212</v>
      </c>
      <c r="O542">
        <v>186</v>
      </c>
      <c r="P542">
        <v>328</v>
      </c>
      <c r="S542">
        <v>498</v>
      </c>
      <c r="T542">
        <v>906.59999999999945</v>
      </c>
      <c r="U542">
        <v>977.82499999999891</v>
      </c>
      <c r="V542">
        <v>906.59999999999945</v>
      </c>
      <c r="W542">
        <v>2255.1999999999998</v>
      </c>
      <c r="X542">
        <v>2260.4249999999988</v>
      </c>
      <c r="Y542">
        <v>2437.1999999999989</v>
      </c>
    </row>
    <row r="543" spans="1:25" x14ac:dyDescent="0.35">
      <c r="A543">
        <v>499</v>
      </c>
      <c r="B543">
        <v>906.59999999999945</v>
      </c>
      <c r="C543">
        <v>997.25</v>
      </c>
      <c r="D543">
        <v>906.59999999999945</v>
      </c>
      <c r="E543">
        <v>-789.75</v>
      </c>
      <c r="F543">
        <v>-653.77500000000055</v>
      </c>
      <c r="G543">
        <v>-2460.3000000000002</v>
      </c>
      <c r="J543">
        <v>499</v>
      </c>
      <c r="K543">
        <v>0</v>
      </c>
      <c r="L543">
        <v>0</v>
      </c>
      <c r="M543">
        <v>0</v>
      </c>
      <c r="N543">
        <v>232</v>
      </c>
      <c r="O543">
        <v>179</v>
      </c>
      <c r="P543">
        <v>307</v>
      </c>
      <c r="S543">
        <v>499</v>
      </c>
      <c r="T543">
        <v>906.59999999999945</v>
      </c>
      <c r="U543">
        <v>951.92499999999927</v>
      </c>
      <c r="V543">
        <v>906.60000000000036</v>
      </c>
      <c r="W543">
        <v>538.3559336857611</v>
      </c>
      <c r="X543">
        <v>2209.9499999999998</v>
      </c>
      <c r="Y543">
        <v>-277.84630742917079</v>
      </c>
    </row>
    <row r="544" spans="1:25" x14ac:dyDescent="0.35">
      <c r="A544">
        <v>500</v>
      </c>
      <c r="B544">
        <v>906.59999999999945</v>
      </c>
      <c r="C544">
        <v>971.34999999999945</v>
      </c>
      <c r="D544">
        <v>919.55000000000018</v>
      </c>
      <c r="E544">
        <v>-1268.9000000000005</v>
      </c>
      <c r="F544">
        <v>-504.85000000000036</v>
      </c>
      <c r="G544">
        <v>-2317.8500000000004</v>
      </c>
      <c r="J544">
        <v>500</v>
      </c>
      <c r="K544">
        <v>0</v>
      </c>
      <c r="L544">
        <v>0</v>
      </c>
      <c r="M544">
        <v>0</v>
      </c>
      <c r="N544">
        <v>223</v>
      </c>
      <c r="O544">
        <v>195</v>
      </c>
      <c r="P544">
        <v>331</v>
      </c>
      <c r="S544">
        <v>500</v>
      </c>
      <c r="T544">
        <v>906.59999999999945</v>
      </c>
      <c r="U544">
        <v>990.77499999999964</v>
      </c>
      <c r="V544">
        <v>906.59999999999945</v>
      </c>
      <c r="W544">
        <v>2259.1999999999994</v>
      </c>
      <c r="X544">
        <v>2287.375</v>
      </c>
      <c r="Y544">
        <v>1914.2946078597715</v>
      </c>
    </row>
    <row r="545" spans="1:25" x14ac:dyDescent="0.35">
      <c r="A545">
        <v>501</v>
      </c>
      <c r="B545">
        <v>906.59999999999945</v>
      </c>
      <c r="C545">
        <v>971.34999999999945</v>
      </c>
      <c r="D545">
        <v>815.94999999999982</v>
      </c>
      <c r="E545">
        <v>-1294.8000000000002</v>
      </c>
      <c r="F545">
        <v>-207</v>
      </c>
      <c r="G545">
        <v>-2291.9499999999998</v>
      </c>
      <c r="J545">
        <v>501</v>
      </c>
      <c r="K545">
        <v>0</v>
      </c>
      <c r="L545">
        <v>0</v>
      </c>
      <c r="M545">
        <v>12</v>
      </c>
      <c r="N545">
        <v>223</v>
      </c>
      <c r="O545">
        <v>188</v>
      </c>
      <c r="P545">
        <v>312</v>
      </c>
      <c r="S545">
        <v>501</v>
      </c>
      <c r="T545">
        <v>906.59999999999945</v>
      </c>
      <c r="U545">
        <v>971.34999999999854</v>
      </c>
      <c r="V545">
        <v>906.59999999999945</v>
      </c>
      <c r="W545">
        <v>-950.11626998758106</v>
      </c>
      <c r="X545">
        <v>2193.5749999999994</v>
      </c>
      <c r="Y545">
        <v>170.25724755219562</v>
      </c>
    </row>
    <row r="546" spans="1:25" x14ac:dyDescent="0.35">
      <c r="A546">
        <v>502</v>
      </c>
      <c r="B546">
        <v>906.59999999999945</v>
      </c>
      <c r="C546">
        <v>977.82499999999891</v>
      </c>
      <c r="D546">
        <v>906.59999999999945</v>
      </c>
      <c r="E546">
        <v>-984</v>
      </c>
      <c r="F546">
        <v>-219.95000000000073</v>
      </c>
      <c r="G546">
        <v>-2473.25</v>
      </c>
      <c r="J546">
        <v>502</v>
      </c>
      <c r="K546">
        <v>0</v>
      </c>
      <c r="L546">
        <v>0</v>
      </c>
      <c r="M546">
        <v>0</v>
      </c>
      <c r="N546">
        <v>238</v>
      </c>
      <c r="O546">
        <v>193</v>
      </c>
      <c r="P546">
        <v>337</v>
      </c>
      <c r="S546">
        <v>502</v>
      </c>
      <c r="T546">
        <v>906.59999999999945</v>
      </c>
      <c r="U546">
        <v>990.77499999999964</v>
      </c>
      <c r="V546">
        <v>906.59999999999945</v>
      </c>
      <c r="W546">
        <v>2271.1999999999994</v>
      </c>
      <c r="X546">
        <v>2257.849999999999</v>
      </c>
      <c r="Y546">
        <v>2515.1999999999998</v>
      </c>
    </row>
    <row r="547" spans="1:25" x14ac:dyDescent="0.35">
      <c r="A547">
        <v>503</v>
      </c>
      <c r="B547">
        <v>906.59999999999945</v>
      </c>
      <c r="C547">
        <v>958.39999999999964</v>
      </c>
      <c r="D547">
        <v>906.59999999999945</v>
      </c>
      <c r="E547">
        <v>-1255.9500000000007</v>
      </c>
      <c r="F547">
        <v>-569.60000000000036</v>
      </c>
      <c r="G547">
        <v>-2175.4000000000005</v>
      </c>
      <c r="J547">
        <v>503</v>
      </c>
      <c r="K547">
        <v>0</v>
      </c>
      <c r="L547">
        <v>0</v>
      </c>
      <c r="M547">
        <v>0</v>
      </c>
      <c r="N547">
        <v>227</v>
      </c>
      <c r="O547">
        <v>175</v>
      </c>
      <c r="P547">
        <v>302</v>
      </c>
      <c r="S547">
        <v>503</v>
      </c>
      <c r="T547">
        <v>906.59999999999945</v>
      </c>
      <c r="U547">
        <v>1010.1999999999989</v>
      </c>
      <c r="V547">
        <v>919.55000000000018</v>
      </c>
      <c r="W547">
        <v>2285.1999999999998</v>
      </c>
      <c r="X547">
        <v>2280.3249999999998</v>
      </c>
      <c r="Y547">
        <v>2447.1999999999998</v>
      </c>
    </row>
    <row r="548" spans="1:25" x14ac:dyDescent="0.35">
      <c r="A548">
        <v>504</v>
      </c>
      <c r="B548">
        <v>906.59999999999945</v>
      </c>
      <c r="C548">
        <v>971.35000000000036</v>
      </c>
      <c r="D548">
        <v>906.59999999999945</v>
      </c>
      <c r="E548">
        <v>-1230.0500000000002</v>
      </c>
      <c r="F548">
        <v>-433.625</v>
      </c>
      <c r="G548">
        <v>-2563.9000000000005</v>
      </c>
      <c r="J548">
        <v>504</v>
      </c>
      <c r="K548">
        <v>0</v>
      </c>
      <c r="L548">
        <v>0</v>
      </c>
      <c r="M548">
        <v>0</v>
      </c>
      <c r="N548">
        <v>226</v>
      </c>
      <c r="O548">
        <v>174</v>
      </c>
      <c r="P548">
        <v>308</v>
      </c>
      <c r="S548">
        <v>504</v>
      </c>
      <c r="T548">
        <v>906.59999999999945</v>
      </c>
      <c r="U548">
        <v>945.44999999999982</v>
      </c>
      <c r="V548">
        <v>906.60000000000036</v>
      </c>
      <c r="W548">
        <v>2237.1999999999989</v>
      </c>
      <c r="X548">
        <v>845.1863517311574</v>
      </c>
      <c r="Y548">
        <v>-751.20112247442785</v>
      </c>
    </row>
    <row r="549" spans="1:25" x14ac:dyDescent="0.35">
      <c r="A549">
        <v>505</v>
      </c>
      <c r="B549">
        <v>906.59999999999945</v>
      </c>
      <c r="C549">
        <v>932.5</v>
      </c>
      <c r="D549">
        <v>906.60000000000036</v>
      </c>
      <c r="E549">
        <v>-880.40000000000055</v>
      </c>
      <c r="F549">
        <v>-401.25</v>
      </c>
      <c r="G549">
        <v>-2486.1999999999998</v>
      </c>
      <c r="J549">
        <v>505</v>
      </c>
      <c r="K549">
        <v>0</v>
      </c>
      <c r="L549">
        <v>0</v>
      </c>
      <c r="M549">
        <v>0</v>
      </c>
      <c r="N549">
        <v>226</v>
      </c>
      <c r="O549">
        <v>202</v>
      </c>
      <c r="P549">
        <v>313</v>
      </c>
      <c r="S549">
        <v>505</v>
      </c>
      <c r="T549">
        <v>906.59999999999945</v>
      </c>
      <c r="U549">
        <v>958.39999999999964</v>
      </c>
      <c r="V549">
        <v>914.60000000000014</v>
      </c>
      <c r="W549">
        <v>817.65614260188863</v>
      </c>
      <c r="X549">
        <v>2208.0499999999988</v>
      </c>
      <c r="Y549">
        <v>979.10146202662645</v>
      </c>
    </row>
    <row r="550" spans="1:25" x14ac:dyDescent="0.35">
      <c r="A550">
        <v>506</v>
      </c>
      <c r="B550">
        <v>906.59999999999945</v>
      </c>
      <c r="C550">
        <v>1010.1999999999998</v>
      </c>
      <c r="D550">
        <v>906.59999999999945</v>
      </c>
      <c r="E550">
        <v>-634.35000000000036</v>
      </c>
      <c r="F550">
        <v>-459.52500000000055</v>
      </c>
      <c r="G550">
        <v>-2227.2000000000007</v>
      </c>
      <c r="J550">
        <v>506</v>
      </c>
      <c r="K550">
        <v>0</v>
      </c>
      <c r="L550">
        <v>0</v>
      </c>
      <c r="M550">
        <v>0</v>
      </c>
      <c r="N550">
        <v>232</v>
      </c>
      <c r="O550">
        <v>207</v>
      </c>
      <c r="P550">
        <v>318</v>
      </c>
      <c r="S550">
        <v>506</v>
      </c>
      <c r="T550">
        <v>906.59999999999945</v>
      </c>
      <c r="U550">
        <v>997.24999999999909</v>
      </c>
      <c r="V550">
        <v>906.59999999999945</v>
      </c>
      <c r="W550">
        <v>2267.1999999999989</v>
      </c>
      <c r="X550">
        <v>-517.80000000000018</v>
      </c>
      <c r="Y550">
        <v>2471.1999999999998</v>
      </c>
    </row>
    <row r="551" spans="1:25" x14ac:dyDescent="0.35">
      <c r="A551">
        <v>507</v>
      </c>
      <c r="B551">
        <v>906.59999999999945</v>
      </c>
      <c r="C551">
        <v>1023.1499999999996</v>
      </c>
      <c r="D551">
        <v>906.59999999999945</v>
      </c>
      <c r="E551">
        <v>-984</v>
      </c>
      <c r="F551">
        <v>-349.45000000000073</v>
      </c>
      <c r="G551">
        <v>-2227.2000000000007</v>
      </c>
      <c r="J551">
        <v>507</v>
      </c>
      <c r="K551">
        <v>0</v>
      </c>
      <c r="L551">
        <v>0</v>
      </c>
      <c r="M551">
        <v>0</v>
      </c>
      <c r="N551">
        <v>221</v>
      </c>
      <c r="O551">
        <v>182</v>
      </c>
      <c r="P551">
        <v>314</v>
      </c>
      <c r="S551">
        <v>507</v>
      </c>
      <c r="T551">
        <v>906.59999999999945</v>
      </c>
      <c r="U551">
        <v>997.25</v>
      </c>
      <c r="V551">
        <v>906.59999999999945</v>
      </c>
      <c r="W551">
        <v>2245.1999999999998</v>
      </c>
      <c r="X551">
        <v>2276.9999999999991</v>
      </c>
      <c r="Y551">
        <v>2447.1999999999998</v>
      </c>
    </row>
    <row r="552" spans="1:25" x14ac:dyDescent="0.35">
      <c r="A552">
        <v>508</v>
      </c>
      <c r="B552">
        <v>906.59999999999945</v>
      </c>
      <c r="C552">
        <v>997.25</v>
      </c>
      <c r="D552">
        <v>906.60000000000036</v>
      </c>
      <c r="E552">
        <v>-1346.6000000000004</v>
      </c>
      <c r="F552">
        <v>-478.95000000000073</v>
      </c>
      <c r="G552">
        <v>-2175.4000000000005</v>
      </c>
      <c r="J552">
        <v>508</v>
      </c>
      <c r="K552">
        <v>0</v>
      </c>
      <c r="L552">
        <v>0</v>
      </c>
      <c r="M552">
        <v>0</v>
      </c>
      <c r="N552">
        <v>234</v>
      </c>
      <c r="O552">
        <v>203</v>
      </c>
      <c r="P552">
        <v>321</v>
      </c>
      <c r="S552">
        <v>508</v>
      </c>
      <c r="T552">
        <v>906.59999999999945</v>
      </c>
      <c r="U552">
        <v>977.82499999999982</v>
      </c>
      <c r="V552">
        <v>906.60000000000036</v>
      </c>
      <c r="W552">
        <v>2089.770596674673</v>
      </c>
      <c r="X552">
        <v>2248.8999999999992</v>
      </c>
      <c r="Y552">
        <v>-84.698324589815456</v>
      </c>
    </row>
    <row r="553" spans="1:25" x14ac:dyDescent="0.35">
      <c r="A553">
        <v>509</v>
      </c>
      <c r="B553">
        <v>906.59999999999945</v>
      </c>
      <c r="C553">
        <v>990.77499999999964</v>
      </c>
      <c r="D553">
        <v>906.59999999999945</v>
      </c>
      <c r="E553">
        <v>-1165.3000000000002</v>
      </c>
      <c r="F553">
        <v>-491.90000000000055</v>
      </c>
      <c r="G553">
        <v>-2266.0500000000002</v>
      </c>
      <c r="J553">
        <v>509</v>
      </c>
      <c r="K553">
        <v>0</v>
      </c>
      <c r="L553">
        <v>0</v>
      </c>
      <c r="M553">
        <v>0</v>
      </c>
      <c r="N553">
        <v>228</v>
      </c>
      <c r="O553">
        <v>196</v>
      </c>
      <c r="P553">
        <v>328</v>
      </c>
      <c r="S553">
        <v>509</v>
      </c>
      <c r="T553">
        <v>906.59999999999945</v>
      </c>
      <c r="U553">
        <v>964.87499999999909</v>
      </c>
      <c r="V553">
        <v>906.60000000000036</v>
      </c>
      <c r="W553">
        <v>85.932408137036646</v>
      </c>
      <c r="X553">
        <v>2225.9499999999994</v>
      </c>
      <c r="Y553">
        <v>452.70112077202157</v>
      </c>
    </row>
    <row r="554" spans="1:25" x14ac:dyDescent="0.35">
      <c r="A554">
        <v>510</v>
      </c>
      <c r="B554">
        <v>906.59999999999945</v>
      </c>
      <c r="C554">
        <v>990.77499999999964</v>
      </c>
      <c r="D554">
        <v>906.59999999999945</v>
      </c>
      <c r="E554">
        <v>-802.70000000000073</v>
      </c>
      <c r="F554">
        <v>-504.85000000000036</v>
      </c>
      <c r="G554">
        <v>-2356.6999999999998</v>
      </c>
      <c r="J554">
        <v>510</v>
      </c>
      <c r="K554">
        <v>0</v>
      </c>
      <c r="L554">
        <v>0</v>
      </c>
      <c r="M554">
        <v>0</v>
      </c>
      <c r="N554">
        <v>220</v>
      </c>
      <c r="O554">
        <v>179</v>
      </c>
      <c r="P554">
        <v>301</v>
      </c>
      <c r="S554">
        <v>510</v>
      </c>
      <c r="T554">
        <v>906.59999999999945</v>
      </c>
      <c r="U554">
        <v>951.92499999999927</v>
      </c>
      <c r="V554">
        <v>906.59999999999945</v>
      </c>
      <c r="W554">
        <v>2237.1999999999989</v>
      </c>
      <c r="X554">
        <v>2326.7999999999993</v>
      </c>
      <c r="Y554">
        <v>2455.1999999999998</v>
      </c>
    </row>
    <row r="555" spans="1:25" x14ac:dyDescent="0.35">
      <c r="A555">
        <v>511</v>
      </c>
      <c r="B555">
        <v>906.59999999999945</v>
      </c>
      <c r="C555">
        <v>945.44999999999891</v>
      </c>
      <c r="D555">
        <v>906.60000000000036</v>
      </c>
      <c r="E555">
        <v>-776.80000000000018</v>
      </c>
      <c r="F555">
        <v>-478.95000000000073</v>
      </c>
      <c r="G555">
        <v>-2460.3000000000002</v>
      </c>
      <c r="J555">
        <v>511</v>
      </c>
      <c r="K555">
        <v>0</v>
      </c>
      <c r="L555">
        <v>0</v>
      </c>
      <c r="M555">
        <v>0</v>
      </c>
      <c r="N555">
        <v>235</v>
      </c>
      <c r="O555">
        <v>183</v>
      </c>
      <c r="P555">
        <v>312</v>
      </c>
      <c r="S555">
        <v>511</v>
      </c>
      <c r="T555">
        <v>906.59999999999945</v>
      </c>
      <c r="U555">
        <v>964.875</v>
      </c>
      <c r="V555">
        <v>906.59999999999945</v>
      </c>
      <c r="W555">
        <v>2259.1999999999994</v>
      </c>
      <c r="X555">
        <v>2252.4249999999997</v>
      </c>
      <c r="Y555">
        <v>2234.9127429747305</v>
      </c>
    </row>
    <row r="556" spans="1:25" x14ac:dyDescent="0.35">
      <c r="A556">
        <v>512</v>
      </c>
      <c r="B556">
        <v>906.59999999999945</v>
      </c>
      <c r="C556">
        <v>971.35000000000036</v>
      </c>
      <c r="D556">
        <v>906.59999999999945</v>
      </c>
      <c r="E556">
        <v>-1022.8500000000004</v>
      </c>
      <c r="F556">
        <v>-634.35000000000036</v>
      </c>
      <c r="G556">
        <v>-2162.4500000000007</v>
      </c>
      <c r="J556">
        <v>512</v>
      </c>
      <c r="K556">
        <v>0</v>
      </c>
      <c r="L556">
        <v>0</v>
      </c>
      <c r="M556">
        <v>0</v>
      </c>
      <c r="N556">
        <v>221</v>
      </c>
      <c r="O556">
        <v>158</v>
      </c>
      <c r="P556">
        <v>326</v>
      </c>
      <c r="S556">
        <v>512</v>
      </c>
      <c r="T556">
        <v>906.59999999999945</v>
      </c>
      <c r="U556">
        <v>997.24999999999909</v>
      </c>
      <c r="V556">
        <v>906.60000000000036</v>
      </c>
      <c r="W556">
        <v>-645.70148371866867</v>
      </c>
      <c r="X556">
        <v>-225.10370617739329</v>
      </c>
      <c r="Y556">
        <v>2493.1999999999998</v>
      </c>
    </row>
    <row r="557" spans="1:25" x14ac:dyDescent="0.35">
      <c r="A557">
        <v>513</v>
      </c>
      <c r="B557">
        <v>906.59999999999945</v>
      </c>
      <c r="C557">
        <v>958.39999999999964</v>
      </c>
      <c r="D557">
        <v>906.60000000000036</v>
      </c>
      <c r="E557">
        <v>-1307.75</v>
      </c>
      <c r="F557">
        <v>-485.42500000000109</v>
      </c>
      <c r="G557">
        <v>-2680.45</v>
      </c>
      <c r="J557">
        <v>513</v>
      </c>
      <c r="K557">
        <v>0</v>
      </c>
      <c r="L557">
        <v>0</v>
      </c>
      <c r="M557">
        <v>0</v>
      </c>
      <c r="N557">
        <v>210</v>
      </c>
      <c r="O557">
        <v>204</v>
      </c>
      <c r="P557">
        <v>334</v>
      </c>
      <c r="S557">
        <v>513</v>
      </c>
      <c r="T557">
        <v>906.59999999999945</v>
      </c>
      <c r="U557">
        <v>945.44999999999982</v>
      </c>
      <c r="V557">
        <v>906.59999999999945</v>
      </c>
      <c r="W557">
        <v>2257.1999999999989</v>
      </c>
      <c r="X557">
        <v>2291.9499999999989</v>
      </c>
      <c r="Y557">
        <v>2449.1999999999989</v>
      </c>
    </row>
    <row r="558" spans="1:25" x14ac:dyDescent="0.35">
      <c r="A558">
        <v>514</v>
      </c>
      <c r="B558">
        <v>906.59999999999945</v>
      </c>
      <c r="C558">
        <v>951.92499999999927</v>
      </c>
      <c r="D558">
        <v>906.59999999999945</v>
      </c>
      <c r="E558">
        <v>-984</v>
      </c>
      <c r="F558">
        <v>-362.40000000000055</v>
      </c>
      <c r="G558">
        <v>-2240.1500000000005</v>
      </c>
      <c r="J558">
        <v>514</v>
      </c>
      <c r="K558">
        <v>0</v>
      </c>
      <c r="L558">
        <v>0</v>
      </c>
      <c r="M558">
        <v>0</v>
      </c>
      <c r="N558">
        <v>237</v>
      </c>
      <c r="O558">
        <v>195</v>
      </c>
      <c r="P558">
        <v>310</v>
      </c>
      <c r="S558">
        <v>514</v>
      </c>
      <c r="T558">
        <v>906.59999999999945</v>
      </c>
      <c r="U558">
        <v>932.5</v>
      </c>
      <c r="V558">
        <v>906.59999999999945</v>
      </c>
      <c r="W558">
        <v>2231.1999999999994</v>
      </c>
      <c r="X558">
        <v>2273.8500000000004</v>
      </c>
      <c r="Y558">
        <v>1768.0485703603422</v>
      </c>
    </row>
    <row r="559" spans="1:25" x14ac:dyDescent="0.35">
      <c r="A559">
        <v>515</v>
      </c>
      <c r="B559">
        <v>906.59999999999945</v>
      </c>
      <c r="C559">
        <v>984.30000000000018</v>
      </c>
      <c r="D559">
        <v>906.60000000000036</v>
      </c>
      <c r="E559">
        <v>-984</v>
      </c>
      <c r="F559">
        <v>-634.35000000000036</v>
      </c>
      <c r="G559">
        <v>-2900.6000000000004</v>
      </c>
      <c r="J559">
        <v>515</v>
      </c>
      <c r="K559">
        <v>0</v>
      </c>
      <c r="L559">
        <v>0</v>
      </c>
      <c r="M559">
        <v>0</v>
      </c>
      <c r="N559">
        <v>226</v>
      </c>
      <c r="O559">
        <v>175</v>
      </c>
      <c r="P559">
        <v>325</v>
      </c>
      <c r="S559">
        <v>515</v>
      </c>
      <c r="T559">
        <v>906.59999999999945</v>
      </c>
      <c r="U559">
        <v>1003.7249999999995</v>
      </c>
      <c r="V559">
        <v>906.59999999999945</v>
      </c>
      <c r="W559">
        <v>2329.1999999999994</v>
      </c>
      <c r="X559">
        <v>-478.95000000000073</v>
      </c>
      <c r="Y559">
        <v>2430.1866728254863</v>
      </c>
    </row>
    <row r="560" spans="1:25" x14ac:dyDescent="0.35">
      <c r="A560">
        <v>516</v>
      </c>
      <c r="B560">
        <v>906.59999999999945</v>
      </c>
      <c r="C560">
        <v>1010.1999999999989</v>
      </c>
      <c r="D560">
        <v>906.60000000000036</v>
      </c>
      <c r="E560">
        <v>-932.20000000000073</v>
      </c>
      <c r="F560">
        <v>-362.40000000000055</v>
      </c>
      <c r="G560">
        <v>-2434.4000000000005</v>
      </c>
      <c r="J560">
        <v>516</v>
      </c>
      <c r="K560">
        <v>0</v>
      </c>
      <c r="L560">
        <v>0</v>
      </c>
      <c r="M560">
        <v>0</v>
      </c>
      <c r="N560">
        <v>224</v>
      </c>
      <c r="O560">
        <v>178</v>
      </c>
      <c r="P560">
        <v>321</v>
      </c>
      <c r="S560">
        <v>516</v>
      </c>
      <c r="T560">
        <v>906.59999999999945</v>
      </c>
      <c r="U560">
        <v>971.34999999999854</v>
      </c>
      <c r="V560">
        <v>906.59999999999945</v>
      </c>
      <c r="W560">
        <v>2020.8262645042532</v>
      </c>
      <c r="X560">
        <v>2211.0999999999995</v>
      </c>
      <c r="Y560">
        <v>-1307.6260568503426</v>
      </c>
    </row>
    <row r="561" spans="1:25" x14ac:dyDescent="0.35">
      <c r="A561">
        <v>517</v>
      </c>
      <c r="B561">
        <v>906.59999999999945</v>
      </c>
      <c r="C561">
        <v>938.97499999999945</v>
      </c>
      <c r="D561">
        <v>906.59999999999945</v>
      </c>
      <c r="E561">
        <v>-1113.5</v>
      </c>
      <c r="F561">
        <v>-614.92500000000109</v>
      </c>
      <c r="G561">
        <v>-2434.4000000000005</v>
      </c>
      <c r="J561">
        <v>517</v>
      </c>
      <c r="K561">
        <v>0</v>
      </c>
      <c r="L561">
        <v>0</v>
      </c>
      <c r="M561">
        <v>0</v>
      </c>
      <c r="N561">
        <v>218</v>
      </c>
      <c r="O561">
        <v>186</v>
      </c>
      <c r="P561">
        <v>307</v>
      </c>
      <c r="S561">
        <v>517</v>
      </c>
      <c r="T561">
        <v>906.59999999999945</v>
      </c>
      <c r="U561">
        <v>964.875</v>
      </c>
      <c r="V561">
        <v>906.60000000000036</v>
      </c>
      <c r="W561">
        <v>2253.1999999999998</v>
      </c>
      <c r="X561">
        <v>2285.8499999999995</v>
      </c>
      <c r="Y561">
        <v>2445.1999999999998</v>
      </c>
    </row>
    <row r="562" spans="1:25" x14ac:dyDescent="0.35">
      <c r="A562">
        <v>518</v>
      </c>
      <c r="B562">
        <v>906.59999999999945</v>
      </c>
      <c r="C562">
        <v>990.77499999999964</v>
      </c>
      <c r="D562">
        <v>906.60000000000036</v>
      </c>
      <c r="E562">
        <v>-1035.8000000000002</v>
      </c>
      <c r="F562">
        <v>-563.125</v>
      </c>
      <c r="G562">
        <v>-2175.4000000000005</v>
      </c>
      <c r="J562">
        <v>518</v>
      </c>
      <c r="K562">
        <v>0</v>
      </c>
      <c r="L562">
        <v>0</v>
      </c>
      <c r="M562">
        <v>0</v>
      </c>
      <c r="N562">
        <v>228</v>
      </c>
      <c r="O562">
        <v>173</v>
      </c>
      <c r="P562">
        <v>311</v>
      </c>
      <c r="S562">
        <v>518</v>
      </c>
      <c r="T562">
        <v>906.59999999999945</v>
      </c>
      <c r="U562">
        <v>977.82499999999891</v>
      </c>
      <c r="V562">
        <v>906.59999999999945</v>
      </c>
      <c r="W562">
        <v>454.79241400719616</v>
      </c>
      <c r="X562">
        <v>2201.5749999999994</v>
      </c>
      <c r="Y562">
        <v>2481.1999999999998</v>
      </c>
    </row>
    <row r="563" spans="1:25" x14ac:dyDescent="0.35">
      <c r="A563">
        <v>519</v>
      </c>
      <c r="B563">
        <v>906.59999999999945</v>
      </c>
      <c r="C563">
        <v>971.34999999999945</v>
      </c>
      <c r="D563">
        <v>906.60000000000036</v>
      </c>
      <c r="E563">
        <v>-1074.6500000000005</v>
      </c>
      <c r="F563">
        <v>-446.57500000000073</v>
      </c>
      <c r="G563">
        <v>-2149.5</v>
      </c>
      <c r="J563">
        <v>519</v>
      </c>
      <c r="K563">
        <v>0</v>
      </c>
      <c r="L563">
        <v>0</v>
      </c>
      <c r="M563">
        <v>0</v>
      </c>
      <c r="N563">
        <v>206</v>
      </c>
      <c r="O563">
        <v>199</v>
      </c>
      <c r="P563">
        <v>306</v>
      </c>
      <c r="S563">
        <v>519</v>
      </c>
      <c r="T563">
        <v>906.59999999999945</v>
      </c>
      <c r="U563">
        <v>958.39999999999964</v>
      </c>
      <c r="V563">
        <v>906.59999999999945</v>
      </c>
      <c r="W563">
        <v>-945.15000000000055</v>
      </c>
      <c r="X563">
        <v>2234.4249999999993</v>
      </c>
      <c r="Y563">
        <v>2415.1999999999998</v>
      </c>
    </row>
    <row r="564" spans="1:25" x14ac:dyDescent="0.35">
      <c r="A564">
        <v>520</v>
      </c>
      <c r="B564">
        <v>906.59999999999945</v>
      </c>
      <c r="C564">
        <v>951.92499999999927</v>
      </c>
      <c r="D564">
        <v>906.60000000000036</v>
      </c>
      <c r="E564">
        <v>-1204.1500000000005</v>
      </c>
      <c r="F564">
        <v>-278.22500000000036</v>
      </c>
      <c r="G564">
        <v>-2447.3500000000004</v>
      </c>
      <c r="J564">
        <v>520</v>
      </c>
      <c r="K564">
        <v>0</v>
      </c>
      <c r="L564">
        <v>0</v>
      </c>
      <c r="M564">
        <v>0</v>
      </c>
      <c r="N564">
        <v>222</v>
      </c>
      <c r="O564">
        <v>199</v>
      </c>
      <c r="P564">
        <v>341</v>
      </c>
      <c r="S564">
        <v>520</v>
      </c>
      <c r="T564">
        <v>906.59999999999945</v>
      </c>
      <c r="U564">
        <v>971.34999999999945</v>
      </c>
      <c r="V564">
        <v>906.60000000000036</v>
      </c>
      <c r="W564">
        <v>2229.1999999999994</v>
      </c>
      <c r="X564">
        <v>-177.86800041540414</v>
      </c>
      <c r="Y564">
        <v>2467.1999999999998</v>
      </c>
    </row>
    <row r="565" spans="1:25" x14ac:dyDescent="0.35">
      <c r="A565">
        <v>521</v>
      </c>
      <c r="B565">
        <v>906.59999999999945</v>
      </c>
      <c r="C565">
        <v>990.77499999999964</v>
      </c>
      <c r="D565">
        <v>906.60000000000036</v>
      </c>
      <c r="E565">
        <v>-1113.5</v>
      </c>
      <c r="F565">
        <v>-524.27500000000055</v>
      </c>
      <c r="G565">
        <v>-2550.9499999999998</v>
      </c>
      <c r="J565">
        <v>521</v>
      </c>
      <c r="K565">
        <v>0</v>
      </c>
      <c r="L565">
        <v>0</v>
      </c>
      <c r="M565">
        <v>0</v>
      </c>
      <c r="N565">
        <v>223</v>
      </c>
      <c r="O565">
        <v>176</v>
      </c>
      <c r="P565">
        <v>325</v>
      </c>
      <c r="S565">
        <v>521</v>
      </c>
      <c r="T565">
        <v>906.59999999999945</v>
      </c>
      <c r="U565">
        <v>977.82499999999891</v>
      </c>
      <c r="V565">
        <v>906.59999999999945</v>
      </c>
      <c r="W565">
        <v>2279.1999999999994</v>
      </c>
      <c r="X565">
        <v>2261.849999999999</v>
      </c>
      <c r="Y565">
        <v>1398.520126091878</v>
      </c>
    </row>
    <row r="566" spans="1:25" x14ac:dyDescent="0.35">
      <c r="A566">
        <v>522</v>
      </c>
      <c r="B566">
        <v>906.59999999999945</v>
      </c>
      <c r="C566">
        <v>977.82499999999891</v>
      </c>
      <c r="D566">
        <v>906.59999999999945</v>
      </c>
      <c r="E566">
        <v>-932.20000000000073</v>
      </c>
      <c r="F566">
        <v>-355.92500000000018</v>
      </c>
      <c r="G566">
        <v>-2214.25</v>
      </c>
      <c r="J566">
        <v>522</v>
      </c>
      <c r="K566">
        <v>0</v>
      </c>
      <c r="L566">
        <v>0</v>
      </c>
      <c r="M566">
        <v>0</v>
      </c>
      <c r="N566">
        <v>226</v>
      </c>
      <c r="O566">
        <v>177</v>
      </c>
      <c r="P566">
        <v>311</v>
      </c>
      <c r="S566">
        <v>522</v>
      </c>
      <c r="T566">
        <v>906.59999999999945</v>
      </c>
      <c r="U566">
        <v>958.39999999999873</v>
      </c>
      <c r="V566">
        <v>906.59999999999945</v>
      </c>
      <c r="W566">
        <v>2235.1999999999998</v>
      </c>
      <c r="X566">
        <v>-653.77499999999964</v>
      </c>
      <c r="Y566">
        <v>2421.1999999999998</v>
      </c>
    </row>
    <row r="567" spans="1:25" x14ac:dyDescent="0.35">
      <c r="A567">
        <v>523</v>
      </c>
      <c r="B567">
        <v>906.59999999999945</v>
      </c>
      <c r="C567">
        <v>990.77499999999964</v>
      </c>
      <c r="D567">
        <v>906.59999999999945</v>
      </c>
      <c r="E567">
        <v>-1048.75</v>
      </c>
      <c r="F567">
        <v>-576.07500000000073</v>
      </c>
      <c r="G567">
        <v>-2434.4000000000005</v>
      </c>
      <c r="J567">
        <v>523</v>
      </c>
      <c r="K567">
        <v>0</v>
      </c>
      <c r="L567">
        <v>0</v>
      </c>
      <c r="M567">
        <v>0</v>
      </c>
      <c r="N567">
        <v>219</v>
      </c>
      <c r="O567">
        <v>191</v>
      </c>
      <c r="P567">
        <v>314</v>
      </c>
      <c r="S567">
        <v>523</v>
      </c>
      <c r="T567">
        <v>906.59999999999945</v>
      </c>
      <c r="U567">
        <v>977.82499999999982</v>
      </c>
      <c r="V567">
        <v>906.59999999999945</v>
      </c>
      <c r="W567">
        <v>2257.1999999999989</v>
      </c>
      <c r="X567">
        <v>2323.7499999999991</v>
      </c>
      <c r="Y567">
        <v>2463.1999999999998</v>
      </c>
    </row>
    <row r="568" spans="1:25" x14ac:dyDescent="0.35">
      <c r="A568">
        <v>524</v>
      </c>
      <c r="B568">
        <v>906.59999999999945</v>
      </c>
      <c r="C568">
        <v>997.25</v>
      </c>
      <c r="D568">
        <v>906.59999999999945</v>
      </c>
      <c r="E568">
        <v>-1139.4000000000005</v>
      </c>
      <c r="F568">
        <v>-517.80000000000018</v>
      </c>
      <c r="G568">
        <v>-2343.75</v>
      </c>
      <c r="J568">
        <v>524</v>
      </c>
      <c r="K568">
        <v>0</v>
      </c>
      <c r="L568">
        <v>0</v>
      </c>
      <c r="M568">
        <v>0</v>
      </c>
      <c r="N568">
        <v>218</v>
      </c>
      <c r="O568">
        <v>182</v>
      </c>
      <c r="P568">
        <v>310</v>
      </c>
      <c r="S568">
        <v>524</v>
      </c>
      <c r="T568">
        <v>906.59999999999945</v>
      </c>
      <c r="U568">
        <v>971.34999999999945</v>
      </c>
      <c r="V568">
        <v>906.60000000000036</v>
      </c>
      <c r="W568">
        <v>2263.1999999999998</v>
      </c>
      <c r="X568">
        <v>874.35955292923927</v>
      </c>
      <c r="Y568">
        <v>2487.1999999999998</v>
      </c>
    </row>
    <row r="569" spans="1:25" x14ac:dyDescent="0.35">
      <c r="A569">
        <v>525</v>
      </c>
      <c r="B569">
        <v>906.59999999999945</v>
      </c>
      <c r="C569">
        <v>1016.6749999999993</v>
      </c>
      <c r="D569">
        <v>906.59999999999945</v>
      </c>
      <c r="E569">
        <v>-1320.7000000000007</v>
      </c>
      <c r="F569">
        <v>-232.90000000000055</v>
      </c>
      <c r="G569">
        <v>-2408.5</v>
      </c>
      <c r="J569">
        <v>525</v>
      </c>
      <c r="K569">
        <v>0</v>
      </c>
      <c r="L569">
        <v>0</v>
      </c>
      <c r="M569">
        <v>0</v>
      </c>
      <c r="N569">
        <v>238</v>
      </c>
      <c r="O569">
        <v>192</v>
      </c>
      <c r="P569">
        <v>332</v>
      </c>
      <c r="S569">
        <v>525</v>
      </c>
      <c r="T569">
        <v>906.59999999999945</v>
      </c>
      <c r="U569">
        <v>977.82499999999982</v>
      </c>
      <c r="V569">
        <v>906.59999999999945</v>
      </c>
      <c r="W569">
        <v>1068.3992855961346</v>
      </c>
      <c r="X569">
        <v>2243.4749999999995</v>
      </c>
      <c r="Y569">
        <v>2437.1999999999989</v>
      </c>
    </row>
    <row r="570" spans="1:25" x14ac:dyDescent="0.35">
      <c r="A570">
        <v>526</v>
      </c>
      <c r="B570">
        <v>906.59999999999945</v>
      </c>
      <c r="C570">
        <v>945.44999999999891</v>
      </c>
      <c r="D570">
        <v>906.60000000000036</v>
      </c>
      <c r="E570">
        <v>-906.30000000000018</v>
      </c>
      <c r="F570">
        <v>-472.47500000000036</v>
      </c>
      <c r="G570">
        <v>-2628.6500000000005</v>
      </c>
      <c r="J570">
        <v>526</v>
      </c>
      <c r="K570">
        <v>0</v>
      </c>
      <c r="L570">
        <v>0</v>
      </c>
      <c r="M570">
        <v>0</v>
      </c>
      <c r="N570">
        <v>218</v>
      </c>
      <c r="O570">
        <v>175</v>
      </c>
      <c r="P570">
        <v>326</v>
      </c>
      <c r="S570">
        <v>526</v>
      </c>
      <c r="T570">
        <v>906.59999999999945</v>
      </c>
      <c r="U570">
        <v>990.77499999999964</v>
      </c>
      <c r="V570">
        <v>906.60000000000036</v>
      </c>
      <c r="W570">
        <v>-737.69967849919863</v>
      </c>
      <c r="X570">
        <v>2310.3249999999998</v>
      </c>
      <c r="Y570">
        <v>2427.1999999999989</v>
      </c>
    </row>
    <row r="571" spans="1:25" x14ac:dyDescent="0.35">
      <c r="A571">
        <v>527</v>
      </c>
      <c r="B571">
        <v>906.59999999999945</v>
      </c>
      <c r="C571">
        <v>984.30000000000018</v>
      </c>
      <c r="D571">
        <v>906.59999999999945</v>
      </c>
      <c r="E571">
        <v>-763.85000000000036</v>
      </c>
      <c r="F571">
        <v>-550.17500000000018</v>
      </c>
      <c r="G571">
        <v>-2628.6500000000005</v>
      </c>
      <c r="J571">
        <v>527</v>
      </c>
      <c r="K571">
        <v>0</v>
      </c>
      <c r="L571">
        <v>0</v>
      </c>
      <c r="M571">
        <v>0</v>
      </c>
      <c r="N571">
        <v>252</v>
      </c>
      <c r="O571">
        <v>175</v>
      </c>
      <c r="P571">
        <v>313</v>
      </c>
      <c r="S571">
        <v>527</v>
      </c>
      <c r="T571">
        <v>906.59999999999945</v>
      </c>
      <c r="U571">
        <v>984.29999999999927</v>
      </c>
      <c r="V571">
        <v>906.59999999999945</v>
      </c>
      <c r="W571">
        <v>2271.1999999999994</v>
      </c>
      <c r="X571">
        <v>2236.4250000000002</v>
      </c>
      <c r="Y571">
        <v>-522.38404279800125</v>
      </c>
    </row>
    <row r="572" spans="1:25" x14ac:dyDescent="0.35">
      <c r="A572">
        <v>528</v>
      </c>
      <c r="B572">
        <v>906.59999999999945</v>
      </c>
      <c r="C572">
        <v>984.29999999999927</v>
      </c>
      <c r="D572">
        <v>906.59999999999945</v>
      </c>
      <c r="E572">
        <v>-1139.4000000000005</v>
      </c>
      <c r="F572">
        <v>-433.625</v>
      </c>
      <c r="G572">
        <v>-2227.2000000000007</v>
      </c>
      <c r="J572">
        <v>528</v>
      </c>
      <c r="K572">
        <v>0</v>
      </c>
      <c r="L572">
        <v>0</v>
      </c>
      <c r="M572">
        <v>0</v>
      </c>
      <c r="N572">
        <v>229</v>
      </c>
      <c r="O572">
        <v>177</v>
      </c>
      <c r="P572">
        <v>320</v>
      </c>
      <c r="S572">
        <v>528</v>
      </c>
      <c r="T572">
        <v>906.59999999999945</v>
      </c>
      <c r="U572">
        <v>964.875</v>
      </c>
      <c r="V572">
        <v>906.59999999999945</v>
      </c>
      <c r="W572">
        <v>2273.1999999999998</v>
      </c>
      <c r="X572">
        <v>757.47715067407285</v>
      </c>
      <c r="Y572">
        <v>2244.2847428807072</v>
      </c>
    </row>
    <row r="573" spans="1:25" x14ac:dyDescent="0.35">
      <c r="A573">
        <v>529</v>
      </c>
      <c r="B573">
        <v>906.59999999999945</v>
      </c>
      <c r="C573">
        <v>997.24999999999909</v>
      </c>
      <c r="D573">
        <v>906.60000000000036</v>
      </c>
      <c r="E573">
        <v>-1022.8500000000004</v>
      </c>
      <c r="F573">
        <v>-627.875</v>
      </c>
      <c r="G573">
        <v>-2343.75</v>
      </c>
      <c r="J573">
        <v>529</v>
      </c>
      <c r="K573">
        <v>0</v>
      </c>
      <c r="L573">
        <v>0</v>
      </c>
      <c r="M573">
        <v>0</v>
      </c>
      <c r="N573">
        <v>215</v>
      </c>
      <c r="O573">
        <v>200</v>
      </c>
      <c r="P573">
        <v>314</v>
      </c>
      <c r="S573">
        <v>529</v>
      </c>
      <c r="T573">
        <v>906.59999999999945</v>
      </c>
      <c r="U573">
        <v>951.92499999999927</v>
      </c>
      <c r="V573">
        <v>906.59999999999945</v>
      </c>
      <c r="W573">
        <v>2251.1999999999994</v>
      </c>
      <c r="X573">
        <v>2243.9499999999994</v>
      </c>
      <c r="Y573">
        <v>2425.1999999999998</v>
      </c>
    </row>
    <row r="574" spans="1:25" x14ac:dyDescent="0.35">
      <c r="A574">
        <v>530</v>
      </c>
      <c r="B574">
        <v>906.59999999999945</v>
      </c>
      <c r="C574">
        <v>938.97499999999854</v>
      </c>
      <c r="D574">
        <v>906.59999999999945</v>
      </c>
      <c r="E574">
        <v>-1126.4500000000007</v>
      </c>
      <c r="F574">
        <v>-355.92500000000018</v>
      </c>
      <c r="G574">
        <v>-2279</v>
      </c>
      <c r="J574">
        <v>530</v>
      </c>
      <c r="K574">
        <v>0</v>
      </c>
      <c r="L574">
        <v>0</v>
      </c>
      <c r="M574">
        <v>0</v>
      </c>
      <c r="N574">
        <v>205</v>
      </c>
      <c r="O574">
        <v>179</v>
      </c>
      <c r="P574">
        <v>319</v>
      </c>
      <c r="S574">
        <v>530</v>
      </c>
      <c r="T574">
        <v>906.59999999999945</v>
      </c>
      <c r="U574">
        <v>990.77499999999873</v>
      </c>
      <c r="V574">
        <v>906.59999999999945</v>
      </c>
      <c r="W574">
        <v>2219.1999999999994</v>
      </c>
      <c r="X574">
        <v>2257.849999999999</v>
      </c>
      <c r="Y574">
        <v>1683.9909494249409</v>
      </c>
    </row>
    <row r="575" spans="1:25" x14ac:dyDescent="0.35">
      <c r="A575">
        <v>531</v>
      </c>
      <c r="B575">
        <v>906.59999999999945</v>
      </c>
      <c r="C575">
        <v>977.82499999999982</v>
      </c>
      <c r="D575">
        <v>906.60000000000036</v>
      </c>
      <c r="E575">
        <v>-1178.25</v>
      </c>
      <c r="F575">
        <v>-576.07500000000073</v>
      </c>
      <c r="G575">
        <v>-2434.4000000000005</v>
      </c>
      <c r="J575">
        <v>531</v>
      </c>
      <c r="K575">
        <v>0</v>
      </c>
      <c r="L575">
        <v>0</v>
      </c>
      <c r="M575">
        <v>0</v>
      </c>
      <c r="N575">
        <v>239</v>
      </c>
      <c r="O575">
        <v>180</v>
      </c>
      <c r="P575">
        <v>326</v>
      </c>
      <c r="S575">
        <v>531</v>
      </c>
      <c r="T575">
        <v>906.59999999999945</v>
      </c>
      <c r="U575">
        <v>1010.1999999999998</v>
      </c>
      <c r="V575">
        <v>906.59999999999945</v>
      </c>
      <c r="W575">
        <v>2229.1999999999994</v>
      </c>
      <c r="X575">
        <v>2258.9999999999991</v>
      </c>
      <c r="Y575">
        <v>-1172.365958711038</v>
      </c>
    </row>
    <row r="576" spans="1:25" x14ac:dyDescent="0.35">
      <c r="A576">
        <v>532</v>
      </c>
      <c r="B576">
        <v>906.59999999999945</v>
      </c>
      <c r="C576">
        <v>958.39999999999964</v>
      </c>
      <c r="D576">
        <v>906.59999999999945</v>
      </c>
      <c r="E576">
        <v>-1294.8000000000002</v>
      </c>
      <c r="F576">
        <v>-537.22500000000036</v>
      </c>
      <c r="G576">
        <v>-2382.6000000000004</v>
      </c>
      <c r="J576">
        <v>532</v>
      </c>
      <c r="K576">
        <v>0</v>
      </c>
      <c r="L576">
        <v>0</v>
      </c>
      <c r="M576">
        <v>0</v>
      </c>
      <c r="N576">
        <v>228</v>
      </c>
      <c r="O576">
        <v>173</v>
      </c>
      <c r="P576">
        <v>338</v>
      </c>
      <c r="S576">
        <v>532</v>
      </c>
      <c r="T576">
        <v>906.59999999999945</v>
      </c>
      <c r="U576">
        <v>964.875</v>
      </c>
      <c r="V576">
        <v>906.59999999999945</v>
      </c>
      <c r="W576">
        <v>2237.1999999999989</v>
      </c>
      <c r="X576">
        <v>2267.375</v>
      </c>
      <c r="Y576">
        <v>1583.916311723513</v>
      </c>
    </row>
    <row r="577" spans="1:25" x14ac:dyDescent="0.35">
      <c r="A577">
        <v>533</v>
      </c>
      <c r="B577">
        <v>906.59999999999945</v>
      </c>
      <c r="C577">
        <v>990.77499999999964</v>
      </c>
      <c r="D577">
        <v>906.59999999999945</v>
      </c>
      <c r="E577">
        <v>-1191.2000000000007</v>
      </c>
      <c r="F577">
        <v>-737.95000000000073</v>
      </c>
      <c r="G577">
        <v>-2162.4500000000007</v>
      </c>
      <c r="J577">
        <v>533</v>
      </c>
      <c r="K577">
        <v>0</v>
      </c>
      <c r="L577">
        <v>0</v>
      </c>
      <c r="M577">
        <v>0</v>
      </c>
      <c r="N577">
        <v>232</v>
      </c>
      <c r="O577">
        <v>183</v>
      </c>
      <c r="P577">
        <v>327</v>
      </c>
      <c r="S577">
        <v>533</v>
      </c>
      <c r="T577">
        <v>906.59999999999945</v>
      </c>
      <c r="U577">
        <v>971.34999999999945</v>
      </c>
      <c r="V577">
        <v>906.60000000000036</v>
      </c>
      <c r="W577">
        <v>2247.1999999999989</v>
      </c>
      <c r="X577">
        <v>135.8607284490331</v>
      </c>
      <c r="Y577">
        <v>2457.1999999999998</v>
      </c>
    </row>
    <row r="578" spans="1:25" x14ac:dyDescent="0.35">
      <c r="A578">
        <v>534</v>
      </c>
      <c r="B578">
        <v>906.59999999999945</v>
      </c>
      <c r="C578">
        <v>984.29999999999927</v>
      </c>
      <c r="D578">
        <v>906.60000000000036</v>
      </c>
      <c r="E578">
        <v>-1230.0500000000002</v>
      </c>
      <c r="F578">
        <v>-239.375</v>
      </c>
      <c r="G578">
        <v>-2279</v>
      </c>
      <c r="J578">
        <v>534</v>
      </c>
      <c r="K578">
        <v>0</v>
      </c>
      <c r="L578">
        <v>0</v>
      </c>
      <c r="M578">
        <v>0</v>
      </c>
      <c r="N578">
        <v>229</v>
      </c>
      <c r="O578">
        <v>194</v>
      </c>
      <c r="P578">
        <v>313</v>
      </c>
      <c r="S578">
        <v>534</v>
      </c>
      <c r="T578">
        <v>906.59999999999945</v>
      </c>
      <c r="U578">
        <v>984.29999999999927</v>
      </c>
      <c r="V578">
        <v>906.60000000000036</v>
      </c>
      <c r="W578">
        <v>2267.1999999999989</v>
      </c>
      <c r="X578">
        <v>1313.2106979296459</v>
      </c>
      <c r="Y578">
        <v>-577.40699298957179</v>
      </c>
    </row>
    <row r="579" spans="1:25" x14ac:dyDescent="0.35">
      <c r="A579">
        <v>535</v>
      </c>
      <c r="B579">
        <v>906.59999999999945</v>
      </c>
      <c r="C579">
        <v>964.875</v>
      </c>
      <c r="D579">
        <v>906.59999999999945</v>
      </c>
      <c r="E579">
        <v>-1061.7000000000007</v>
      </c>
      <c r="F579">
        <v>-576.07500000000073</v>
      </c>
      <c r="G579">
        <v>-2628.6500000000005</v>
      </c>
      <c r="J579">
        <v>535</v>
      </c>
      <c r="K579">
        <v>0</v>
      </c>
      <c r="L579">
        <v>0</v>
      </c>
      <c r="M579">
        <v>0</v>
      </c>
      <c r="N579">
        <v>216</v>
      </c>
      <c r="O579">
        <v>173</v>
      </c>
      <c r="P579">
        <v>332</v>
      </c>
      <c r="S579">
        <v>535</v>
      </c>
      <c r="T579">
        <v>906.59999999999945</v>
      </c>
      <c r="U579">
        <v>964.875</v>
      </c>
      <c r="V579">
        <v>906.59999999999945</v>
      </c>
      <c r="W579">
        <v>2259.1999999999994</v>
      </c>
      <c r="X579">
        <v>-692.625</v>
      </c>
      <c r="Y579">
        <v>2413.1999999999998</v>
      </c>
    </row>
    <row r="580" spans="1:25" x14ac:dyDescent="0.35">
      <c r="A580">
        <v>536</v>
      </c>
      <c r="B580">
        <v>906.59999999999945</v>
      </c>
      <c r="C580">
        <v>964.875</v>
      </c>
      <c r="D580">
        <v>906.60000000000036</v>
      </c>
      <c r="E580">
        <v>-828.60000000000036</v>
      </c>
      <c r="F580">
        <v>-569.60000000000036</v>
      </c>
      <c r="G580">
        <v>-2058.8500000000004</v>
      </c>
      <c r="J580">
        <v>536</v>
      </c>
      <c r="K580">
        <v>0</v>
      </c>
      <c r="L580">
        <v>0</v>
      </c>
      <c r="M580">
        <v>0</v>
      </c>
      <c r="N580">
        <v>190</v>
      </c>
      <c r="O580">
        <v>174</v>
      </c>
      <c r="P580">
        <v>341</v>
      </c>
      <c r="S580">
        <v>536</v>
      </c>
      <c r="T580">
        <v>906.59999999999945</v>
      </c>
      <c r="U580">
        <v>971.34999999999945</v>
      </c>
      <c r="V580">
        <v>906.59999999999945</v>
      </c>
      <c r="W580">
        <v>2239.1999999999994</v>
      </c>
      <c r="X580">
        <v>2317.8499999999985</v>
      </c>
      <c r="Y580">
        <v>2364.7557119603225</v>
      </c>
    </row>
    <row r="581" spans="1:25" x14ac:dyDescent="0.35">
      <c r="A581">
        <v>537</v>
      </c>
      <c r="B581">
        <v>906.59999999999945</v>
      </c>
      <c r="C581">
        <v>971.34999999999945</v>
      </c>
      <c r="D581">
        <v>906.59999999999945</v>
      </c>
      <c r="E581">
        <v>-1437.25</v>
      </c>
      <c r="F581">
        <v>-394.77500000000055</v>
      </c>
      <c r="G581">
        <v>-2317.8500000000004</v>
      </c>
      <c r="J581">
        <v>537</v>
      </c>
      <c r="K581">
        <v>0</v>
      </c>
      <c r="L581">
        <v>0</v>
      </c>
      <c r="M581">
        <v>1</v>
      </c>
      <c r="N581">
        <v>232</v>
      </c>
      <c r="O581">
        <v>190</v>
      </c>
      <c r="P581">
        <v>340</v>
      </c>
      <c r="S581">
        <v>537</v>
      </c>
      <c r="T581">
        <v>906.59999999999945</v>
      </c>
      <c r="U581">
        <v>938.97499999999945</v>
      </c>
      <c r="V581">
        <v>906.60000000000036</v>
      </c>
      <c r="W581">
        <v>1264.8313954989544</v>
      </c>
      <c r="X581">
        <v>2193.5749999999994</v>
      </c>
      <c r="Y581">
        <v>2437.1999999999989</v>
      </c>
    </row>
    <row r="582" spans="1:25" x14ac:dyDescent="0.35">
      <c r="A582">
        <v>538</v>
      </c>
      <c r="B582">
        <v>906.59999999999945</v>
      </c>
      <c r="C582">
        <v>964.875</v>
      </c>
      <c r="D582">
        <v>906.60000000000036</v>
      </c>
      <c r="E582">
        <v>-1333.6500000000005</v>
      </c>
      <c r="F582">
        <v>-375.35000000000036</v>
      </c>
      <c r="G582">
        <v>-2317.8500000000004</v>
      </c>
      <c r="J582">
        <v>538</v>
      </c>
      <c r="K582">
        <v>0</v>
      </c>
      <c r="L582">
        <v>0</v>
      </c>
      <c r="M582">
        <v>0</v>
      </c>
      <c r="N582">
        <v>232</v>
      </c>
      <c r="O582">
        <v>167</v>
      </c>
      <c r="P582">
        <v>311</v>
      </c>
      <c r="S582">
        <v>538</v>
      </c>
      <c r="T582">
        <v>906.59999999999945</v>
      </c>
      <c r="U582">
        <v>977.82499999999891</v>
      </c>
      <c r="V582">
        <v>906.59999999999945</v>
      </c>
      <c r="W582">
        <v>2257.1999999999989</v>
      </c>
      <c r="X582">
        <v>2178.4249999999997</v>
      </c>
      <c r="Y582">
        <v>2511.1999999999998</v>
      </c>
    </row>
    <row r="583" spans="1:25" x14ac:dyDescent="0.35">
      <c r="A583">
        <v>539</v>
      </c>
      <c r="B583">
        <v>906.59999999999945</v>
      </c>
      <c r="C583">
        <v>984.29999999999927</v>
      </c>
      <c r="D583">
        <v>906.59999999999945</v>
      </c>
      <c r="E583">
        <v>-1230.0500000000002</v>
      </c>
      <c r="F583">
        <v>-433.625</v>
      </c>
      <c r="G583">
        <v>-2550.9499999999998</v>
      </c>
      <c r="J583">
        <v>539</v>
      </c>
      <c r="K583">
        <v>0</v>
      </c>
      <c r="L583">
        <v>0</v>
      </c>
      <c r="M583">
        <v>0</v>
      </c>
      <c r="N583">
        <v>238</v>
      </c>
      <c r="O583">
        <v>202</v>
      </c>
      <c r="P583">
        <v>311</v>
      </c>
      <c r="S583">
        <v>539</v>
      </c>
      <c r="T583">
        <v>906.59999999999945</v>
      </c>
      <c r="U583">
        <v>971.34999999999945</v>
      </c>
      <c r="V583">
        <v>906.60000000000036</v>
      </c>
      <c r="W583">
        <v>2279.1999999999994</v>
      </c>
      <c r="X583">
        <v>2291.849999999999</v>
      </c>
      <c r="Y583">
        <v>1822.4484276677204</v>
      </c>
    </row>
    <row r="584" spans="1:25" x14ac:dyDescent="0.35">
      <c r="A584">
        <v>540</v>
      </c>
      <c r="B584">
        <v>906.59999999999945</v>
      </c>
      <c r="C584">
        <v>984.29999999999927</v>
      </c>
      <c r="D584">
        <v>906.59999999999945</v>
      </c>
      <c r="E584">
        <v>-1152.3500000000004</v>
      </c>
      <c r="F584">
        <v>-563.125</v>
      </c>
      <c r="G584">
        <v>-2214.25</v>
      </c>
      <c r="J584">
        <v>540</v>
      </c>
      <c r="K584">
        <v>0</v>
      </c>
      <c r="L584">
        <v>0</v>
      </c>
      <c r="M584">
        <v>0</v>
      </c>
      <c r="N584">
        <v>223</v>
      </c>
      <c r="O584">
        <v>194</v>
      </c>
      <c r="P584">
        <v>322</v>
      </c>
      <c r="S584">
        <v>540</v>
      </c>
      <c r="T584">
        <v>906.59999999999945</v>
      </c>
      <c r="U584">
        <v>932.5</v>
      </c>
      <c r="V584">
        <v>906.59999999999945</v>
      </c>
      <c r="W584">
        <v>2277.1999999999989</v>
      </c>
      <c r="X584">
        <v>2246.4250000000002</v>
      </c>
      <c r="Y584">
        <v>2463.1999999999998</v>
      </c>
    </row>
    <row r="585" spans="1:25" x14ac:dyDescent="0.35">
      <c r="A585">
        <v>541</v>
      </c>
      <c r="B585">
        <v>906.59999999999945</v>
      </c>
      <c r="C585">
        <v>1003.7250000000004</v>
      </c>
      <c r="D585">
        <v>906.60000000000036</v>
      </c>
      <c r="E585">
        <v>-1191.2000000000007</v>
      </c>
      <c r="F585">
        <v>-232.90000000000055</v>
      </c>
      <c r="G585">
        <v>-2499.1500000000005</v>
      </c>
      <c r="J585">
        <v>541</v>
      </c>
      <c r="K585">
        <v>0</v>
      </c>
      <c r="L585">
        <v>0</v>
      </c>
      <c r="M585">
        <v>0</v>
      </c>
      <c r="N585">
        <v>230</v>
      </c>
      <c r="O585">
        <v>171</v>
      </c>
      <c r="P585">
        <v>330</v>
      </c>
      <c r="S585">
        <v>541</v>
      </c>
      <c r="T585">
        <v>906.59999999999945</v>
      </c>
      <c r="U585">
        <v>958.39999999999873</v>
      </c>
      <c r="V585">
        <v>906.59999999999945</v>
      </c>
      <c r="W585">
        <v>2267.1999999999989</v>
      </c>
      <c r="X585">
        <v>2190.5249999999996</v>
      </c>
      <c r="Y585">
        <v>2465.1999999999998</v>
      </c>
    </row>
    <row r="586" spans="1:25" x14ac:dyDescent="0.35">
      <c r="A586">
        <v>542</v>
      </c>
      <c r="B586">
        <v>906.59999999999945</v>
      </c>
      <c r="C586">
        <v>990.77499999999964</v>
      </c>
      <c r="D586">
        <v>906.59999999999945</v>
      </c>
      <c r="E586">
        <v>-1294.8000000000002</v>
      </c>
      <c r="F586">
        <v>-362.40000000000055</v>
      </c>
      <c r="G586">
        <v>-2628.6500000000005</v>
      </c>
      <c r="J586">
        <v>542</v>
      </c>
      <c r="K586">
        <v>0</v>
      </c>
      <c r="L586">
        <v>0</v>
      </c>
      <c r="M586">
        <v>0</v>
      </c>
      <c r="N586">
        <v>239</v>
      </c>
      <c r="O586">
        <v>185</v>
      </c>
      <c r="P586">
        <v>347</v>
      </c>
      <c r="S586">
        <v>542</v>
      </c>
      <c r="T586">
        <v>906.59999999999945</v>
      </c>
      <c r="U586">
        <v>958.39999999999964</v>
      </c>
      <c r="V586">
        <v>906.59999999999945</v>
      </c>
      <c r="W586">
        <v>2273.1999999999998</v>
      </c>
      <c r="X586">
        <v>2270.3249999999998</v>
      </c>
      <c r="Y586">
        <v>1598.518665320883</v>
      </c>
    </row>
    <row r="587" spans="1:25" x14ac:dyDescent="0.35">
      <c r="A587">
        <v>543</v>
      </c>
      <c r="B587">
        <v>906.59999999999945</v>
      </c>
      <c r="C587">
        <v>990.77499999999964</v>
      </c>
      <c r="D587">
        <v>906.60000000000036</v>
      </c>
      <c r="E587">
        <v>-1035.8000000000002</v>
      </c>
      <c r="F587">
        <v>-1068.1750000000011</v>
      </c>
      <c r="G587">
        <v>-2486.1999999999998</v>
      </c>
      <c r="J587">
        <v>543</v>
      </c>
      <c r="K587">
        <v>0</v>
      </c>
      <c r="L587">
        <v>0</v>
      </c>
      <c r="M587">
        <v>0</v>
      </c>
      <c r="N587">
        <v>208</v>
      </c>
      <c r="O587">
        <v>168</v>
      </c>
      <c r="P587">
        <v>335</v>
      </c>
      <c r="S587">
        <v>543</v>
      </c>
      <c r="T587">
        <v>906.59999999999945</v>
      </c>
      <c r="U587">
        <v>990.77499999999873</v>
      </c>
      <c r="V587">
        <v>906.59999999999945</v>
      </c>
      <c r="W587">
        <v>2279.1999999999994</v>
      </c>
      <c r="X587">
        <v>2257.4749999999999</v>
      </c>
      <c r="Y587">
        <v>715.15356653727304</v>
      </c>
    </row>
    <row r="588" spans="1:25" x14ac:dyDescent="0.35">
      <c r="A588">
        <v>544</v>
      </c>
      <c r="B588">
        <v>906.59999999999945</v>
      </c>
      <c r="C588">
        <v>984.29999999999927</v>
      </c>
      <c r="D588">
        <v>906.59999999999945</v>
      </c>
      <c r="E588">
        <v>-841.55000000000018</v>
      </c>
      <c r="F588">
        <v>-427.15000000000055</v>
      </c>
      <c r="G588">
        <v>-2317.8500000000004</v>
      </c>
      <c r="J588">
        <v>544</v>
      </c>
      <c r="K588">
        <v>0</v>
      </c>
      <c r="L588">
        <v>0</v>
      </c>
      <c r="M588">
        <v>0</v>
      </c>
      <c r="N588">
        <v>218</v>
      </c>
      <c r="O588">
        <v>193</v>
      </c>
      <c r="P588">
        <v>304</v>
      </c>
      <c r="S588">
        <v>544</v>
      </c>
      <c r="T588">
        <v>906.59999999999945</v>
      </c>
      <c r="U588">
        <v>984.29999999999927</v>
      </c>
      <c r="V588">
        <v>906.59999999999945</v>
      </c>
      <c r="W588">
        <v>2235.1999999999998</v>
      </c>
      <c r="X588">
        <v>2224.4249999999993</v>
      </c>
      <c r="Y588">
        <v>2435.1999999999998</v>
      </c>
    </row>
    <row r="589" spans="1:25" x14ac:dyDescent="0.35">
      <c r="A589">
        <v>545</v>
      </c>
      <c r="B589">
        <v>906.59999999999945</v>
      </c>
      <c r="C589">
        <v>997.25</v>
      </c>
      <c r="D589">
        <v>906.59999999999945</v>
      </c>
      <c r="E589">
        <v>-815.65000000000055</v>
      </c>
      <c r="F589">
        <v>-576.07500000000073</v>
      </c>
      <c r="G589">
        <v>-2356.6999999999998</v>
      </c>
      <c r="J589">
        <v>545</v>
      </c>
      <c r="K589">
        <v>0</v>
      </c>
      <c r="L589">
        <v>0</v>
      </c>
      <c r="M589">
        <v>0</v>
      </c>
      <c r="N589">
        <v>231</v>
      </c>
      <c r="O589">
        <v>165</v>
      </c>
      <c r="P589">
        <v>320</v>
      </c>
      <c r="S589">
        <v>545</v>
      </c>
      <c r="T589">
        <v>906.59999999999945</v>
      </c>
      <c r="U589">
        <v>977.82499999999891</v>
      </c>
      <c r="V589">
        <v>906.59999999999945</v>
      </c>
      <c r="W589">
        <v>2285.1999999999998</v>
      </c>
      <c r="X589">
        <v>2205.3749999999995</v>
      </c>
      <c r="Y589">
        <v>2485.1999999999998</v>
      </c>
    </row>
    <row r="590" spans="1:25" x14ac:dyDescent="0.35">
      <c r="A590">
        <v>546</v>
      </c>
      <c r="B590">
        <v>906.59999999999945</v>
      </c>
      <c r="C590">
        <v>977.82499999999891</v>
      </c>
      <c r="D590">
        <v>906.59999999999945</v>
      </c>
      <c r="E590">
        <v>-1152.3500000000004</v>
      </c>
      <c r="F590">
        <v>-330.02499999999964</v>
      </c>
      <c r="G590">
        <v>-2227.2000000000007</v>
      </c>
      <c r="J590">
        <v>546</v>
      </c>
      <c r="K590">
        <v>0</v>
      </c>
      <c r="L590">
        <v>0</v>
      </c>
      <c r="M590">
        <v>0</v>
      </c>
      <c r="N590">
        <v>237</v>
      </c>
      <c r="O590">
        <v>180</v>
      </c>
      <c r="P590">
        <v>312</v>
      </c>
      <c r="S590">
        <v>546</v>
      </c>
      <c r="T590">
        <v>906.59999999999945</v>
      </c>
      <c r="U590">
        <v>945.44999999999982</v>
      </c>
      <c r="V590">
        <v>906.59999999999945</v>
      </c>
      <c r="W590">
        <v>2261.1999999999994</v>
      </c>
      <c r="X590">
        <v>2210.8999999999996</v>
      </c>
      <c r="Y590">
        <v>2437.1999999999989</v>
      </c>
    </row>
    <row r="591" spans="1:25" x14ac:dyDescent="0.35">
      <c r="A591">
        <v>547</v>
      </c>
      <c r="B591">
        <v>906.59999999999945</v>
      </c>
      <c r="C591">
        <v>997.25</v>
      </c>
      <c r="D591">
        <v>906.59999999999945</v>
      </c>
      <c r="E591">
        <v>-1022.8500000000004</v>
      </c>
      <c r="F591">
        <v>-336.5</v>
      </c>
      <c r="G591">
        <v>-2499.1500000000005</v>
      </c>
      <c r="J591">
        <v>547</v>
      </c>
      <c r="K591">
        <v>0</v>
      </c>
      <c r="L591">
        <v>0</v>
      </c>
      <c r="M591">
        <v>0</v>
      </c>
      <c r="N591">
        <v>216</v>
      </c>
      <c r="O591">
        <v>199</v>
      </c>
      <c r="P591">
        <v>327</v>
      </c>
      <c r="S591">
        <v>547</v>
      </c>
      <c r="T591">
        <v>906.59999999999945</v>
      </c>
      <c r="U591">
        <v>971.34999999999945</v>
      </c>
      <c r="V591">
        <v>906.59999999999945</v>
      </c>
      <c r="W591">
        <v>1703.5810656661256</v>
      </c>
      <c r="X591">
        <v>2290.3249999999998</v>
      </c>
      <c r="Y591">
        <v>570.35647347708618</v>
      </c>
    </row>
    <row r="592" spans="1:25" x14ac:dyDescent="0.35">
      <c r="A592">
        <v>548</v>
      </c>
      <c r="B592">
        <v>906.59999999999945</v>
      </c>
      <c r="C592">
        <v>997.25</v>
      </c>
      <c r="D592">
        <v>906.59999999999945</v>
      </c>
      <c r="E592">
        <v>-1281.8500000000004</v>
      </c>
      <c r="F592">
        <v>-485.42500000000109</v>
      </c>
      <c r="G592">
        <v>-2240.1500000000005</v>
      </c>
      <c r="J592">
        <v>548</v>
      </c>
      <c r="K592">
        <v>0</v>
      </c>
      <c r="L592">
        <v>0</v>
      </c>
      <c r="M592">
        <v>0</v>
      </c>
      <c r="N592">
        <v>230</v>
      </c>
      <c r="O592">
        <v>168</v>
      </c>
      <c r="P592">
        <v>350</v>
      </c>
      <c r="S592">
        <v>548</v>
      </c>
      <c r="T592">
        <v>906.59999999999945</v>
      </c>
      <c r="U592">
        <v>997.25</v>
      </c>
      <c r="V592">
        <v>906.59999999999945</v>
      </c>
      <c r="W592">
        <v>1578.7591446185138</v>
      </c>
      <c r="X592">
        <v>953.39956233787916</v>
      </c>
      <c r="Y592">
        <v>2419.1999999999989</v>
      </c>
    </row>
    <row r="593" spans="1:25" x14ac:dyDescent="0.35">
      <c r="A593">
        <v>549</v>
      </c>
      <c r="B593">
        <v>906.59999999999945</v>
      </c>
      <c r="C593">
        <v>1016.6749999999993</v>
      </c>
      <c r="D593">
        <v>906.60000000000036</v>
      </c>
      <c r="E593">
        <v>-1217.1000000000004</v>
      </c>
      <c r="F593">
        <v>-427.15000000000055</v>
      </c>
      <c r="G593">
        <v>-2097.7000000000007</v>
      </c>
      <c r="J593">
        <v>549</v>
      </c>
      <c r="K593">
        <v>0</v>
      </c>
      <c r="L593">
        <v>0</v>
      </c>
      <c r="M593">
        <v>0</v>
      </c>
      <c r="N593">
        <v>229</v>
      </c>
      <c r="O593">
        <v>181</v>
      </c>
      <c r="P593">
        <v>306</v>
      </c>
      <c r="S593">
        <v>549</v>
      </c>
      <c r="T593">
        <v>906.59999999999945</v>
      </c>
      <c r="U593">
        <v>984.29999999999927</v>
      </c>
      <c r="V593">
        <v>906.59999999999945</v>
      </c>
      <c r="W593">
        <v>2299.1999999999994</v>
      </c>
      <c r="X593">
        <v>2223.9499999999994</v>
      </c>
      <c r="Y593">
        <v>1530.7382708005948</v>
      </c>
    </row>
    <row r="594" spans="1:25" x14ac:dyDescent="0.35">
      <c r="A594">
        <v>550</v>
      </c>
      <c r="B594">
        <v>906.59999999999945</v>
      </c>
      <c r="C594">
        <v>938.97500000000036</v>
      </c>
      <c r="D594">
        <v>906.59999999999945</v>
      </c>
      <c r="E594">
        <v>-1243</v>
      </c>
      <c r="F594">
        <v>-673.20000000000073</v>
      </c>
      <c r="G594">
        <v>-2628.6500000000005</v>
      </c>
      <c r="J594">
        <v>550</v>
      </c>
      <c r="K594">
        <v>0</v>
      </c>
      <c r="L594">
        <v>0</v>
      </c>
      <c r="M594">
        <v>0</v>
      </c>
      <c r="N594">
        <v>205</v>
      </c>
      <c r="O594">
        <v>172</v>
      </c>
      <c r="P594">
        <v>307</v>
      </c>
      <c r="S594">
        <v>550</v>
      </c>
      <c r="T594">
        <v>906.59999999999945</v>
      </c>
      <c r="U594">
        <v>964.875</v>
      </c>
      <c r="V594">
        <v>906.60000000000036</v>
      </c>
      <c r="W594">
        <v>-1255.9500000000007</v>
      </c>
      <c r="X594">
        <v>2239.9499999999998</v>
      </c>
      <c r="Y594">
        <v>2377.1999999999989</v>
      </c>
    </row>
    <row r="595" spans="1:25" x14ac:dyDescent="0.35">
      <c r="A595">
        <v>551</v>
      </c>
      <c r="B595">
        <v>906.59999999999945</v>
      </c>
      <c r="C595">
        <v>997.25</v>
      </c>
      <c r="D595">
        <v>919.55000000000018</v>
      </c>
      <c r="E595">
        <v>-1204.1500000000005</v>
      </c>
      <c r="F595">
        <v>-219.95000000000073</v>
      </c>
      <c r="G595">
        <v>-2136.5500000000002</v>
      </c>
      <c r="J595">
        <v>551</v>
      </c>
      <c r="K595">
        <v>0</v>
      </c>
      <c r="L595">
        <v>0</v>
      </c>
      <c r="M595">
        <v>0</v>
      </c>
      <c r="N595">
        <v>232</v>
      </c>
      <c r="O595">
        <v>183</v>
      </c>
      <c r="P595">
        <v>304</v>
      </c>
      <c r="S595">
        <v>551</v>
      </c>
      <c r="T595">
        <v>906.59999999999945</v>
      </c>
      <c r="U595">
        <v>958.39999999999873</v>
      </c>
      <c r="V595">
        <v>906.59999999999945</v>
      </c>
      <c r="W595">
        <v>2253.1999999999998</v>
      </c>
      <c r="X595">
        <v>1054.7913185202494</v>
      </c>
      <c r="Y595">
        <v>2429.1999999999989</v>
      </c>
    </row>
    <row r="596" spans="1:25" x14ac:dyDescent="0.35">
      <c r="A596">
        <v>552</v>
      </c>
      <c r="B596">
        <v>906.59999999999945</v>
      </c>
      <c r="C596">
        <v>951.92500000000018</v>
      </c>
      <c r="D596">
        <v>906.60000000000036</v>
      </c>
      <c r="E596">
        <v>-828.60000000000036</v>
      </c>
      <c r="F596">
        <v>-472.47500000000036</v>
      </c>
      <c r="G596">
        <v>-2110.6500000000005</v>
      </c>
      <c r="J596">
        <v>552</v>
      </c>
      <c r="K596">
        <v>0</v>
      </c>
      <c r="L596">
        <v>0</v>
      </c>
      <c r="M596">
        <v>0</v>
      </c>
      <c r="N596">
        <v>227</v>
      </c>
      <c r="O596">
        <v>194</v>
      </c>
      <c r="P596">
        <v>328</v>
      </c>
      <c r="S596">
        <v>552</v>
      </c>
      <c r="T596">
        <v>906.59999999999945</v>
      </c>
      <c r="U596">
        <v>984.29999999999927</v>
      </c>
      <c r="V596">
        <v>906.59999999999945</v>
      </c>
      <c r="W596">
        <v>259.82350943001461</v>
      </c>
      <c r="X596">
        <v>2177.5749999999998</v>
      </c>
      <c r="Y596">
        <v>2484.1499999999996</v>
      </c>
    </row>
    <row r="597" spans="1:25" x14ac:dyDescent="0.35">
      <c r="A597">
        <v>553</v>
      </c>
      <c r="B597">
        <v>906.59999999999945</v>
      </c>
      <c r="C597">
        <v>945.44999999999982</v>
      </c>
      <c r="D597">
        <v>906.59999999999945</v>
      </c>
      <c r="E597">
        <v>-712.05000000000018</v>
      </c>
      <c r="F597">
        <v>-278.22500000000036</v>
      </c>
      <c r="G597">
        <v>-2369.6500000000005</v>
      </c>
      <c r="J597">
        <v>553</v>
      </c>
      <c r="K597">
        <v>0</v>
      </c>
      <c r="L597">
        <v>0</v>
      </c>
      <c r="M597">
        <v>0</v>
      </c>
      <c r="N597">
        <v>233</v>
      </c>
      <c r="O597">
        <v>193</v>
      </c>
      <c r="P597">
        <v>320</v>
      </c>
      <c r="S597">
        <v>553</v>
      </c>
      <c r="T597">
        <v>906.59999999999945</v>
      </c>
      <c r="U597">
        <v>997.24999999999909</v>
      </c>
      <c r="V597">
        <v>906.59999999999945</v>
      </c>
      <c r="W597">
        <v>2251.1999999999994</v>
      </c>
      <c r="X597">
        <v>2243.8500000000004</v>
      </c>
      <c r="Y597">
        <v>2457.1999999999998</v>
      </c>
    </row>
    <row r="598" spans="1:25" x14ac:dyDescent="0.35">
      <c r="A598">
        <v>554</v>
      </c>
      <c r="B598">
        <v>906.59999999999945</v>
      </c>
      <c r="C598">
        <v>984.29999999999927</v>
      </c>
      <c r="D598">
        <v>828.89999999999964</v>
      </c>
      <c r="E598">
        <v>-1178.25</v>
      </c>
      <c r="F598">
        <v>-420.67500000000109</v>
      </c>
      <c r="G598">
        <v>-2421.4499999999998</v>
      </c>
      <c r="J598">
        <v>554</v>
      </c>
      <c r="K598">
        <v>0</v>
      </c>
      <c r="L598">
        <v>0</v>
      </c>
      <c r="M598">
        <v>0</v>
      </c>
      <c r="N598">
        <v>226</v>
      </c>
      <c r="O598">
        <v>178</v>
      </c>
      <c r="P598">
        <v>318</v>
      </c>
      <c r="S598">
        <v>554</v>
      </c>
      <c r="T598">
        <v>906.59999999999945</v>
      </c>
      <c r="U598">
        <v>971.34999999999945</v>
      </c>
      <c r="V598">
        <v>906.60000000000036</v>
      </c>
      <c r="W598">
        <v>2287.1999999999989</v>
      </c>
      <c r="X598">
        <v>2229.474999999999</v>
      </c>
      <c r="Y598">
        <v>2455.1999999999998</v>
      </c>
    </row>
    <row r="599" spans="1:25" x14ac:dyDescent="0.35">
      <c r="A599">
        <v>555</v>
      </c>
      <c r="B599">
        <v>906.59999999999945</v>
      </c>
      <c r="C599">
        <v>977.82499999999982</v>
      </c>
      <c r="D599">
        <v>906.59999999999945</v>
      </c>
      <c r="E599">
        <v>-1165.3000000000002</v>
      </c>
      <c r="F599">
        <v>-517.80000000000018</v>
      </c>
      <c r="G599">
        <v>-2188.3500000000004</v>
      </c>
      <c r="J599">
        <v>555</v>
      </c>
      <c r="K599">
        <v>0</v>
      </c>
      <c r="L599">
        <v>0</v>
      </c>
      <c r="M599">
        <v>0</v>
      </c>
      <c r="N599">
        <v>237</v>
      </c>
      <c r="O599">
        <v>195</v>
      </c>
      <c r="P599">
        <v>319</v>
      </c>
      <c r="S599">
        <v>555</v>
      </c>
      <c r="T599">
        <v>906.59999999999945</v>
      </c>
      <c r="U599">
        <v>964.87499999999909</v>
      </c>
      <c r="V599">
        <v>906.59999999999945</v>
      </c>
      <c r="W599">
        <v>2243.1999999999998</v>
      </c>
      <c r="X599">
        <v>1945.6000760241245</v>
      </c>
      <c r="Y599">
        <v>2429.1999999999989</v>
      </c>
    </row>
    <row r="600" spans="1:25" x14ac:dyDescent="0.35">
      <c r="A600">
        <v>556</v>
      </c>
      <c r="B600">
        <v>906.59999999999945</v>
      </c>
      <c r="C600">
        <v>964.87499999999909</v>
      </c>
      <c r="D600">
        <v>906.59999999999945</v>
      </c>
      <c r="E600">
        <v>-1307.75</v>
      </c>
      <c r="F600">
        <v>-517.80000000000018</v>
      </c>
      <c r="G600">
        <v>-2240.1500000000005</v>
      </c>
      <c r="J600">
        <v>556</v>
      </c>
      <c r="K600">
        <v>0</v>
      </c>
      <c r="L600">
        <v>0</v>
      </c>
      <c r="M600">
        <v>0</v>
      </c>
      <c r="N600">
        <v>226</v>
      </c>
      <c r="O600">
        <v>186</v>
      </c>
      <c r="P600">
        <v>334</v>
      </c>
      <c r="S600">
        <v>556</v>
      </c>
      <c r="T600">
        <v>906.59999999999945</v>
      </c>
      <c r="U600">
        <v>964.87499999999909</v>
      </c>
      <c r="V600">
        <v>906.59999999999945</v>
      </c>
      <c r="W600">
        <v>453.45797728971502</v>
      </c>
      <c r="X600">
        <v>2214.5249999999992</v>
      </c>
      <c r="Y600">
        <v>-2123.6000000000004</v>
      </c>
    </row>
    <row r="601" spans="1:25" x14ac:dyDescent="0.35">
      <c r="A601">
        <v>557</v>
      </c>
      <c r="B601">
        <v>906.59999999999945</v>
      </c>
      <c r="C601">
        <v>964.875</v>
      </c>
      <c r="D601">
        <v>906.59999999999945</v>
      </c>
      <c r="E601">
        <v>-1074.6500000000005</v>
      </c>
      <c r="F601">
        <v>-304.125</v>
      </c>
      <c r="G601">
        <v>-2343.75</v>
      </c>
      <c r="J601">
        <v>557</v>
      </c>
      <c r="K601">
        <v>0</v>
      </c>
      <c r="L601">
        <v>0</v>
      </c>
      <c r="M601">
        <v>0</v>
      </c>
      <c r="N601">
        <v>232</v>
      </c>
      <c r="O601">
        <v>187</v>
      </c>
      <c r="P601">
        <v>348</v>
      </c>
      <c r="S601">
        <v>557</v>
      </c>
      <c r="T601">
        <v>906.59999999999945</v>
      </c>
      <c r="U601">
        <v>945.44999999999982</v>
      </c>
      <c r="V601">
        <v>906.59999999999945</v>
      </c>
      <c r="W601">
        <v>-913.63353123738329</v>
      </c>
      <c r="X601">
        <v>2315.3749999999995</v>
      </c>
      <c r="Y601">
        <v>-1105.3293150824759</v>
      </c>
    </row>
    <row r="602" spans="1:25" x14ac:dyDescent="0.35">
      <c r="A602">
        <v>558</v>
      </c>
      <c r="B602">
        <v>906.59999999999945</v>
      </c>
      <c r="C602">
        <v>964.87499999999909</v>
      </c>
      <c r="D602">
        <v>906.59999999999945</v>
      </c>
      <c r="E602">
        <v>-958.10000000000036</v>
      </c>
      <c r="F602">
        <v>-297.64999999999964</v>
      </c>
      <c r="G602">
        <v>-2343.75</v>
      </c>
      <c r="J602">
        <v>558</v>
      </c>
      <c r="K602">
        <v>0</v>
      </c>
      <c r="L602">
        <v>0</v>
      </c>
      <c r="M602">
        <v>0</v>
      </c>
      <c r="N602">
        <v>228</v>
      </c>
      <c r="O602">
        <v>176</v>
      </c>
      <c r="P602">
        <v>302</v>
      </c>
      <c r="S602">
        <v>558</v>
      </c>
      <c r="T602">
        <v>906.59999999999945</v>
      </c>
      <c r="U602">
        <v>932.5</v>
      </c>
      <c r="V602">
        <v>906.59999999999945</v>
      </c>
      <c r="W602">
        <v>251.68133747595925</v>
      </c>
      <c r="X602">
        <v>2231.4750000000004</v>
      </c>
      <c r="Y602">
        <v>-1020.2472805323919</v>
      </c>
    </row>
    <row r="603" spans="1:25" x14ac:dyDescent="0.35">
      <c r="A603">
        <v>559</v>
      </c>
      <c r="B603">
        <v>906.59999999999945</v>
      </c>
      <c r="C603">
        <v>971.34999999999945</v>
      </c>
      <c r="D603">
        <v>906.60000000000036</v>
      </c>
      <c r="E603">
        <v>-1631.5</v>
      </c>
      <c r="F603">
        <v>-459.52499999999964</v>
      </c>
      <c r="G603">
        <v>-2279</v>
      </c>
      <c r="J603">
        <v>559</v>
      </c>
      <c r="K603">
        <v>0</v>
      </c>
      <c r="L603">
        <v>0</v>
      </c>
      <c r="M603">
        <v>0</v>
      </c>
      <c r="N603">
        <v>232</v>
      </c>
      <c r="O603">
        <v>202</v>
      </c>
      <c r="P603">
        <v>308</v>
      </c>
      <c r="S603">
        <v>559</v>
      </c>
      <c r="T603">
        <v>906.59999999999945</v>
      </c>
      <c r="U603">
        <v>971.35000000000036</v>
      </c>
      <c r="V603">
        <v>906.59999999999945</v>
      </c>
      <c r="W603">
        <v>2267.1999999999989</v>
      </c>
      <c r="X603">
        <v>2206.5249999999992</v>
      </c>
      <c r="Y603">
        <v>2445.1999999999998</v>
      </c>
    </row>
    <row r="604" spans="1:25" x14ac:dyDescent="0.35">
      <c r="A604">
        <v>560</v>
      </c>
      <c r="B604">
        <v>906.59999999999945</v>
      </c>
      <c r="C604">
        <v>977.82499999999891</v>
      </c>
      <c r="D604">
        <v>906.60000000000036</v>
      </c>
      <c r="E604">
        <v>-919.25</v>
      </c>
      <c r="F604">
        <v>-433.625</v>
      </c>
      <c r="G604">
        <v>-2110.6500000000005</v>
      </c>
      <c r="J604">
        <v>560</v>
      </c>
      <c r="K604">
        <v>0</v>
      </c>
      <c r="L604">
        <v>0</v>
      </c>
      <c r="M604">
        <v>5</v>
      </c>
      <c r="N604">
        <v>228</v>
      </c>
      <c r="O604">
        <v>182</v>
      </c>
      <c r="P604">
        <v>327</v>
      </c>
      <c r="S604">
        <v>560</v>
      </c>
      <c r="T604">
        <v>906.59999999999945</v>
      </c>
      <c r="U604">
        <v>971.35000000000036</v>
      </c>
      <c r="V604">
        <v>906.60000000000036</v>
      </c>
      <c r="W604">
        <v>2255.1999999999998</v>
      </c>
      <c r="X604">
        <v>1194.8658100050973</v>
      </c>
      <c r="Y604">
        <v>2431.1999999999998</v>
      </c>
    </row>
    <row r="605" spans="1:25" x14ac:dyDescent="0.35">
      <c r="A605">
        <v>561</v>
      </c>
      <c r="B605">
        <v>906.59999999999945</v>
      </c>
      <c r="C605">
        <v>945.44999999999891</v>
      </c>
      <c r="D605">
        <v>906.60000000000036</v>
      </c>
      <c r="E605">
        <v>-1048.75</v>
      </c>
      <c r="F605">
        <v>-433.625</v>
      </c>
      <c r="G605">
        <v>-2330.8000000000002</v>
      </c>
      <c r="J605">
        <v>561</v>
      </c>
      <c r="K605">
        <v>0</v>
      </c>
      <c r="L605">
        <v>0</v>
      </c>
      <c r="M605">
        <v>0</v>
      </c>
      <c r="N605">
        <v>209</v>
      </c>
      <c r="O605">
        <v>199</v>
      </c>
      <c r="P605">
        <v>308</v>
      </c>
      <c r="S605">
        <v>561</v>
      </c>
      <c r="T605">
        <v>906.59999999999945</v>
      </c>
      <c r="U605">
        <v>964.875</v>
      </c>
      <c r="V605">
        <v>906.59999999999945</v>
      </c>
      <c r="W605">
        <v>2309.1999999999994</v>
      </c>
      <c r="X605">
        <v>2298.4249999999993</v>
      </c>
      <c r="Y605">
        <v>2463.1999999999998</v>
      </c>
    </row>
    <row r="606" spans="1:25" x14ac:dyDescent="0.35">
      <c r="A606">
        <v>562</v>
      </c>
      <c r="B606">
        <v>906.59999999999945</v>
      </c>
      <c r="C606">
        <v>990.77499999999964</v>
      </c>
      <c r="D606">
        <v>906.60000000000036</v>
      </c>
      <c r="E606">
        <v>-854.5</v>
      </c>
      <c r="F606">
        <v>-459.52499999999964</v>
      </c>
      <c r="G606">
        <v>-2330.8000000000002</v>
      </c>
      <c r="J606">
        <v>562</v>
      </c>
      <c r="K606">
        <v>0</v>
      </c>
      <c r="L606">
        <v>0</v>
      </c>
      <c r="M606">
        <v>0</v>
      </c>
      <c r="N606">
        <v>235</v>
      </c>
      <c r="O606">
        <v>176</v>
      </c>
      <c r="P606">
        <v>331</v>
      </c>
      <c r="S606">
        <v>562</v>
      </c>
      <c r="T606">
        <v>906.59999999999945</v>
      </c>
      <c r="U606">
        <v>971.34999999999945</v>
      </c>
      <c r="V606">
        <v>906.60000000000036</v>
      </c>
      <c r="W606">
        <v>1229.6365820165483</v>
      </c>
      <c r="X606">
        <v>-569.60000000000036</v>
      </c>
      <c r="Y606">
        <v>2467.1999999999998</v>
      </c>
    </row>
    <row r="607" spans="1:25" x14ac:dyDescent="0.35">
      <c r="A607">
        <v>563</v>
      </c>
      <c r="B607">
        <v>906.59999999999945</v>
      </c>
      <c r="C607">
        <v>945.44999999999982</v>
      </c>
      <c r="D607">
        <v>906.59999999999945</v>
      </c>
      <c r="E607">
        <v>-725</v>
      </c>
      <c r="F607">
        <v>-375.35000000000036</v>
      </c>
      <c r="G607">
        <v>-2317.8500000000004</v>
      </c>
      <c r="J607">
        <v>563</v>
      </c>
      <c r="K607">
        <v>0</v>
      </c>
      <c r="L607">
        <v>0</v>
      </c>
      <c r="M607">
        <v>0</v>
      </c>
      <c r="N607">
        <v>216</v>
      </c>
      <c r="O607">
        <v>184</v>
      </c>
      <c r="P607">
        <v>339</v>
      </c>
      <c r="S607">
        <v>563</v>
      </c>
      <c r="T607">
        <v>906.59999999999945</v>
      </c>
      <c r="U607">
        <v>971.34999999999945</v>
      </c>
      <c r="V607">
        <v>906.59999999999945</v>
      </c>
      <c r="W607">
        <v>2283.1999999999998</v>
      </c>
      <c r="X607">
        <v>-180.44342690079066</v>
      </c>
      <c r="Y607">
        <v>-1491.2777029931854</v>
      </c>
    </row>
    <row r="608" spans="1:25" x14ac:dyDescent="0.35">
      <c r="A608">
        <v>564</v>
      </c>
      <c r="B608">
        <v>906.59999999999945</v>
      </c>
      <c r="C608">
        <v>945.44999999999982</v>
      </c>
      <c r="D608">
        <v>906.60000000000036</v>
      </c>
      <c r="E608">
        <v>-1281.8500000000004</v>
      </c>
      <c r="F608">
        <v>-394.77499999999964</v>
      </c>
      <c r="G608">
        <v>-2434.4000000000005</v>
      </c>
      <c r="J608">
        <v>564</v>
      </c>
      <c r="K608">
        <v>0</v>
      </c>
      <c r="L608">
        <v>0</v>
      </c>
      <c r="M608">
        <v>0</v>
      </c>
      <c r="N608">
        <v>226</v>
      </c>
      <c r="O608">
        <v>190</v>
      </c>
      <c r="P608">
        <v>340</v>
      </c>
      <c r="S608">
        <v>564</v>
      </c>
      <c r="T608">
        <v>906.59999999999945</v>
      </c>
      <c r="U608">
        <v>990.77499999999964</v>
      </c>
      <c r="V608">
        <v>906.59999999999945</v>
      </c>
      <c r="W608">
        <v>2293.1999999999998</v>
      </c>
      <c r="X608">
        <v>595.03006383565184</v>
      </c>
      <c r="Y608">
        <v>-1074.7382269718812</v>
      </c>
    </row>
    <row r="609" spans="1:25" x14ac:dyDescent="0.35">
      <c r="A609">
        <v>565</v>
      </c>
      <c r="B609">
        <v>906.59999999999945</v>
      </c>
      <c r="C609">
        <v>958.39999999999964</v>
      </c>
      <c r="D609">
        <v>906.59999999999945</v>
      </c>
      <c r="E609">
        <v>-1139.4000000000005</v>
      </c>
      <c r="F609">
        <v>-802.70000000000073</v>
      </c>
      <c r="G609">
        <v>-1955.25</v>
      </c>
      <c r="J609">
        <v>565</v>
      </c>
      <c r="K609">
        <v>0</v>
      </c>
      <c r="L609">
        <v>0</v>
      </c>
      <c r="M609">
        <v>0</v>
      </c>
      <c r="N609">
        <v>218</v>
      </c>
      <c r="O609">
        <v>178</v>
      </c>
      <c r="P609">
        <v>320</v>
      </c>
      <c r="S609">
        <v>565</v>
      </c>
      <c r="T609">
        <v>906.59999999999945</v>
      </c>
      <c r="U609">
        <v>1010.1999999999998</v>
      </c>
      <c r="V609">
        <v>906.60000000000036</v>
      </c>
      <c r="W609">
        <v>2285.1999999999998</v>
      </c>
      <c r="X609">
        <v>2189.5749999999994</v>
      </c>
      <c r="Y609">
        <v>805.59059092916959</v>
      </c>
    </row>
    <row r="610" spans="1:25" x14ac:dyDescent="0.35">
      <c r="A610">
        <v>566</v>
      </c>
      <c r="B610">
        <v>906.59999999999945</v>
      </c>
      <c r="C610">
        <v>977.82499999999891</v>
      </c>
      <c r="D610">
        <v>906.59999999999945</v>
      </c>
      <c r="E610">
        <v>-1087.6000000000004</v>
      </c>
      <c r="F610">
        <v>-504.85000000000036</v>
      </c>
      <c r="G610">
        <v>-1994.1000000000004</v>
      </c>
      <c r="J610">
        <v>566</v>
      </c>
      <c r="K610">
        <v>0</v>
      </c>
      <c r="L610">
        <v>0</v>
      </c>
      <c r="M610">
        <v>0</v>
      </c>
      <c r="N610">
        <v>229</v>
      </c>
      <c r="O610">
        <v>168</v>
      </c>
      <c r="P610">
        <v>354</v>
      </c>
      <c r="S610">
        <v>566</v>
      </c>
      <c r="T610">
        <v>906.59999999999945</v>
      </c>
      <c r="U610">
        <v>1023.1499999999996</v>
      </c>
      <c r="V610">
        <v>906.59999999999945</v>
      </c>
      <c r="W610">
        <v>-1126.4500000000007</v>
      </c>
      <c r="X610">
        <v>2215</v>
      </c>
      <c r="Y610">
        <v>-1783.9854551293427</v>
      </c>
    </row>
    <row r="611" spans="1:25" x14ac:dyDescent="0.35">
      <c r="A611">
        <v>567</v>
      </c>
      <c r="B611">
        <v>906.59999999999945</v>
      </c>
      <c r="C611">
        <v>964.87499999999909</v>
      </c>
      <c r="D611">
        <v>906.60000000000036</v>
      </c>
      <c r="E611">
        <v>-1230.0500000000002</v>
      </c>
      <c r="F611">
        <v>-744.42500000000109</v>
      </c>
      <c r="G611">
        <v>-2408.5</v>
      </c>
      <c r="J611">
        <v>567</v>
      </c>
      <c r="K611">
        <v>0</v>
      </c>
      <c r="L611">
        <v>0</v>
      </c>
      <c r="M611">
        <v>0</v>
      </c>
      <c r="N611">
        <v>221</v>
      </c>
      <c r="O611">
        <v>198</v>
      </c>
      <c r="P611">
        <v>307</v>
      </c>
      <c r="S611">
        <v>567</v>
      </c>
      <c r="T611">
        <v>906.59999999999945</v>
      </c>
      <c r="U611">
        <v>984.29999999999927</v>
      </c>
      <c r="V611">
        <v>906.59999999999945</v>
      </c>
      <c r="W611">
        <v>2221.1999999999994</v>
      </c>
      <c r="X611">
        <v>2236.9999999999991</v>
      </c>
      <c r="Y611">
        <v>1657.7676882215678</v>
      </c>
    </row>
    <row r="612" spans="1:25" x14ac:dyDescent="0.35">
      <c r="A612">
        <v>568</v>
      </c>
      <c r="B612">
        <v>906.59999999999945</v>
      </c>
      <c r="C612">
        <v>977.82499999999982</v>
      </c>
      <c r="D612">
        <v>906.59999999999945</v>
      </c>
      <c r="E612">
        <v>-1100.5500000000002</v>
      </c>
      <c r="F612">
        <v>-433.625</v>
      </c>
      <c r="G612">
        <v>-2317.8500000000004</v>
      </c>
      <c r="J612">
        <v>568</v>
      </c>
      <c r="K612">
        <v>0</v>
      </c>
      <c r="L612">
        <v>0</v>
      </c>
      <c r="M612">
        <v>0</v>
      </c>
      <c r="N612">
        <v>230</v>
      </c>
      <c r="O612">
        <v>193</v>
      </c>
      <c r="P612">
        <v>328</v>
      </c>
      <c r="S612">
        <v>568</v>
      </c>
      <c r="T612">
        <v>906.59999999999945</v>
      </c>
      <c r="U612">
        <v>990.77499999999964</v>
      </c>
      <c r="V612">
        <v>906.60000000000036</v>
      </c>
      <c r="W612">
        <v>2307.1999999999989</v>
      </c>
      <c r="X612">
        <v>2263.8500000000004</v>
      </c>
      <c r="Y612">
        <v>-2026.4725190697836</v>
      </c>
    </row>
    <row r="613" spans="1:25" x14ac:dyDescent="0.35">
      <c r="A613">
        <v>569</v>
      </c>
      <c r="B613">
        <v>906.59999999999945</v>
      </c>
      <c r="C613">
        <v>984.29999999999927</v>
      </c>
      <c r="D613">
        <v>906.59999999999945</v>
      </c>
      <c r="E613">
        <v>-1113.5</v>
      </c>
      <c r="F613">
        <v>-336.5</v>
      </c>
      <c r="G613">
        <v>-2512.1000000000004</v>
      </c>
      <c r="J613">
        <v>569</v>
      </c>
      <c r="K613">
        <v>0</v>
      </c>
      <c r="L613">
        <v>0</v>
      </c>
      <c r="M613">
        <v>0</v>
      </c>
      <c r="N613">
        <v>239</v>
      </c>
      <c r="O613">
        <v>187</v>
      </c>
      <c r="P613">
        <v>319</v>
      </c>
      <c r="S613">
        <v>569</v>
      </c>
      <c r="T613">
        <v>906.59999999999945</v>
      </c>
      <c r="U613">
        <v>984.29999999999927</v>
      </c>
      <c r="V613">
        <v>906.59999999999945</v>
      </c>
      <c r="W613">
        <v>-185.98298628879274</v>
      </c>
      <c r="X613">
        <v>2273.4749999999995</v>
      </c>
      <c r="Y613">
        <v>2471.1999999999998</v>
      </c>
    </row>
    <row r="614" spans="1:25" x14ac:dyDescent="0.35">
      <c r="A614">
        <v>570</v>
      </c>
      <c r="B614">
        <v>906.59999999999945</v>
      </c>
      <c r="C614">
        <v>958.39999999999964</v>
      </c>
      <c r="D614">
        <v>906.60000000000036</v>
      </c>
      <c r="E614">
        <v>-828.60000000000036</v>
      </c>
      <c r="F614">
        <v>-485.42500000000109</v>
      </c>
      <c r="G614">
        <v>-2058.8500000000004</v>
      </c>
      <c r="J614">
        <v>570</v>
      </c>
      <c r="K614">
        <v>0</v>
      </c>
      <c r="L614">
        <v>0</v>
      </c>
      <c r="M614">
        <v>0</v>
      </c>
      <c r="N614">
        <v>221</v>
      </c>
      <c r="O614">
        <v>213</v>
      </c>
      <c r="P614">
        <v>300</v>
      </c>
      <c r="S614">
        <v>570</v>
      </c>
      <c r="T614">
        <v>906.59999999999945</v>
      </c>
      <c r="U614">
        <v>964.87499999999909</v>
      </c>
      <c r="V614">
        <v>906.60000000000036</v>
      </c>
      <c r="W614">
        <v>2267.1999999999989</v>
      </c>
      <c r="X614">
        <v>2237.9499999999998</v>
      </c>
      <c r="Y614">
        <v>2497.1999999999998</v>
      </c>
    </row>
    <row r="615" spans="1:25" x14ac:dyDescent="0.35">
      <c r="A615">
        <v>571</v>
      </c>
      <c r="B615">
        <v>906.59999999999945</v>
      </c>
      <c r="C615">
        <v>1003.7249999999995</v>
      </c>
      <c r="D615">
        <v>906.60000000000036</v>
      </c>
      <c r="E615">
        <v>-1255.9500000000007</v>
      </c>
      <c r="F615">
        <v>-453.05000000000018</v>
      </c>
      <c r="G615">
        <v>-2473.25</v>
      </c>
      <c r="J615">
        <v>571</v>
      </c>
      <c r="K615">
        <v>0</v>
      </c>
      <c r="L615">
        <v>0</v>
      </c>
      <c r="M615">
        <v>0</v>
      </c>
      <c r="N615">
        <v>223</v>
      </c>
      <c r="O615">
        <v>198</v>
      </c>
      <c r="P615">
        <v>328</v>
      </c>
      <c r="S615">
        <v>571</v>
      </c>
      <c r="T615">
        <v>906.59999999999945</v>
      </c>
      <c r="U615">
        <v>977.82499999999891</v>
      </c>
      <c r="V615">
        <v>906.60000000000036</v>
      </c>
      <c r="W615">
        <v>92.519902054258409</v>
      </c>
      <c r="X615">
        <v>2212.9999999999995</v>
      </c>
      <c r="Y615">
        <v>-1027.6598316237325</v>
      </c>
    </row>
    <row r="616" spans="1:25" x14ac:dyDescent="0.35">
      <c r="A616">
        <v>572</v>
      </c>
      <c r="B616">
        <v>906.59999999999945</v>
      </c>
      <c r="C616">
        <v>958.39999999999964</v>
      </c>
      <c r="D616">
        <v>906.60000000000036</v>
      </c>
      <c r="E616">
        <v>-1294.8000000000002</v>
      </c>
      <c r="F616">
        <v>-427.14999999999964</v>
      </c>
      <c r="G616">
        <v>-2680.45</v>
      </c>
      <c r="J616">
        <v>572</v>
      </c>
      <c r="K616">
        <v>0</v>
      </c>
      <c r="L616">
        <v>0</v>
      </c>
      <c r="M616">
        <v>0</v>
      </c>
      <c r="N616">
        <v>212</v>
      </c>
      <c r="O616">
        <v>202</v>
      </c>
      <c r="P616">
        <v>330</v>
      </c>
      <c r="S616">
        <v>572</v>
      </c>
      <c r="T616">
        <v>906.59999999999945</v>
      </c>
      <c r="U616">
        <v>1010.1999999999998</v>
      </c>
      <c r="V616">
        <v>906.59999999999945</v>
      </c>
      <c r="W616">
        <v>2273.1999999999998</v>
      </c>
      <c r="X616">
        <v>2216.9999999999991</v>
      </c>
      <c r="Y616">
        <v>2041.4988565090234</v>
      </c>
    </row>
    <row r="617" spans="1:25" x14ac:dyDescent="0.35">
      <c r="A617">
        <v>573</v>
      </c>
      <c r="B617">
        <v>906.59999999999945</v>
      </c>
      <c r="C617">
        <v>951.92499999999927</v>
      </c>
      <c r="D617">
        <v>906.60000000000036</v>
      </c>
      <c r="E617">
        <v>-1139.4000000000005</v>
      </c>
      <c r="F617">
        <v>-446.57500000000073</v>
      </c>
      <c r="G617">
        <v>-2136.5500000000002</v>
      </c>
      <c r="J617">
        <v>573</v>
      </c>
      <c r="K617">
        <v>0</v>
      </c>
      <c r="L617">
        <v>0</v>
      </c>
      <c r="M617">
        <v>0</v>
      </c>
      <c r="N617">
        <v>228</v>
      </c>
      <c r="O617">
        <v>172</v>
      </c>
      <c r="P617">
        <v>309</v>
      </c>
      <c r="S617">
        <v>573</v>
      </c>
      <c r="T617">
        <v>906.59999999999945</v>
      </c>
      <c r="U617">
        <v>977.82499999999982</v>
      </c>
      <c r="V617">
        <v>906.59999999999945</v>
      </c>
      <c r="W617">
        <v>2241.1999999999994</v>
      </c>
      <c r="X617">
        <v>890.36006882231914</v>
      </c>
      <c r="Y617">
        <v>2156.9110817020401</v>
      </c>
    </row>
    <row r="618" spans="1:25" x14ac:dyDescent="0.35">
      <c r="A618">
        <v>574</v>
      </c>
      <c r="B618">
        <v>906.59999999999945</v>
      </c>
      <c r="C618">
        <v>977.82499999999891</v>
      </c>
      <c r="D618">
        <v>906.59999999999945</v>
      </c>
      <c r="E618">
        <v>-958.10000000000036</v>
      </c>
      <c r="F618">
        <v>-323.55000000000018</v>
      </c>
      <c r="G618">
        <v>-2512.1000000000004</v>
      </c>
      <c r="J618">
        <v>574</v>
      </c>
      <c r="K618">
        <v>0</v>
      </c>
      <c r="L618">
        <v>0</v>
      </c>
      <c r="M618">
        <v>0</v>
      </c>
      <c r="N618">
        <v>209</v>
      </c>
      <c r="O618">
        <v>184</v>
      </c>
      <c r="P618">
        <v>324</v>
      </c>
      <c r="S618">
        <v>574</v>
      </c>
      <c r="T618">
        <v>906.59999999999945</v>
      </c>
      <c r="U618">
        <v>997.24999999999909</v>
      </c>
      <c r="V618">
        <v>906.59999999999945</v>
      </c>
      <c r="W618">
        <v>1791.1543962281835</v>
      </c>
      <c r="X618">
        <v>2242.9999999999995</v>
      </c>
      <c r="Y618">
        <v>-2202.0385008776257</v>
      </c>
    </row>
    <row r="619" spans="1:25" x14ac:dyDescent="0.35">
      <c r="A619">
        <v>575</v>
      </c>
      <c r="B619">
        <v>906.59999999999945</v>
      </c>
      <c r="C619">
        <v>971.34999999999854</v>
      </c>
      <c r="D619">
        <v>919.54999999999927</v>
      </c>
      <c r="E619">
        <v>-1178.25</v>
      </c>
      <c r="F619">
        <v>-621.40000000000055</v>
      </c>
      <c r="G619">
        <v>-2110.6500000000005</v>
      </c>
      <c r="J619">
        <v>575</v>
      </c>
      <c r="K619">
        <v>0</v>
      </c>
      <c r="L619">
        <v>0</v>
      </c>
      <c r="M619">
        <v>0</v>
      </c>
      <c r="N619">
        <v>215</v>
      </c>
      <c r="O619">
        <v>153</v>
      </c>
      <c r="P619">
        <v>315</v>
      </c>
      <c r="S619">
        <v>575</v>
      </c>
      <c r="T619">
        <v>906.59999999999945</v>
      </c>
      <c r="U619">
        <v>964.875</v>
      </c>
      <c r="V619">
        <v>906.60000000000036</v>
      </c>
      <c r="W619">
        <v>-1217.1000000000004</v>
      </c>
      <c r="X619">
        <v>2207.099999999999</v>
      </c>
      <c r="Y619">
        <v>-25.104056581713394</v>
      </c>
    </row>
    <row r="620" spans="1:25" x14ac:dyDescent="0.35">
      <c r="A620">
        <v>576</v>
      </c>
      <c r="B620">
        <v>906.59999999999945</v>
      </c>
      <c r="C620">
        <v>971.34999999999945</v>
      </c>
      <c r="D620">
        <v>906.59999999999945</v>
      </c>
      <c r="E620">
        <v>-1268.9000000000005</v>
      </c>
      <c r="F620">
        <v>-556.64999999999964</v>
      </c>
      <c r="G620">
        <v>-2214.25</v>
      </c>
      <c r="J620">
        <v>576</v>
      </c>
      <c r="K620">
        <v>0</v>
      </c>
      <c r="L620">
        <v>0</v>
      </c>
      <c r="M620">
        <v>0</v>
      </c>
      <c r="N620">
        <v>246</v>
      </c>
      <c r="O620">
        <v>188</v>
      </c>
      <c r="P620">
        <v>317</v>
      </c>
      <c r="S620">
        <v>576</v>
      </c>
      <c r="T620">
        <v>906.59999999999945</v>
      </c>
      <c r="U620">
        <v>984.29999999999927</v>
      </c>
      <c r="V620">
        <v>919.54999999999927</v>
      </c>
      <c r="W620">
        <v>2243.1999999999998</v>
      </c>
      <c r="X620">
        <v>2247.4749999999999</v>
      </c>
      <c r="Y620">
        <v>-2408.5</v>
      </c>
    </row>
    <row r="621" spans="1:25" x14ac:dyDescent="0.35">
      <c r="A621">
        <v>577</v>
      </c>
      <c r="B621">
        <v>906.59999999999945</v>
      </c>
      <c r="C621">
        <v>932.5</v>
      </c>
      <c r="D621">
        <v>906.59999999999945</v>
      </c>
      <c r="E621">
        <v>-1022.8500000000004</v>
      </c>
      <c r="F621">
        <v>-478.95000000000073</v>
      </c>
      <c r="G621">
        <v>-2097.7000000000007</v>
      </c>
      <c r="J621">
        <v>577</v>
      </c>
      <c r="K621">
        <v>0</v>
      </c>
      <c r="L621">
        <v>0</v>
      </c>
      <c r="M621">
        <v>0</v>
      </c>
      <c r="N621">
        <v>200</v>
      </c>
      <c r="O621">
        <v>193</v>
      </c>
      <c r="P621">
        <v>325</v>
      </c>
      <c r="S621">
        <v>577</v>
      </c>
      <c r="T621">
        <v>906.59999999999945</v>
      </c>
      <c r="U621">
        <v>997.25</v>
      </c>
      <c r="V621">
        <v>906.60000000000036</v>
      </c>
      <c r="W621">
        <v>2221.1999999999994</v>
      </c>
      <c r="X621">
        <v>-485.42500000000109</v>
      </c>
      <c r="Y621">
        <v>2242.4782858862372</v>
      </c>
    </row>
    <row r="622" spans="1:25" x14ac:dyDescent="0.35">
      <c r="A622">
        <v>578</v>
      </c>
      <c r="B622">
        <v>906.59999999999945</v>
      </c>
      <c r="C622">
        <v>990.77499999999964</v>
      </c>
      <c r="D622">
        <v>906.59999999999945</v>
      </c>
      <c r="E622">
        <v>-1035.8000000000002</v>
      </c>
      <c r="F622">
        <v>-809.17500000000109</v>
      </c>
      <c r="G622">
        <v>-2304.9000000000005</v>
      </c>
      <c r="J622">
        <v>578</v>
      </c>
      <c r="K622">
        <v>0</v>
      </c>
      <c r="L622">
        <v>0</v>
      </c>
      <c r="M622">
        <v>0</v>
      </c>
      <c r="N622">
        <v>222</v>
      </c>
      <c r="O622">
        <v>208</v>
      </c>
      <c r="P622">
        <v>332</v>
      </c>
      <c r="S622">
        <v>578</v>
      </c>
      <c r="T622">
        <v>906.59999999999945</v>
      </c>
      <c r="U622">
        <v>951.92500000000018</v>
      </c>
      <c r="V622">
        <v>906.59999999999945</v>
      </c>
      <c r="W622">
        <v>2251.1999999999994</v>
      </c>
      <c r="X622">
        <v>2212.0499999999993</v>
      </c>
      <c r="Y622">
        <v>2423.1999999999998</v>
      </c>
    </row>
    <row r="623" spans="1:25" x14ac:dyDescent="0.35">
      <c r="A623">
        <v>579</v>
      </c>
      <c r="B623">
        <v>906.59999999999945</v>
      </c>
      <c r="C623">
        <v>971.34999999999854</v>
      </c>
      <c r="D623">
        <v>906.59999999999945</v>
      </c>
      <c r="E623">
        <v>-1022.8500000000004</v>
      </c>
      <c r="F623">
        <v>-595.5</v>
      </c>
      <c r="G623">
        <v>-1968.2000000000007</v>
      </c>
      <c r="J623">
        <v>579</v>
      </c>
      <c r="K623">
        <v>0</v>
      </c>
      <c r="L623">
        <v>0</v>
      </c>
      <c r="M623">
        <v>0</v>
      </c>
      <c r="N623">
        <v>230</v>
      </c>
      <c r="O623">
        <v>180</v>
      </c>
      <c r="P623">
        <v>324</v>
      </c>
      <c r="S623">
        <v>579</v>
      </c>
      <c r="T623">
        <v>906.59999999999945</v>
      </c>
      <c r="U623">
        <v>971.35000000000036</v>
      </c>
      <c r="V623">
        <v>906.59999999999945</v>
      </c>
      <c r="W623">
        <v>2241.1999999999994</v>
      </c>
      <c r="X623">
        <v>2169.1000000000004</v>
      </c>
      <c r="Y623">
        <v>2403.1999999999998</v>
      </c>
    </row>
    <row r="624" spans="1:25" x14ac:dyDescent="0.35">
      <c r="A624">
        <v>580</v>
      </c>
      <c r="B624">
        <v>906.59999999999945</v>
      </c>
      <c r="C624">
        <v>1010.1999999999998</v>
      </c>
      <c r="D624">
        <v>906.60000000000036</v>
      </c>
      <c r="E624">
        <v>-1307.75</v>
      </c>
      <c r="F624">
        <v>-582.55000000000018</v>
      </c>
      <c r="G624">
        <v>-2395.5500000000002</v>
      </c>
      <c r="J624">
        <v>580</v>
      </c>
      <c r="K624">
        <v>0</v>
      </c>
      <c r="L624">
        <v>0</v>
      </c>
      <c r="M624">
        <v>0</v>
      </c>
      <c r="N624">
        <v>222</v>
      </c>
      <c r="O624">
        <v>149</v>
      </c>
      <c r="P624">
        <v>333</v>
      </c>
      <c r="S624">
        <v>580</v>
      </c>
      <c r="T624">
        <v>906.59999999999945</v>
      </c>
      <c r="U624">
        <v>977.82499999999891</v>
      </c>
      <c r="V624">
        <v>906.59999999999945</v>
      </c>
      <c r="W624">
        <v>2281.1999999999994</v>
      </c>
      <c r="X624">
        <v>2237.9499999999998</v>
      </c>
      <c r="Y624">
        <v>291.04389120804717</v>
      </c>
    </row>
    <row r="625" spans="1:25" x14ac:dyDescent="0.35">
      <c r="A625">
        <v>581</v>
      </c>
      <c r="B625">
        <v>906.59999999999945</v>
      </c>
      <c r="C625">
        <v>971.35000000000036</v>
      </c>
      <c r="D625">
        <v>906.59999999999945</v>
      </c>
      <c r="E625">
        <v>-1424.3000000000002</v>
      </c>
      <c r="F625">
        <v>-608.45000000000073</v>
      </c>
      <c r="G625">
        <v>-2201.3000000000002</v>
      </c>
      <c r="J625">
        <v>581</v>
      </c>
      <c r="K625">
        <v>0</v>
      </c>
      <c r="L625">
        <v>0</v>
      </c>
      <c r="M625">
        <v>0</v>
      </c>
      <c r="N625">
        <v>253</v>
      </c>
      <c r="O625">
        <v>177</v>
      </c>
      <c r="P625">
        <v>328</v>
      </c>
      <c r="S625">
        <v>581</v>
      </c>
      <c r="T625">
        <v>906.59999999999945</v>
      </c>
      <c r="U625">
        <v>1003.7249999999985</v>
      </c>
      <c r="V625">
        <v>906.59999999999945</v>
      </c>
      <c r="W625">
        <v>1281.4789772047379</v>
      </c>
      <c r="X625">
        <v>2267.4749999999999</v>
      </c>
      <c r="Y625">
        <v>2429.1999999999989</v>
      </c>
    </row>
    <row r="626" spans="1:25" x14ac:dyDescent="0.35">
      <c r="A626">
        <v>582</v>
      </c>
      <c r="B626">
        <v>906.59999999999945</v>
      </c>
      <c r="C626">
        <v>990.77499999999964</v>
      </c>
      <c r="D626">
        <v>906.59999999999945</v>
      </c>
      <c r="E626">
        <v>-1294.8000000000002</v>
      </c>
      <c r="F626">
        <v>-440.10000000000036</v>
      </c>
      <c r="G626">
        <v>-2499.1500000000005</v>
      </c>
      <c r="J626">
        <v>582</v>
      </c>
      <c r="K626">
        <v>0</v>
      </c>
      <c r="L626">
        <v>0</v>
      </c>
      <c r="M626">
        <v>0</v>
      </c>
      <c r="N626">
        <v>219</v>
      </c>
      <c r="O626">
        <v>193</v>
      </c>
      <c r="P626">
        <v>332</v>
      </c>
      <c r="S626">
        <v>582</v>
      </c>
      <c r="T626">
        <v>906.59999999999945</v>
      </c>
      <c r="U626">
        <v>1003.7249999999995</v>
      </c>
      <c r="V626">
        <v>906.59999999999945</v>
      </c>
      <c r="W626">
        <v>2283.1999999999998</v>
      </c>
      <c r="X626">
        <v>395.34735469867792</v>
      </c>
      <c r="Y626">
        <v>1535.44923303616</v>
      </c>
    </row>
    <row r="627" spans="1:25" x14ac:dyDescent="0.35">
      <c r="A627">
        <v>583</v>
      </c>
      <c r="B627">
        <v>906.59999999999945</v>
      </c>
      <c r="C627">
        <v>977.82499999999891</v>
      </c>
      <c r="D627">
        <v>893.64999999999964</v>
      </c>
      <c r="E627">
        <v>-1074.6500000000005</v>
      </c>
      <c r="F627">
        <v>-375.35000000000036</v>
      </c>
      <c r="G627">
        <v>-2201.3000000000002</v>
      </c>
      <c r="J627">
        <v>583</v>
      </c>
      <c r="K627">
        <v>0</v>
      </c>
      <c r="L627">
        <v>0</v>
      </c>
      <c r="M627">
        <v>0</v>
      </c>
      <c r="N627">
        <v>221</v>
      </c>
      <c r="O627">
        <v>160</v>
      </c>
      <c r="P627">
        <v>302</v>
      </c>
      <c r="S627">
        <v>583</v>
      </c>
      <c r="T627">
        <v>906.59999999999945</v>
      </c>
      <c r="U627">
        <v>990.77499999999873</v>
      </c>
      <c r="V627">
        <v>906.59999999999945</v>
      </c>
      <c r="W627">
        <v>2275.1999999999998</v>
      </c>
      <c r="X627">
        <v>2285.2749999999996</v>
      </c>
      <c r="Y627">
        <v>-1090.7594283545777</v>
      </c>
    </row>
    <row r="628" spans="1:25" x14ac:dyDescent="0.35">
      <c r="A628">
        <v>584</v>
      </c>
      <c r="B628">
        <v>906.59999999999945</v>
      </c>
      <c r="C628">
        <v>1003.7249999999995</v>
      </c>
      <c r="D628">
        <v>906.60000000000036</v>
      </c>
      <c r="E628">
        <v>-1217.1000000000004</v>
      </c>
      <c r="F628">
        <v>-601.97500000000036</v>
      </c>
      <c r="G628">
        <v>-2356.6999999999998</v>
      </c>
      <c r="J628">
        <v>584</v>
      </c>
      <c r="K628">
        <v>0</v>
      </c>
      <c r="L628">
        <v>0</v>
      </c>
      <c r="M628">
        <v>0</v>
      </c>
      <c r="N628">
        <v>229</v>
      </c>
      <c r="O628">
        <v>203</v>
      </c>
      <c r="P628">
        <v>320</v>
      </c>
      <c r="S628">
        <v>584</v>
      </c>
      <c r="T628">
        <v>906.59999999999945</v>
      </c>
      <c r="U628">
        <v>984.30000000000018</v>
      </c>
      <c r="V628">
        <v>906.59999999999945</v>
      </c>
      <c r="W628">
        <v>2249.1999999999994</v>
      </c>
      <c r="X628">
        <v>2258.8999999999992</v>
      </c>
      <c r="Y628">
        <v>2449.1999999999989</v>
      </c>
    </row>
    <row r="629" spans="1:25" x14ac:dyDescent="0.35">
      <c r="A629">
        <v>585</v>
      </c>
      <c r="B629">
        <v>906.59999999999945</v>
      </c>
      <c r="C629">
        <v>990.77499999999964</v>
      </c>
      <c r="D629">
        <v>906.59999999999945</v>
      </c>
      <c r="E629">
        <v>-1100.5500000000002</v>
      </c>
      <c r="F629">
        <v>-213.47500000000036</v>
      </c>
      <c r="G629">
        <v>-2447.3500000000004</v>
      </c>
      <c r="J629">
        <v>585</v>
      </c>
      <c r="K629">
        <v>0</v>
      </c>
      <c r="L629">
        <v>0</v>
      </c>
      <c r="M629">
        <v>0</v>
      </c>
      <c r="N629">
        <v>205</v>
      </c>
      <c r="O629">
        <v>194</v>
      </c>
      <c r="P629">
        <v>337</v>
      </c>
      <c r="S629">
        <v>585</v>
      </c>
      <c r="T629">
        <v>906.59999999999945</v>
      </c>
      <c r="U629">
        <v>971.34999999999945</v>
      </c>
      <c r="V629">
        <v>906.60000000000036</v>
      </c>
      <c r="W629">
        <v>-841.55000000000018</v>
      </c>
      <c r="X629">
        <v>2311.3749999999991</v>
      </c>
      <c r="Y629">
        <v>2467.1999999999998</v>
      </c>
    </row>
    <row r="630" spans="1:25" x14ac:dyDescent="0.35">
      <c r="A630">
        <v>586</v>
      </c>
      <c r="B630">
        <v>906.59999999999945</v>
      </c>
      <c r="C630">
        <v>964.875</v>
      </c>
      <c r="D630">
        <v>906.59999999999945</v>
      </c>
      <c r="E630">
        <v>-1061.7000000000007</v>
      </c>
      <c r="F630">
        <v>-420.67500000000018</v>
      </c>
      <c r="G630">
        <v>-2175.4000000000005</v>
      </c>
      <c r="J630">
        <v>586</v>
      </c>
      <c r="K630">
        <v>0</v>
      </c>
      <c r="L630">
        <v>0</v>
      </c>
      <c r="M630">
        <v>0</v>
      </c>
      <c r="N630">
        <v>237</v>
      </c>
      <c r="O630">
        <v>154</v>
      </c>
      <c r="P630">
        <v>285</v>
      </c>
      <c r="S630">
        <v>586</v>
      </c>
      <c r="T630">
        <v>906.59999999999945</v>
      </c>
      <c r="U630">
        <v>984.29999999999927</v>
      </c>
      <c r="V630">
        <v>906.59999999999945</v>
      </c>
      <c r="W630">
        <v>2287.1999999999989</v>
      </c>
      <c r="X630">
        <v>2226.5249999999992</v>
      </c>
      <c r="Y630">
        <v>2443.1999999999998</v>
      </c>
    </row>
    <row r="631" spans="1:25" x14ac:dyDescent="0.35">
      <c r="A631">
        <v>587</v>
      </c>
      <c r="B631">
        <v>906.59999999999945</v>
      </c>
      <c r="C631">
        <v>977.82499999999891</v>
      </c>
      <c r="D631">
        <v>906.59999999999945</v>
      </c>
      <c r="E631">
        <v>-1217.1000000000004</v>
      </c>
      <c r="F631">
        <v>-440.10000000000036</v>
      </c>
      <c r="G631">
        <v>-2266.0500000000002</v>
      </c>
      <c r="J631">
        <v>587</v>
      </c>
      <c r="K631">
        <v>0</v>
      </c>
      <c r="L631">
        <v>0</v>
      </c>
      <c r="M631">
        <v>0</v>
      </c>
      <c r="N631">
        <v>230</v>
      </c>
      <c r="O631">
        <v>177</v>
      </c>
      <c r="P631">
        <v>320</v>
      </c>
      <c r="S631">
        <v>587</v>
      </c>
      <c r="T631">
        <v>906.59999999999945</v>
      </c>
      <c r="U631">
        <v>964.875</v>
      </c>
      <c r="V631">
        <v>906.60000000000036</v>
      </c>
      <c r="W631">
        <v>2257.1999999999989</v>
      </c>
      <c r="X631">
        <v>2210.0499999999997</v>
      </c>
      <c r="Y631">
        <v>1481.5022569817479</v>
      </c>
    </row>
    <row r="632" spans="1:25" x14ac:dyDescent="0.35">
      <c r="A632">
        <v>588</v>
      </c>
      <c r="B632">
        <v>906.59999999999945</v>
      </c>
      <c r="C632">
        <v>964.875</v>
      </c>
      <c r="D632">
        <v>906.59999999999945</v>
      </c>
      <c r="E632">
        <v>-1035.8000000000002</v>
      </c>
      <c r="F632">
        <v>-569.60000000000036</v>
      </c>
      <c r="G632">
        <v>-2214.25</v>
      </c>
      <c r="J632">
        <v>588</v>
      </c>
      <c r="K632">
        <v>0</v>
      </c>
      <c r="L632">
        <v>0</v>
      </c>
      <c r="M632">
        <v>0</v>
      </c>
      <c r="N632">
        <v>218</v>
      </c>
      <c r="O632">
        <v>184</v>
      </c>
      <c r="P632">
        <v>329</v>
      </c>
      <c r="S632">
        <v>588</v>
      </c>
      <c r="T632">
        <v>906.59999999999945</v>
      </c>
      <c r="U632">
        <v>977.82499999999891</v>
      </c>
      <c r="V632">
        <v>906.59999999999945</v>
      </c>
      <c r="W632">
        <v>2295.1999999999998</v>
      </c>
      <c r="X632">
        <v>2286.8999999999992</v>
      </c>
      <c r="Y632">
        <v>2419.1999999999989</v>
      </c>
    </row>
    <row r="633" spans="1:25" x14ac:dyDescent="0.35">
      <c r="A633">
        <v>589</v>
      </c>
      <c r="B633">
        <v>906.59999999999945</v>
      </c>
      <c r="C633">
        <v>977.82499999999891</v>
      </c>
      <c r="D633">
        <v>906.60000000000036</v>
      </c>
      <c r="E633">
        <v>-1061.7000000000007</v>
      </c>
      <c r="F633">
        <v>-589.02500000000055</v>
      </c>
      <c r="G633">
        <v>-2538</v>
      </c>
      <c r="J633">
        <v>589</v>
      </c>
      <c r="K633">
        <v>0</v>
      </c>
      <c r="L633">
        <v>0</v>
      </c>
      <c r="M633">
        <v>0</v>
      </c>
      <c r="N633">
        <v>197</v>
      </c>
      <c r="O633">
        <v>163</v>
      </c>
      <c r="P633">
        <v>316</v>
      </c>
      <c r="S633">
        <v>589</v>
      </c>
      <c r="T633">
        <v>906.59999999999945</v>
      </c>
      <c r="U633">
        <v>964.87499999999909</v>
      </c>
      <c r="V633">
        <v>906.59999999999945</v>
      </c>
      <c r="W633">
        <v>2269.1999999999994</v>
      </c>
      <c r="X633">
        <v>2228.4249999999997</v>
      </c>
      <c r="Y633">
        <v>172.72758179006496</v>
      </c>
    </row>
    <row r="634" spans="1:25" x14ac:dyDescent="0.35">
      <c r="A634">
        <v>590</v>
      </c>
      <c r="B634">
        <v>906.59999999999945</v>
      </c>
      <c r="C634">
        <v>932.49999999999909</v>
      </c>
      <c r="D634">
        <v>906.59999999999945</v>
      </c>
      <c r="E634">
        <v>-1048.75</v>
      </c>
      <c r="F634">
        <v>-355.92500000000109</v>
      </c>
      <c r="G634">
        <v>-2576.8500000000004</v>
      </c>
      <c r="J634">
        <v>590</v>
      </c>
      <c r="K634">
        <v>0</v>
      </c>
      <c r="L634">
        <v>0</v>
      </c>
      <c r="M634">
        <v>0</v>
      </c>
      <c r="N634">
        <v>218</v>
      </c>
      <c r="O634">
        <v>164</v>
      </c>
      <c r="P634">
        <v>327</v>
      </c>
      <c r="S634">
        <v>590</v>
      </c>
      <c r="T634">
        <v>906.59999999999945</v>
      </c>
      <c r="U634">
        <v>964.875</v>
      </c>
      <c r="V634">
        <v>906.59999999999945</v>
      </c>
      <c r="W634">
        <v>2291.1999999999994</v>
      </c>
      <c r="X634">
        <v>2241.4750000000004</v>
      </c>
      <c r="Y634">
        <v>880.36165897357932</v>
      </c>
    </row>
    <row r="635" spans="1:25" x14ac:dyDescent="0.35">
      <c r="A635">
        <v>591</v>
      </c>
      <c r="B635">
        <v>906.59999999999945</v>
      </c>
      <c r="C635">
        <v>990.77499999999964</v>
      </c>
      <c r="D635">
        <v>906.59999999999945</v>
      </c>
      <c r="E635">
        <v>-1113.5</v>
      </c>
      <c r="F635">
        <v>-472.47500000000036</v>
      </c>
      <c r="G635">
        <v>-2434.4000000000005</v>
      </c>
      <c r="J635">
        <v>591</v>
      </c>
      <c r="K635">
        <v>0</v>
      </c>
      <c r="L635">
        <v>0</v>
      </c>
      <c r="M635">
        <v>0</v>
      </c>
      <c r="N635">
        <v>198</v>
      </c>
      <c r="O635">
        <v>182</v>
      </c>
      <c r="P635">
        <v>319</v>
      </c>
      <c r="S635">
        <v>591</v>
      </c>
      <c r="T635">
        <v>906.59999999999945</v>
      </c>
      <c r="U635">
        <v>997.24999999999909</v>
      </c>
      <c r="V635">
        <v>906.59999999999945</v>
      </c>
      <c r="W635">
        <v>2275.1999999999998</v>
      </c>
      <c r="X635">
        <v>1156.316074095814</v>
      </c>
      <c r="Y635">
        <v>2343.5504521770772</v>
      </c>
    </row>
    <row r="636" spans="1:25" x14ac:dyDescent="0.35">
      <c r="A636">
        <v>592</v>
      </c>
      <c r="B636">
        <v>906.59999999999945</v>
      </c>
      <c r="C636">
        <v>984.30000000000018</v>
      </c>
      <c r="D636">
        <v>906.59999999999945</v>
      </c>
      <c r="E636">
        <v>-1009.9000000000005</v>
      </c>
      <c r="F636">
        <v>-543.70000000000073</v>
      </c>
      <c r="G636">
        <v>-2628.6500000000005</v>
      </c>
      <c r="J636">
        <v>592</v>
      </c>
      <c r="K636">
        <v>0</v>
      </c>
      <c r="L636">
        <v>0</v>
      </c>
      <c r="M636">
        <v>0</v>
      </c>
      <c r="N636">
        <v>215</v>
      </c>
      <c r="O636">
        <v>181</v>
      </c>
      <c r="P636">
        <v>331</v>
      </c>
      <c r="S636">
        <v>592</v>
      </c>
      <c r="T636">
        <v>906.59999999999945</v>
      </c>
      <c r="U636">
        <v>964.87499999999909</v>
      </c>
      <c r="V636">
        <v>906.59999999999945</v>
      </c>
      <c r="W636">
        <v>2203.1999999999998</v>
      </c>
      <c r="X636">
        <v>1358.1795971936074</v>
      </c>
      <c r="Y636">
        <v>1880.6115577671098</v>
      </c>
    </row>
    <row r="637" spans="1:25" x14ac:dyDescent="0.35">
      <c r="A637">
        <v>593</v>
      </c>
      <c r="B637">
        <v>906.59999999999945</v>
      </c>
      <c r="C637">
        <v>984.29999999999927</v>
      </c>
      <c r="D637">
        <v>906.59999999999945</v>
      </c>
      <c r="E637">
        <v>-699.10000000000036</v>
      </c>
      <c r="F637">
        <v>-530.75</v>
      </c>
      <c r="G637">
        <v>-2330.8000000000002</v>
      </c>
      <c r="J637">
        <v>593</v>
      </c>
      <c r="K637">
        <v>0</v>
      </c>
      <c r="L637">
        <v>0</v>
      </c>
      <c r="M637">
        <v>0</v>
      </c>
      <c r="N637">
        <v>216</v>
      </c>
      <c r="O637">
        <v>177</v>
      </c>
      <c r="P637">
        <v>330</v>
      </c>
      <c r="S637">
        <v>593</v>
      </c>
      <c r="T637">
        <v>906.59999999999945</v>
      </c>
      <c r="U637">
        <v>964.875</v>
      </c>
      <c r="V637">
        <v>919.55000000000018</v>
      </c>
      <c r="W637">
        <v>2213.1999999999998</v>
      </c>
      <c r="X637">
        <v>1360.9429124972312</v>
      </c>
      <c r="Y637">
        <v>-1876.4953595525353</v>
      </c>
    </row>
    <row r="638" spans="1:25" x14ac:dyDescent="0.35">
      <c r="A638">
        <v>594</v>
      </c>
      <c r="B638">
        <v>906.59999999999945</v>
      </c>
      <c r="C638">
        <v>984.29999999999927</v>
      </c>
      <c r="D638">
        <v>906.59999999999945</v>
      </c>
      <c r="E638">
        <v>-1489.0500000000002</v>
      </c>
      <c r="F638">
        <v>-271.75</v>
      </c>
      <c r="G638">
        <v>-2097.7000000000007</v>
      </c>
      <c r="J638">
        <v>594</v>
      </c>
      <c r="K638">
        <v>0</v>
      </c>
      <c r="L638">
        <v>0</v>
      </c>
      <c r="M638">
        <v>0</v>
      </c>
      <c r="N638">
        <v>224</v>
      </c>
      <c r="O638">
        <v>196</v>
      </c>
      <c r="P638">
        <v>338</v>
      </c>
      <c r="S638">
        <v>594</v>
      </c>
      <c r="T638">
        <v>906.59999999999945</v>
      </c>
      <c r="U638">
        <v>1003.7249999999995</v>
      </c>
      <c r="V638">
        <v>906.59999999999945</v>
      </c>
      <c r="W638">
        <v>2215.1999999999998</v>
      </c>
      <c r="X638">
        <v>2225.9499999999994</v>
      </c>
      <c r="Y638">
        <v>1290.4458499177254</v>
      </c>
    </row>
    <row r="639" spans="1:25" x14ac:dyDescent="0.35">
      <c r="A639">
        <v>595</v>
      </c>
      <c r="B639">
        <v>906.59999999999945</v>
      </c>
      <c r="C639">
        <v>964.87499999999909</v>
      </c>
      <c r="D639">
        <v>906.59999999999945</v>
      </c>
      <c r="E639">
        <v>-763.85000000000036</v>
      </c>
      <c r="F639">
        <v>-375.35000000000036</v>
      </c>
      <c r="G639">
        <v>-2460.3000000000002</v>
      </c>
      <c r="J639">
        <v>595</v>
      </c>
      <c r="K639">
        <v>0</v>
      </c>
      <c r="L639">
        <v>0</v>
      </c>
      <c r="M639">
        <v>0</v>
      </c>
      <c r="N639">
        <v>223</v>
      </c>
      <c r="O639">
        <v>169</v>
      </c>
      <c r="P639">
        <v>310</v>
      </c>
      <c r="S639">
        <v>595</v>
      </c>
      <c r="T639">
        <v>906.59999999999945</v>
      </c>
      <c r="U639">
        <v>990.77499999999964</v>
      </c>
      <c r="V639">
        <v>906.59999999999945</v>
      </c>
      <c r="W639">
        <v>2229.1999999999994</v>
      </c>
      <c r="X639">
        <v>2038.5800314577723</v>
      </c>
      <c r="Y639">
        <v>2459.1999999999989</v>
      </c>
    </row>
    <row r="640" spans="1:25" x14ac:dyDescent="0.35">
      <c r="A640">
        <v>596</v>
      </c>
      <c r="B640">
        <v>906.59999999999945</v>
      </c>
      <c r="C640">
        <v>1003.7249999999995</v>
      </c>
      <c r="D640">
        <v>906.59999999999945</v>
      </c>
      <c r="E640">
        <v>-1139.4000000000005</v>
      </c>
      <c r="F640">
        <v>-446.57500000000073</v>
      </c>
      <c r="G640">
        <v>-2279</v>
      </c>
      <c r="J640">
        <v>596</v>
      </c>
      <c r="K640">
        <v>0</v>
      </c>
      <c r="L640">
        <v>0</v>
      </c>
      <c r="M640">
        <v>0</v>
      </c>
      <c r="N640">
        <v>200</v>
      </c>
      <c r="O640">
        <v>181</v>
      </c>
      <c r="P640">
        <v>313</v>
      </c>
      <c r="S640">
        <v>596</v>
      </c>
      <c r="T640">
        <v>906.59999999999945</v>
      </c>
      <c r="U640">
        <v>932.49999999999909</v>
      </c>
      <c r="V640">
        <v>906.59999999999945</v>
      </c>
      <c r="W640">
        <v>2233.1999999999998</v>
      </c>
      <c r="X640">
        <v>2286.3249999999994</v>
      </c>
      <c r="Y640">
        <v>-339.60850404189114</v>
      </c>
    </row>
    <row r="641" spans="1:25" x14ac:dyDescent="0.35">
      <c r="A641">
        <v>597</v>
      </c>
      <c r="B641">
        <v>906.59999999999945</v>
      </c>
      <c r="C641">
        <v>984.29999999999927</v>
      </c>
      <c r="D641">
        <v>906.59999999999945</v>
      </c>
      <c r="E641">
        <v>-945.15000000000055</v>
      </c>
      <c r="F641">
        <v>-388.30000000000018</v>
      </c>
      <c r="G641">
        <v>-2084.75</v>
      </c>
      <c r="J641">
        <v>597</v>
      </c>
      <c r="K641">
        <v>0</v>
      </c>
      <c r="L641">
        <v>0</v>
      </c>
      <c r="M641">
        <v>0</v>
      </c>
      <c r="N641">
        <v>243</v>
      </c>
      <c r="O641">
        <v>164</v>
      </c>
      <c r="P641">
        <v>326</v>
      </c>
      <c r="S641">
        <v>597</v>
      </c>
      <c r="T641">
        <v>906.59999999999945</v>
      </c>
      <c r="U641">
        <v>984.29999999999927</v>
      </c>
      <c r="V641">
        <v>906.60000000000036</v>
      </c>
      <c r="W641">
        <v>2273.1999999999998</v>
      </c>
      <c r="X641">
        <v>2276.3249999999994</v>
      </c>
      <c r="Y641">
        <v>-983.25230209007691</v>
      </c>
    </row>
    <row r="642" spans="1:25" x14ac:dyDescent="0.35">
      <c r="A642">
        <v>598</v>
      </c>
      <c r="B642">
        <v>906.59999999999945</v>
      </c>
      <c r="C642">
        <v>945.44999999999982</v>
      </c>
      <c r="D642">
        <v>906.60000000000036</v>
      </c>
      <c r="E642">
        <v>-867.45000000000073</v>
      </c>
      <c r="F642">
        <v>-556.65000000000055</v>
      </c>
      <c r="G642">
        <v>-2473.25</v>
      </c>
      <c r="J642">
        <v>598</v>
      </c>
      <c r="K642">
        <v>0</v>
      </c>
      <c r="L642">
        <v>0</v>
      </c>
      <c r="M642">
        <v>0</v>
      </c>
      <c r="N642">
        <v>246</v>
      </c>
      <c r="O642">
        <v>190</v>
      </c>
      <c r="P642">
        <v>324</v>
      </c>
      <c r="S642">
        <v>598</v>
      </c>
      <c r="T642">
        <v>906.59999999999945</v>
      </c>
      <c r="U642">
        <v>984.29999999999927</v>
      </c>
      <c r="V642">
        <v>906.60000000000036</v>
      </c>
      <c r="W642">
        <v>2002.3244701858339</v>
      </c>
      <c r="X642">
        <v>2223.4749999999995</v>
      </c>
      <c r="Y642">
        <v>2433.1999999999998</v>
      </c>
    </row>
    <row r="643" spans="1:25" x14ac:dyDescent="0.35">
      <c r="A643">
        <v>599</v>
      </c>
      <c r="B643">
        <v>906.59999999999945</v>
      </c>
      <c r="C643">
        <v>1003.7249999999985</v>
      </c>
      <c r="D643">
        <v>906.59999999999945</v>
      </c>
      <c r="E643">
        <v>-1191.2000000000007</v>
      </c>
      <c r="F643">
        <v>-537.22500000000036</v>
      </c>
      <c r="G643">
        <v>-2175.4000000000005</v>
      </c>
      <c r="J643">
        <v>599</v>
      </c>
      <c r="K643">
        <v>0</v>
      </c>
      <c r="L643">
        <v>0</v>
      </c>
      <c r="M643">
        <v>0</v>
      </c>
      <c r="N643">
        <v>220</v>
      </c>
      <c r="O643">
        <v>195</v>
      </c>
      <c r="P643">
        <v>316</v>
      </c>
      <c r="S643">
        <v>599</v>
      </c>
      <c r="T643">
        <v>906.59999999999945</v>
      </c>
      <c r="U643">
        <v>977.82499999999982</v>
      </c>
      <c r="V643">
        <v>906.60000000000036</v>
      </c>
      <c r="W643">
        <v>1427.394813187273</v>
      </c>
      <c r="X643">
        <v>2248.4249999999997</v>
      </c>
      <c r="Y643">
        <v>2369.1999999999989</v>
      </c>
    </row>
    <row r="644" spans="1:25" x14ac:dyDescent="0.35">
      <c r="A644">
        <v>600</v>
      </c>
      <c r="B644">
        <v>906.59999999999945</v>
      </c>
      <c r="C644">
        <v>971.35000000000036</v>
      </c>
      <c r="D644">
        <v>906.59999999999945</v>
      </c>
      <c r="E644">
        <v>-880.40000000000055</v>
      </c>
      <c r="F644">
        <v>-453.05000000000018</v>
      </c>
      <c r="G644">
        <v>-2512.1000000000004</v>
      </c>
      <c r="J644">
        <v>600</v>
      </c>
      <c r="K644">
        <v>0</v>
      </c>
      <c r="L644">
        <v>0</v>
      </c>
      <c r="M644">
        <v>0</v>
      </c>
      <c r="N644">
        <v>199</v>
      </c>
      <c r="O644">
        <v>172</v>
      </c>
      <c r="P644">
        <v>302</v>
      </c>
      <c r="S644">
        <v>600</v>
      </c>
      <c r="T644">
        <v>906.59999999999945</v>
      </c>
      <c r="U644">
        <v>977.82499999999982</v>
      </c>
      <c r="V644">
        <v>908.59999999999968</v>
      </c>
      <c r="W644">
        <v>2259.1999999999994</v>
      </c>
      <c r="X644">
        <v>2258.3249999999994</v>
      </c>
      <c r="Y644">
        <v>1750.2295494885307</v>
      </c>
    </row>
    <row r="645" spans="1:25" x14ac:dyDescent="0.35">
      <c r="A645">
        <v>601</v>
      </c>
      <c r="B645">
        <v>906.59999999999945</v>
      </c>
      <c r="C645">
        <v>984.30000000000018</v>
      </c>
      <c r="D645">
        <v>906.59999999999945</v>
      </c>
      <c r="E645">
        <v>-919.25</v>
      </c>
      <c r="F645">
        <v>-517.80000000000018</v>
      </c>
      <c r="G645">
        <v>-2460.3000000000002</v>
      </c>
      <c r="J645">
        <v>601</v>
      </c>
      <c r="K645">
        <v>0</v>
      </c>
      <c r="L645">
        <v>0</v>
      </c>
      <c r="M645">
        <v>0</v>
      </c>
      <c r="N645">
        <v>235</v>
      </c>
      <c r="O645">
        <v>181</v>
      </c>
      <c r="P645">
        <v>335</v>
      </c>
      <c r="S645">
        <v>601</v>
      </c>
      <c r="T645">
        <v>906.59999999999945</v>
      </c>
      <c r="U645">
        <v>964.875</v>
      </c>
      <c r="V645">
        <v>906.59999999999945</v>
      </c>
      <c r="W645">
        <v>93.317876467632914</v>
      </c>
      <c r="X645">
        <v>2227.375</v>
      </c>
      <c r="Y645">
        <v>808.45185941517775</v>
      </c>
    </row>
    <row r="646" spans="1:25" x14ac:dyDescent="0.35">
      <c r="A646">
        <v>602</v>
      </c>
      <c r="B646">
        <v>906.59999999999945</v>
      </c>
      <c r="C646">
        <v>964.87499999999909</v>
      </c>
      <c r="D646">
        <v>906.59999999999945</v>
      </c>
      <c r="E646">
        <v>-1243</v>
      </c>
      <c r="F646">
        <v>-381.82500000000073</v>
      </c>
      <c r="G646">
        <v>-2149.5</v>
      </c>
      <c r="J646">
        <v>602</v>
      </c>
      <c r="K646">
        <v>0</v>
      </c>
      <c r="L646">
        <v>0</v>
      </c>
      <c r="M646">
        <v>0</v>
      </c>
      <c r="N646">
        <v>231</v>
      </c>
      <c r="O646">
        <v>170</v>
      </c>
      <c r="P646">
        <v>322</v>
      </c>
      <c r="S646">
        <v>602</v>
      </c>
      <c r="T646">
        <v>906.59999999999945</v>
      </c>
      <c r="U646">
        <v>971.34999999999854</v>
      </c>
      <c r="V646">
        <v>906.59999999999945</v>
      </c>
      <c r="W646">
        <v>2237.1999999999989</v>
      </c>
      <c r="X646">
        <v>2249.474999999999</v>
      </c>
      <c r="Y646">
        <v>2419.1999999999989</v>
      </c>
    </row>
    <row r="647" spans="1:25" x14ac:dyDescent="0.35">
      <c r="A647">
        <v>603</v>
      </c>
      <c r="B647">
        <v>906.59999999999945</v>
      </c>
      <c r="C647">
        <v>977.82499999999891</v>
      </c>
      <c r="D647">
        <v>906.60000000000036</v>
      </c>
      <c r="E647">
        <v>-945.15000000000055</v>
      </c>
      <c r="F647">
        <v>-498.375</v>
      </c>
      <c r="G647">
        <v>-2473.25</v>
      </c>
      <c r="J647">
        <v>603</v>
      </c>
      <c r="K647">
        <v>0</v>
      </c>
      <c r="L647">
        <v>0</v>
      </c>
      <c r="M647">
        <v>0</v>
      </c>
      <c r="N647">
        <v>224</v>
      </c>
      <c r="O647">
        <v>185</v>
      </c>
      <c r="P647">
        <v>310</v>
      </c>
      <c r="S647">
        <v>603</v>
      </c>
      <c r="T647">
        <v>906.59999999999945</v>
      </c>
      <c r="U647">
        <v>997.25</v>
      </c>
      <c r="V647">
        <v>906.59999999999945</v>
      </c>
      <c r="W647">
        <v>2245.1999999999998</v>
      </c>
      <c r="X647">
        <v>2260.4249999999988</v>
      </c>
      <c r="Y647">
        <v>1888.4910523257822</v>
      </c>
    </row>
    <row r="648" spans="1:25" x14ac:dyDescent="0.35">
      <c r="A648">
        <v>604</v>
      </c>
      <c r="B648">
        <v>906.59999999999945</v>
      </c>
      <c r="C648">
        <v>990.77499999999964</v>
      </c>
      <c r="D648">
        <v>906.59999999999945</v>
      </c>
      <c r="E648">
        <v>-880.40000000000055</v>
      </c>
      <c r="F648">
        <v>-712.05000000000109</v>
      </c>
      <c r="G648">
        <v>-2421.4499999999998</v>
      </c>
      <c r="J648">
        <v>604</v>
      </c>
      <c r="K648">
        <v>0</v>
      </c>
      <c r="L648">
        <v>0</v>
      </c>
      <c r="M648">
        <v>0</v>
      </c>
      <c r="N648">
        <v>226</v>
      </c>
      <c r="O648">
        <v>184</v>
      </c>
      <c r="P648">
        <v>307</v>
      </c>
      <c r="S648">
        <v>604</v>
      </c>
      <c r="T648">
        <v>906.59999999999945</v>
      </c>
      <c r="U648">
        <v>997.25</v>
      </c>
      <c r="V648">
        <v>906.59999999999945</v>
      </c>
      <c r="W648">
        <v>2331.1999999999994</v>
      </c>
      <c r="X648">
        <v>1323.9189254659773</v>
      </c>
      <c r="Y648">
        <v>418.67083727750241</v>
      </c>
    </row>
    <row r="649" spans="1:25" x14ac:dyDescent="0.35">
      <c r="A649">
        <v>605</v>
      </c>
      <c r="B649">
        <v>906.59999999999945</v>
      </c>
      <c r="C649">
        <v>971.35000000000036</v>
      </c>
      <c r="D649">
        <v>906.60000000000036</v>
      </c>
      <c r="E649">
        <v>-1061.7000000000007</v>
      </c>
      <c r="F649">
        <v>-433.625</v>
      </c>
      <c r="G649">
        <v>-2486.1999999999998</v>
      </c>
      <c r="J649">
        <v>605</v>
      </c>
      <c r="K649">
        <v>0</v>
      </c>
      <c r="L649">
        <v>0</v>
      </c>
      <c r="M649">
        <v>0</v>
      </c>
      <c r="N649">
        <v>226</v>
      </c>
      <c r="O649">
        <v>185</v>
      </c>
      <c r="P649">
        <v>310</v>
      </c>
      <c r="S649">
        <v>605</v>
      </c>
      <c r="T649">
        <v>906.59999999999945</v>
      </c>
      <c r="U649">
        <v>1010.1999999999989</v>
      </c>
      <c r="V649">
        <v>906.60000000000036</v>
      </c>
      <c r="W649">
        <v>2227.1999999999989</v>
      </c>
      <c r="X649">
        <v>-536.52142482725662</v>
      </c>
      <c r="Y649">
        <v>2027.2576506754049</v>
      </c>
    </row>
    <row r="650" spans="1:25" x14ac:dyDescent="0.35">
      <c r="A650">
        <v>606</v>
      </c>
      <c r="B650">
        <v>906.59999999999945</v>
      </c>
      <c r="C650">
        <v>977.82499999999891</v>
      </c>
      <c r="D650">
        <v>906.60000000000036</v>
      </c>
      <c r="E650">
        <v>-1139.4000000000005</v>
      </c>
      <c r="F650">
        <v>-381.82500000000073</v>
      </c>
      <c r="G650">
        <v>-2654.55</v>
      </c>
      <c r="J650">
        <v>606</v>
      </c>
      <c r="K650">
        <v>0</v>
      </c>
      <c r="L650">
        <v>0</v>
      </c>
      <c r="M650">
        <v>0</v>
      </c>
      <c r="N650">
        <v>232</v>
      </c>
      <c r="O650">
        <v>194</v>
      </c>
      <c r="P650">
        <v>314</v>
      </c>
      <c r="S650">
        <v>606</v>
      </c>
      <c r="T650">
        <v>906.59999999999945</v>
      </c>
      <c r="U650">
        <v>984.29999999999927</v>
      </c>
      <c r="V650">
        <v>906.60000000000036</v>
      </c>
      <c r="W650">
        <v>2247.1999999999989</v>
      </c>
      <c r="X650">
        <v>2229.85</v>
      </c>
      <c r="Y650">
        <v>2505.1999999999998</v>
      </c>
    </row>
    <row r="651" spans="1:25" x14ac:dyDescent="0.35">
      <c r="A651">
        <v>607</v>
      </c>
      <c r="B651">
        <v>906.59999999999945</v>
      </c>
      <c r="C651">
        <v>977.82499999999982</v>
      </c>
      <c r="D651">
        <v>906.59999999999945</v>
      </c>
      <c r="E651">
        <v>-1255.9500000000007</v>
      </c>
      <c r="F651">
        <v>-725</v>
      </c>
      <c r="G651">
        <v>-2123.6000000000004</v>
      </c>
      <c r="J651">
        <v>607</v>
      </c>
      <c r="K651">
        <v>0</v>
      </c>
      <c r="L651">
        <v>0</v>
      </c>
      <c r="M651">
        <v>0</v>
      </c>
      <c r="N651">
        <v>215</v>
      </c>
      <c r="O651">
        <v>191</v>
      </c>
      <c r="P651">
        <v>294</v>
      </c>
      <c r="S651">
        <v>607</v>
      </c>
      <c r="T651">
        <v>906.59999999999945</v>
      </c>
      <c r="U651">
        <v>964.87499999999909</v>
      </c>
      <c r="V651">
        <v>906.59999999999945</v>
      </c>
      <c r="W651">
        <v>303.44926084954568</v>
      </c>
      <c r="X651">
        <v>2337.7499999999995</v>
      </c>
      <c r="Y651">
        <v>768.58591943289912</v>
      </c>
    </row>
    <row r="652" spans="1:25" x14ac:dyDescent="0.35">
      <c r="A652">
        <v>608</v>
      </c>
      <c r="B652">
        <v>906.59999999999945</v>
      </c>
      <c r="C652">
        <v>945.44999999999982</v>
      </c>
      <c r="D652">
        <v>919.54999999999927</v>
      </c>
      <c r="E652">
        <v>-1126.4500000000007</v>
      </c>
      <c r="F652">
        <v>-563.125</v>
      </c>
      <c r="G652">
        <v>-2563.9000000000005</v>
      </c>
      <c r="J652">
        <v>608</v>
      </c>
      <c r="K652">
        <v>0</v>
      </c>
      <c r="L652">
        <v>0</v>
      </c>
      <c r="M652">
        <v>0</v>
      </c>
      <c r="N652">
        <v>207</v>
      </c>
      <c r="O652">
        <v>187</v>
      </c>
      <c r="P652">
        <v>335</v>
      </c>
      <c r="S652">
        <v>608</v>
      </c>
      <c r="T652">
        <v>906.59999999999945</v>
      </c>
      <c r="U652">
        <v>951.92499999999927</v>
      </c>
      <c r="V652">
        <v>906.60000000000036</v>
      </c>
      <c r="W652">
        <v>2245.1999999999998</v>
      </c>
      <c r="X652">
        <v>2269.474999999999</v>
      </c>
      <c r="Y652">
        <v>2490.1499999999996</v>
      </c>
    </row>
    <row r="653" spans="1:25" x14ac:dyDescent="0.35">
      <c r="A653">
        <v>609</v>
      </c>
      <c r="B653">
        <v>906.59999999999945</v>
      </c>
      <c r="C653">
        <v>984.30000000000018</v>
      </c>
      <c r="D653">
        <v>906.60000000000036</v>
      </c>
      <c r="E653">
        <v>-1074.6500000000005</v>
      </c>
      <c r="F653">
        <v>-498.375</v>
      </c>
      <c r="G653">
        <v>-2058.8500000000004</v>
      </c>
      <c r="J653">
        <v>609</v>
      </c>
      <c r="K653">
        <v>0</v>
      </c>
      <c r="L653">
        <v>0</v>
      </c>
      <c r="M653">
        <v>0</v>
      </c>
      <c r="N653">
        <v>247</v>
      </c>
      <c r="O653">
        <v>191</v>
      </c>
      <c r="P653">
        <v>328</v>
      </c>
      <c r="S653">
        <v>609</v>
      </c>
      <c r="T653">
        <v>906.59999999999945</v>
      </c>
      <c r="U653">
        <v>951.92499999999927</v>
      </c>
      <c r="V653">
        <v>906.60000000000036</v>
      </c>
      <c r="W653">
        <v>2231.1999999999994</v>
      </c>
      <c r="X653">
        <v>2228.4249999999997</v>
      </c>
      <c r="Y653">
        <v>2457.1999999999998</v>
      </c>
    </row>
    <row r="654" spans="1:25" x14ac:dyDescent="0.35">
      <c r="A654">
        <v>610</v>
      </c>
      <c r="B654">
        <v>906.59999999999945</v>
      </c>
      <c r="C654">
        <v>964.875</v>
      </c>
      <c r="D654">
        <v>906.59999999999945</v>
      </c>
      <c r="E654">
        <v>-1009.9000000000005</v>
      </c>
      <c r="F654">
        <v>-595.5</v>
      </c>
      <c r="G654">
        <v>-2408.5</v>
      </c>
      <c r="J654">
        <v>610</v>
      </c>
      <c r="K654">
        <v>0</v>
      </c>
      <c r="L654">
        <v>0</v>
      </c>
      <c r="M654">
        <v>0</v>
      </c>
      <c r="N654">
        <v>240</v>
      </c>
      <c r="O654">
        <v>184</v>
      </c>
      <c r="P654">
        <v>319</v>
      </c>
      <c r="S654">
        <v>610</v>
      </c>
      <c r="T654">
        <v>906.59999999999945</v>
      </c>
      <c r="U654">
        <v>958.39999999999964</v>
      </c>
      <c r="V654">
        <v>906.60000000000036</v>
      </c>
      <c r="W654">
        <v>-1009.9000000000005</v>
      </c>
      <c r="X654">
        <v>2134.5249999999992</v>
      </c>
      <c r="Y654">
        <v>1183.2769077094044</v>
      </c>
    </row>
    <row r="655" spans="1:25" x14ac:dyDescent="0.35">
      <c r="A655">
        <v>611</v>
      </c>
      <c r="B655">
        <v>906.59999999999945</v>
      </c>
      <c r="C655">
        <v>964.875</v>
      </c>
      <c r="D655">
        <v>906.59999999999945</v>
      </c>
      <c r="E655">
        <v>-1437.25</v>
      </c>
      <c r="F655">
        <v>-718.52500000000055</v>
      </c>
      <c r="G655">
        <v>-2369.6500000000005</v>
      </c>
      <c r="J655">
        <v>611</v>
      </c>
      <c r="K655">
        <v>0</v>
      </c>
      <c r="L655">
        <v>0</v>
      </c>
      <c r="M655">
        <v>0</v>
      </c>
      <c r="N655">
        <v>214</v>
      </c>
      <c r="O655">
        <v>152</v>
      </c>
      <c r="P655">
        <v>320</v>
      </c>
      <c r="S655">
        <v>611</v>
      </c>
      <c r="T655">
        <v>906.59999999999945</v>
      </c>
      <c r="U655">
        <v>1003.7250000000004</v>
      </c>
      <c r="V655">
        <v>906.59999999999945</v>
      </c>
      <c r="W655">
        <v>2265.1999999999998</v>
      </c>
      <c r="X655">
        <v>2226.9999999999991</v>
      </c>
      <c r="Y655">
        <v>2466.1499999999996</v>
      </c>
    </row>
    <row r="656" spans="1:25" x14ac:dyDescent="0.35">
      <c r="A656">
        <v>612</v>
      </c>
      <c r="B656">
        <v>906.59999999999945</v>
      </c>
      <c r="C656">
        <v>951.92499999999927</v>
      </c>
      <c r="D656">
        <v>906.59999999999945</v>
      </c>
      <c r="E656">
        <v>-776.80000000000018</v>
      </c>
      <c r="F656">
        <v>-375.35000000000036</v>
      </c>
      <c r="G656">
        <v>-2356.6999999999998</v>
      </c>
      <c r="J656">
        <v>612</v>
      </c>
      <c r="K656">
        <v>0</v>
      </c>
      <c r="L656">
        <v>0</v>
      </c>
      <c r="M656">
        <v>0</v>
      </c>
      <c r="N656">
        <v>224</v>
      </c>
      <c r="O656">
        <v>173</v>
      </c>
      <c r="P656">
        <v>305</v>
      </c>
      <c r="S656">
        <v>612</v>
      </c>
      <c r="T656">
        <v>906.59999999999945</v>
      </c>
      <c r="U656">
        <v>977.82499999999891</v>
      </c>
      <c r="V656">
        <v>906.59999999999945</v>
      </c>
      <c r="W656">
        <v>1738.3617313792397</v>
      </c>
      <c r="X656">
        <v>1319.6126693402884</v>
      </c>
      <c r="Y656">
        <v>-794.95283031720282</v>
      </c>
    </row>
    <row r="657" spans="1:25" x14ac:dyDescent="0.35">
      <c r="A657">
        <v>613</v>
      </c>
      <c r="B657">
        <v>906.59999999999945</v>
      </c>
      <c r="C657">
        <v>997.24999999999909</v>
      </c>
      <c r="D657">
        <v>906.59999999999945</v>
      </c>
      <c r="E657">
        <v>-854.5</v>
      </c>
      <c r="F657">
        <v>-485.42500000000018</v>
      </c>
      <c r="G657">
        <v>-2343.75</v>
      </c>
      <c r="J657">
        <v>613</v>
      </c>
      <c r="K657">
        <v>0</v>
      </c>
      <c r="L657">
        <v>0</v>
      </c>
      <c r="M657">
        <v>0</v>
      </c>
      <c r="N657">
        <v>223</v>
      </c>
      <c r="O657">
        <v>209</v>
      </c>
      <c r="P657">
        <v>303</v>
      </c>
      <c r="S657">
        <v>613</v>
      </c>
      <c r="T657">
        <v>906.59999999999945</v>
      </c>
      <c r="U657">
        <v>1003.7249999999995</v>
      </c>
      <c r="V657">
        <v>906.59999999999945</v>
      </c>
      <c r="W657">
        <v>2155.3558621800539</v>
      </c>
      <c r="X657">
        <v>2247.4749999999999</v>
      </c>
      <c r="Y657">
        <v>2441.1999999999998</v>
      </c>
    </row>
    <row r="658" spans="1:25" x14ac:dyDescent="0.35">
      <c r="A658">
        <v>614</v>
      </c>
      <c r="B658">
        <v>906.59999999999945</v>
      </c>
      <c r="C658">
        <v>951.92499999999927</v>
      </c>
      <c r="D658">
        <v>828.89999999999964</v>
      </c>
      <c r="E658">
        <v>-1061.7000000000007</v>
      </c>
      <c r="F658">
        <v>-200.52499999999964</v>
      </c>
      <c r="G658">
        <v>-1955.25</v>
      </c>
      <c r="J658">
        <v>614</v>
      </c>
      <c r="K658">
        <v>0</v>
      </c>
      <c r="L658">
        <v>0</v>
      </c>
      <c r="M658">
        <v>0</v>
      </c>
      <c r="N658">
        <v>217</v>
      </c>
      <c r="O658">
        <v>181</v>
      </c>
      <c r="P658">
        <v>318</v>
      </c>
      <c r="S658">
        <v>614</v>
      </c>
      <c r="T658">
        <v>906.59999999999945</v>
      </c>
      <c r="U658">
        <v>958.39999999999873</v>
      </c>
      <c r="V658">
        <v>906.59999999999945</v>
      </c>
      <c r="W658">
        <v>2257.1999999999989</v>
      </c>
      <c r="X658">
        <v>2288.8000000000002</v>
      </c>
      <c r="Y658">
        <v>2492.1499999999996</v>
      </c>
    </row>
    <row r="659" spans="1:25" x14ac:dyDescent="0.35">
      <c r="A659">
        <v>615</v>
      </c>
      <c r="B659">
        <v>906.59999999999945</v>
      </c>
      <c r="C659">
        <v>951.92500000000018</v>
      </c>
      <c r="D659">
        <v>906.59999999999945</v>
      </c>
      <c r="E659">
        <v>-971.05000000000018</v>
      </c>
      <c r="F659">
        <v>-524.27499999999964</v>
      </c>
      <c r="G659">
        <v>-2175.4000000000005</v>
      </c>
      <c r="J659">
        <v>615</v>
      </c>
      <c r="K659">
        <v>0</v>
      </c>
      <c r="L659">
        <v>0</v>
      </c>
      <c r="M659">
        <v>0</v>
      </c>
      <c r="N659">
        <v>200</v>
      </c>
      <c r="O659">
        <v>175</v>
      </c>
      <c r="P659">
        <v>318</v>
      </c>
      <c r="S659">
        <v>615</v>
      </c>
      <c r="T659">
        <v>906.59999999999945</v>
      </c>
      <c r="U659">
        <v>938.97500000000036</v>
      </c>
      <c r="V659">
        <v>906.60000000000036</v>
      </c>
      <c r="W659">
        <v>2283.1999999999998</v>
      </c>
      <c r="X659">
        <v>2230.5249999999996</v>
      </c>
      <c r="Y659">
        <v>2487.1999999999998</v>
      </c>
    </row>
    <row r="660" spans="1:25" x14ac:dyDescent="0.35">
      <c r="A660">
        <v>616</v>
      </c>
      <c r="B660">
        <v>906.59999999999945</v>
      </c>
      <c r="C660">
        <v>984.29999999999927</v>
      </c>
      <c r="D660">
        <v>906.59999999999945</v>
      </c>
      <c r="E660">
        <v>-1255.9500000000007</v>
      </c>
      <c r="F660">
        <v>-569.60000000000036</v>
      </c>
      <c r="G660">
        <v>-2512.1000000000004</v>
      </c>
      <c r="J660">
        <v>616</v>
      </c>
      <c r="K660">
        <v>0</v>
      </c>
      <c r="L660">
        <v>0</v>
      </c>
      <c r="M660">
        <v>0</v>
      </c>
      <c r="N660">
        <v>201</v>
      </c>
      <c r="O660">
        <v>168</v>
      </c>
      <c r="P660">
        <v>310</v>
      </c>
      <c r="S660">
        <v>616</v>
      </c>
      <c r="T660">
        <v>906.59999999999945</v>
      </c>
      <c r="U660">
        <v>964.87499999999909</v>
      </c>
      <c r="V660">
        <v>906.59999999999945</v>
      </c>
      <c r="W660">
        <v>2231.1999999999994</v>
      </c>
      <c r="X660">
        <v>2262.7999999999988</v>
      </c>
      <c r="Y660">
        <v>364.67241063009897</v>
      </c>
    </row>
    <row r="661" spans="1:25" x14ac:dyDescent="0.35">
      <c r="A661">
        <v>617</v>
      </c>
      <c r="B661">
        <v>906.59999999999945</v>
      </c>
      <c r="C661">
        <v>990.77499999999964</v>
      </c>
      <c r="D661">
        <v>906.60000000000036</v>
      </c>
      <c r="E661">
        <v>-880.40000000000055</v>
      </c>
      <c r="F661">
        <v>-621.40000000000055</v>
      </c>
      <c r="G661">
        <v>-2162.4500000000007</v>
      </c>
      <c r="J661">
        <v>617</v>
      </c>
      <c r="K661">
        <v>0</v>
      </c>
      <c r="L661">
        <v>0</v>
      </c>
      <c r="M661">
        <v>6</v>
      </c>
      <c r="N661">
        <v>237</v>
      </c>
      <c r="O661">
        <v>168</v>
      </c>
      <c r="P661">
        <v>312</v>
      </c>
      <c r="S661">
        <v>617</v>
      </c>
      <c r="T661">
        <v>906.59999999999945</v>
      </c>
      <c r="U661">
        <v>977.82499999999982</v>
      </c>
      <c r="V661">
        <v>906.59999999999945</v>
      </c>
      <c r="W661">
        <v>462.8101766173686</v>
      </c>
      <c r="X661">
        <v>173.17121455044486</v>
      </c>
      <c r="Y661">
        <v>1917.9607884379348</v>
      </c>
    </row>
    <row r="662" spans="1:25" x14ac:dyDescent="0.35">
      <c r="A662">
        <v>618</v>
      </c>
      <c r="B662">
        <v>906.59999999999945</v>
      </c>
      <c r="C662">
        <v>977.82499999999982</v>
      </c>
      <c r="D662">
        <v>906.60000000000036</v>
      </c>
      <c r="E662">
        <v>-1035.8000000000002</v>
      </c>
      <c r="F662">
        <v>-401.25</v>
      </c>
      <c r="G662">
        <v>-2201.3000000000002</v>
      </c>
      <c r="J662">
        <v>618</v>
      </c>
      <c r="K662">
        <v>0</v>
      </c>
      <c r="L662">
        <v>0</v>
      </c>
      <c r="M662">
        <v>0</v>
      </c>
      <c r="N662">
        <v>216</v>
      </c>
      <c r="O662">
        <v>177</v>
      </c>
      <c r="P662">
        <v>315</v>
      </c>
      <c r="S662">
        <v>618</v>
      </c>
      <c r="T662">
        <v>906.59999999999945</v>
      </c>
      <c r="U662">
        <v>990.77499999999964</v>
      </c>
      <c r="V662">
        <v>906.60000000000036</v>
      </c>
      <c r="W662">
        <v>665.57883760229197</v>
      </c>
      <c r="X662">
        <v>-388.30000000000018</v>
      </c>
      <c r="Y662">
        <v>-2473.6486087306525</v>
      </c>
    </row>
    <row r="663" spans="1:25" x14ac:dyDescent="0.35">
      <c r="A663">
        <v>619</v>
      </c>
      <c r="B663">
        <v>906.59999999999945</v>
      </c>
      <c r="C663">
        <v>919.54999999999927</v>
      </c>
      <c r="D663">
        <v>906.60000000000036</v>
      </c>
      <c r="E663">
        <v>-906.30000000000018</v>
      </c>
      <c r="F663">
        <v>-563.125</v>
      </c>
      <c r="G663">
        <v>-2654.55</v>
      </c>
      <c r="J663">
        <v>619</v>
      </c>
      <c r="K663">
        <v>0</v>
      </c>
      <c r="L663">
        <v>0</v>
      </c>
      <c r="M663">
        <v>0</v>
      </c>
      <c r="N663">
        <v>212</v>
      </c>
      <c r="O663">
        <v>160</v>
      </c>
      <c r="P663">
        <v>330</v>
      </c>
      <c r="S663">
        <v>619</v>
      </c>
      <c r="T663">
        <v>906.59999999999945</v>
      </c>
      <c r="U663">
        <v>984.29999999999927</v>
      </c>
      <c r="V663">
        <v>906.59999999999945</v>
      </c>
      <c r="W663">
        <v>2235.1999999999998</v>
      </c>
      <c r="X663">
        <v>2344.7999999999997</v>
      </c>
      <c r="Y663">
        <v>318.77245010288061</v>
      </c>
    </row>
    <row r="664" spans="1:25" x14ac:dyDescent="0.35">
      <c r="A664">
        <v>620</v>
      </c>
      <c r="B664">
        <v>906.59999999999945</v>
      </c>
      <c r="C664">
        <v>1003.7249999999995</v>
      </c>
      <c r="D664">
        <v>906.60000000000036</v>
      </c>
      <c r="E664">
        <v>-828.60000000000036</v>
      </c>
      <c r="F664">
        <v>-401.25</v>
      </c>
      <c r="G664">
        <v>-2110.6500000000005</v>
      </c>
      <c r="J664">
        <v>620</v>
      </c>
      <c r="K664">
        <v>0</v>
      </c>
      <c r="L664">
        <v>0</v>
      </c>
      <c r="M664">
        <v>0</v>
      </c>
      <c r="N664">
        <v>256</v>
      </c>
      <c r="O664">
        <v>203</v>
      </c>
      <c r="P664">
        <v>334</v>
      </c>
      <c r="S664">
        <v>620</v>
      </c>
      <c r="T664">
        <v>906.59999999999945</v>
      </c>
      <c r="U664">
        <v>938.97500000000036</v>
      </c>
      <c r="V664">
        <v>906.60000000000036</v>
      </c>
      <c r="W664">
        <v>-201.78345599814645</v>
      </c>
      <c r="X664">
        <v>2266.8999999999992</v>
      </c>
      <c r="Y664">
        <v>-2447.3500000000004</v>
      </c>
    </row>
    <row r="665" spans="1:25" x14ac:dyDescent="0.35">
      <c r="A665">
        <v>621</v>
      </c>
      <c r="B665">
        <v>906.59999999999945</v>
      </c>
      <c r="C665">
        <v>958.39999999999873</v>
      </c>
      <c r="D665">
        <v>906.59999999999945</v>
      </c>
      <c r="E665">
        <v>-996.95000000000073</v>
      </c>
      <c r="F665">
        <v>-355.92500000000018</v>
      </c>
      <c r="G665">
        <v>-2473.25</v>
      </c>
      <c r="J665">
        <v>621</v>
      </c>
      <c r="K665">
        <v>0</v>
      </c>
      <c r="L665">
        <v>0</v>
      </c>
      <c r="M665">
        <v>0</v>
      </c>
      <c r="N665">
        <v>223</v>
      </c>
      <c r="O665">
        <v>167</v>
      </c>
      <c r="P665">
        <v>310</v>
      </c>
      <c r="S665">
        <v>621</v>
      </c>
      <c r="T665">
        <v>906.59999999999945</v>
      </c>
      <c r="U665">
        <v>971.35000000000036</v>
      </c>
      <c r="V665">
        <v>906.60000000000036</v>
      </c>
      <c r="W665">
        <v>2299.1999999999994</v>
      </c>
      <c r="X665">
        <v>2217.5749999999998</v>
      </c>
      <c r="Y665">
        <v>2437.1999999999989</v>
      </c>
    </row>
    <row r="666" spans="1:25" x14ac:dyDescent="0.35">
      <c r="A666">
        <v>622</v>
      </c>
      <c r="B666">
        <v>906.59999999999945</v>
      </c>
      <c r="C666">
        <v>997.25</v>
      </c>
      <c r="D666">
        <v>906.59999999999945</v>
      </c>
      <c r="E666">
        <v>-906.30000000000018</v>
      </c>
      <c r="F666">
        <v>-407.72500000000036</v>
      </c>
      <c r="G666">
        <v>-2149.5</v>
      </c>
      <c r="J666">
        <v>622</v>
      </c>
      <c r="K666">
        <v>0</v>
      </c>
      <c r="L666">
        <v>0</v>
      </c>
      <c r="M666">
        <v>0</v>
      </c>
      <c r="N666">
        <v>225</v>
      </c>
      <c r="O666">
        <v>198</v>
      </c>
      <c r="P666">
        <v>323</v>
      </c>
      <c r="S666">
        <v>622</v>
      </c>
      <c r="T666">
        <v>906.59999999999945</v>
      </c>
      <c r="U666">
        <v>977.82499999999891</v>
      </c>
      <c r="V666">
        <v>906.60000000000036</v>
      </c>
      <c r="W666">
        <v>2257.1999999999989</v>
      </c>
      <c r="X666">
        <v>2216.4250000000002</v>
      </c>
      <c r="Y666">
        <v>2415.1999999999998</v>
      </c>
    </row>
    <row r="667" spans="1:25" x14ac:dyDescent="0.35">
      <c r="A667">
        <v>623</v>
      </c>
      <c r="B667">
        <v>906.59999999999945</v>
      </c>
      <c r="C667">
        <v>997.25</v>
      </c>
      <c r="D667">
        <v>906.59999999999945</v>
      </c>
      <c r="E667">
        <v>-867.45000000000073</v>
      </c>
      <c r="F667">
        <v>-258.80000000000018</v>
      </c>
      <c r="G667">
        <v>-2343.75</v>
      </c>
      <c r="J667">
        <v>623</v>
      </c>
      <c r="K667">
        <v>0</v>
      </c>
      <c r="L667">
        <v>0</v>
      </c>
      <c r="M667">
        <v>0</v>
      </c>
      <c r="N667">
        <v>248</v>
      </c>
      <c r="O667">
        <v>174</v>
      </c>
      <c r="P667">
        <v>313</v>
      </c>
      <c r="S667">
        <v>623</v>
      </c>
      <c r="T667">
        <v>906.59999999999945</v>
      </c>
      <c r="U667">
        <v>964.875</v>
      </c>
      <c r="V667">
        <v>906.59999999999945</v>
      </c>
      <c r="W667">
        <v>2275.1999999999998</v>
      </c>
      <c r="X667">
        <v>2312.8999999999996</v>
      </c>
      <c r="Y667">
        <v>2447.1999999999998</v>
      </c>
    </row>
    <row r="668" spans="1:25" x14ac:dyDescent="0.35">
      <c r="A668">
        <v>624</v>
      </c>
      <c r="B668">
        <v>906.59999999999945</v>
      </c>
      <c r="C668">
        <v>990.77499999999964</v>
      </c>
      <c r="D668">
        <v>906.60000000000036</v>
      </c>
      <c r="E668">
        <v>-1255.9500000000007</v>
      </c>
      <c r="F668">
        <v>-381.82500000000073</v>
      </c>
      <c r="G668">
        <v>-2279</v>
      </c>
      <c r="J668">
        <v>624</v>
      </c>
      <c r="K668">
        <v>0</v>
      </c>
      <c r="L668">
        <v>0</v>
      </c>
      <c r="M668">
        <v>0</v>
      </c>
      <c r="N668">
        <v>239</v>
      </c>
      <c r="O668">
        <v>175</v>
      </c>
      <c r="P668">
        <v>318</v>
      </c>
      <c r="S668">
        <v>624</v>
      </c>
      <c r="T668">
        <v>906.59999999999945</v>
      </c>
      <c r="U668">
        <v>951.92499999999927</v>
      </c>
      <c r="V668">
        <v>906.59999999999945</v>
      </c>
      <c r="W668">
        <v>2269.1999999999994</v>
      </c>
      <c r="X668">
        <v>2063.5521775651805</v>
      </c>
      <c r="Y668">
        <v>2465.1999999999998</v>
      </c>
    </row>
    <row r="669" spans="1:25" x14ac:dyDescent="0.35">
      <c r="A669">
        <v>625</v>
      </c>
      <c r="B669">
        <v>906.59999999999945</v>
      </c>
      <c r="C669">
        <v>1010.1999999999998</v>
      </c>
      <c r="D669">
        <v>738.25</v>
      </c>
      <c r="E669">
        <v>-984</v>
      </c>
      <c r="F669">
        <v>-414.20000000000073</v>
      </c>
      <c r="G669">
        <v>-2343.75</v>
      </c>
      <c r="J669">
        <v>625</v>
      </c>
      <c r="K669">
        <v>0</v>
      </c>
      <c r="L669">
        <v>0</v>
      </c>
      <c r="M669">
        <v>0</v>
      </c>
      <c r="N669">
        <v>223</v>
      </c>
      <c r="O669">
        <v>190</v>
      </c>
      <c r="P669">
        <v>319</v>
      </c>
      <c r="S669">
        <v>625</v>
      </c>
      <c r="T669">
        <v>906.59999999999945</v>
      </c>
      <c r="U669">
        <v>971.34999999999854</v>
      </c>
      <c r="V669">
        <v>906.60000000000036</v>
      </c>
      <c r="W669">
        <v>923.22791548575105</v>
      </c>
      <c r="X669">
        <v>2232.4249999999997</v>
      </c>
      <c r="Y669">
        <v>-2071.8000000000002</v>
      </c>
    </row>
    <row r="670" spans="1:25" x14ac:dyDescent="0.35">
      <c r="A670">
        <v>626</v>
      </c>
      <c r="B670">
        <v>906.59999999999945</v>
      </c>
      <c r="C670">
        <v>990.77499999999964</v>
      </c>
      <c r="D670">
        <v>906.59999999999945</v>
      </c>
      <c r="E670">
        <v>-1255.9500000000007</v>
      </c>
      <c r="F670">
        <v>-375.35000000000036</v>
      </c>
      <c r="G670">
        <v>-2434.4000000000005</v>
      </c>
      <c r="J670">
        <v>626</v>
      </c>
      <c r="K670">
        <v>0</v>
      </c>
      <c r="L670">
        <v>0</v>
      </c>
      <c r="M670">
        <v>0</v>
      </c>
      <c r="N670">
        <v>223</v>
      </c>
      <c r="O670">
        <v>199</v>
      </c>
      <c r="P670">
        <v>279</v>
      </c>
      <c r="S670">
        <v>626</v>
      </c>
      <c r="T670">
        <v>906.59999999999945</v>
      </c>
      <c r="U670">
        <v>964.875</v>
      </c>
      <c r="V670">
        <v>906.59999999999945</v>
      </c>
      <c r="W670">
        <v>2275.1999999999998</v>
      </c>
      <c r="X670">
        <v>2203.4749999999995</v>
      </c>
      <c r="Y670">
        <v>-2356.6999999999998</v>
      </c>
    </row>
    <row r="671" spans="1:25" x14ac:dyDescent="0.35">
      <c r="A671">
        <v>627</v>
      </c>
      <c r="B671">
        <v>906.59999999999945</v>
      </c>
      <c r="C671">
        <v>1029.6249999999991</v>
      </c>
      <c r="D671">
        <v>906.59999999999945</v>
      </c>
      <c r="E671">
        <v>-750.90000000000055</v>
      </c>
      <c r="F671">
        <v>-394.77499999999964</v>
      </c>
      <c r="G671">
        <v>-2473.25</v>
      </c>
      <c r="J671">
        <v>627</v>
      </c>
      <c r="K671">
        <v>0</v>
      </c>
      <c r="L671">
        <v>0</v>
      </c>
      <c r="M671">
        <v>0</v>
      </c>
      <c r="N671">
        <v>215</v>
      </c>
      <c r="O671">
        <v>173</v>
      </c>
      <c r="P671">
        <v>324</v>
      </c>
      <c r="S671">
        <v>627</v>
      </c>
      <c r="T671">
        <v>906.59999999999945</v>
      </c>
      <c r="U671">
        <v>958.39999999999964</v>
      </c>
      <c r="V671">
        <v>906.59999999999945</v>
      </c>
      <c r="W671">
        <v>2271.1999999999994</v>
      </c>
      <c r="X671">
        <v>881.17666340067672</v>
      </c>
      <c r="Y671">
        <v>1709.4077093710548</v>
      </c>
    </row>
    <row r="672" spans="1:25" x14ac:dyDescent="0.35">
      <c r="A672">
        <v>628</v>
      </c>
      <c r="B672">
        <v>906.59999999999945</v>
      </c>
      <c r="C672">
        <v>1010.1999999999998</v>
      </c>
      <c r="D672">
        <v>906.60000000000036</v>
      </c>
      <c r="E672">
        <v>-1294.8000000000002</v>
      </c>
      <c r="F672">
        <v>-440.10000000000036</v>
      </c>
      <c r="G672">
        <v>-2330.8000000000002</v>
      </c>
      <c r="J672">
        <v>628</v>
      </c>
      <c r="K672">
        <v>0</v>
      </c>
      <c r="L672">
        <v>0</v>
      </c>
      <c r="M672">
        <v>0</v>
      </c>
      <c r="N672">
        <v>219</v>
      </c>
      <c r="O672">
        <v>170</v>
      </c>
      <c r="P672">
        <v>292</v>
      </c>
      <c r="S672">
        <v>628</v>
      </c>
      <c r="T672">
        <v>906.59999999999945</v>
      </c>
      <c r="U672">
        <v>977.82499999999982</v>
      </c>
      <c r="V672">
        <v>906.60000000000036</v>
      </c>
      <c r="W672">
        <v>2207.1999999999989</v>
      </c>
      <c r="X672">
        <v>2174.0500000000002</v>
      </c>
      <c r="Y672">
        <v>2491.1999999999998</v>
      </c>
    </row>
    <row r="673" spans="1:25" x14ac:dyDescent="0.35">
      <c r="A673">
        <v>629</v>
      </c>
      <c r="B673">
        <v>906.59999999999945</v>
      </c>
      <c r="C673">
        <v>1003.7250000000004</v>
      </c>
      <c r="D673">
        <v>906.60000000000036</v>
      </c>
      <c r="E673">
        <v>-971.05000000000018</v>
      </c>
      <c r="F673">
        <v>-653.77499999999964</v>
      </c>
      <c r="G673">
        <v>-2317.8500000000004</v>
      </c>
      <c r="J673">
        <v>629</v>
      </c>
      <c r="K673">
        <v>0</v>
      </c>
      <c r="L673">
        <v>0</v>
      </c>
      <c r="M673">
        <v>0</v>
      </c>
      <c r="N673">
        <v>225</v>
      </c>
      <c r="O673">
        <v>165</v>
      </c>
      <c r="P673">
        <v>344</v>
      </c>
      <c r="S673">
        <v>629</v>
      </c>
      <c r="T673">
        <v>906.59999999999945</v>
      </c>
      <c r="U673">
        <v>1003.7249999999995</v>
      </c>
      <c r="V673">
        <v>906.59999999999945</v>
      </c>
      <c r="W673">
        <v>-802.70000000000073</v>
      </c>
      <c r="X673">
        <v>2224.0500000000002</v>
      </c>
      <c r="Y673">
        <v>1711.3318886643738</v>
      </c>
    </row>
    <row r="674" spans="1:25" x14ac:dyDescent="0.35">
      <c r="A674">
        <v>630</v>
      </c>
      <c r="B674">
        <v>906.59999999999945</v>
      </c>
      <c r="C674">
        <v>964.875</v>
      </c>
      <c r="D674">
        <v>906.60000000000036</v>
      </c>
      <c r="E674">
        <v>-1217.1000000000004</v>
      </c>
      <c r="F674">
        <v>-718.52500000000055</v>
      </c>
      <c r="G674">
        <v>-2162.4500000000007</v>
      </c>
      <c r="J674">
        <v>630</v>
      </c>
      <c r="K674">
        <v>0</v>
      </c>
      <c r="L674">
        <v>0</v>
      </c>
      <c r="M674">
        <v>0</v>
      </c>
      <c r="N674">
        <v>208</v>
      </c>
      <c r="O674">
        <v>177</v>
      </c>
      <c r="P674">
        <v>326</v>
      </c>
      <c r="S674">
        <v>630</v>
      </c>
      <c r="T674">
        <v>906.59999999999945</v>
      </c>
      <c r="U674">
        <v>958.39999999999964</v>
      </c>
      <c r="V674">
        <v>906.59999999999945</v>
      </c>
      <c r="W674">
        <v>2275.1999999999998</v>
      </c>
      <c r="X674">
        <v>2251.849999999999</v>
      </c>
      <c r="Y674">
        <v>-2550.9499999999998</v>
      </c>
    </row>
    <row r="675" spans="1:25" x14ac:dyDescent="0.35">
      <c r="A675">
        <v>631</v>
      </c>
      <c r="B675">
        <v>906.59999999999945</v>
      </c>
      <c r="C675">
        <v>958.39999999999964</v>
      </c>
      <c r="D675">
        <v>906.59999999999945</v>
      </c>
      <c r="E675">
        <v>-1437.25</v>
      </c>
      <c r="F675">
        <v>-478.95000000000073</v>
      </c>
      <c r="G675">
        <v>-2369.6500000000005</v>
      </c>
      <c r="J675">
        <v>631</v>
      </c>
      <c r="K675">
        <v>0</v>
      </c>
      <c r="L675">
        <v>0</v>
      </c>
      <c r="M675">
        <v>0</v>
      </c>
      <c r="N675">
        <v>231</v>
      </c>
      <c r="O675">
        <v>173</v>
      </c>
      <c r="P675">
        <v>312</v>
      </c>
      <c r="S675">
        <v>631</v>
      </c>
      <c r="T675">
        <v>906.59999999999945</v>
      </c>
      <c r="U675">
        <v>977.82499999999982</v>
      </c>
      <c r="V675">
        <v>906.59999999999945</v>
      </c>
      <c r="W675">
        <v>2275.1999999999998</v>
      </c>
      <c r="X675">
        <v>2230.8999999999996</v>
      </c>
      <c r="Y675">
        <v>1710.3071948437646</v>
      </c>
    </row>
    <row r="676" spans="1:25" x14ac:dyDescent="0.35">
      <c r="A676">
        <v>632</v>
      </c>
      <c r="B676">
        <v>906.59999999999945</v>
      </c>
      <c r="C676">
        <v>1010.1999999999989</v>
      </c>
      <c r="D676">
        <v>906.60000000000036</v>
      </c>
      <c r="E676">
        <v>-1437.25</v>
      </c>
      <c r="F676">
        <v>-517.80000000000018</v>
      </c>
      <c r="G676">
        <v>-2486.1999999999998</v>
      </c>
      <c r="J676">
        <v>632</v>
      </c>
      <c r="K676">
        <v>0</v>
      </c>
      <c r="L676">
        <v>0</v>
      </c>
      <c r="M676">
        <v>0</v>
      </c>
      <c r="N676">
        <v>242</v>
      </c>
      <c r="O676">
        <v>188</v>
      </c>
      <c r="P676">
        <v>314</v>
      </c>
      <c r="S676">
        <v>632</v>
      </c>
      <c r="T676">
        <v>906.59999999999945</v>
      </c>
      <c r="U676">
        <v>977.82499999999982</v>
      </c>
      <c r="V676">
        <v>906.59999999999945</v>
      </c>
      <c r="W676">
        <v>-143.35658201240904</v>
      </c>
      <c r="X676">
        <v>2178.5249999999996</v>
      </c>
      <c r="Y676">
        <v>2489.1999999999989</v>
      </c>
    </row>
    <row r="677" spans="1:25" x14ac:dyDescent="0.35">
      <c r="A677">
        <v>633</v>
      </c>
      <c r="B677">
        <v>906.59999999999945</v>
      </c>
      <c r="C677">
        <v>977.82499999999982</v>
      </c>
      <c r="D677">
        <v>906.59999999999945</v>
      </c>
      <c r="E677">
        <v>-1074.6500000000005</v>
      </c>
      <c r="F677">
        <v>-381.82500000000073</v>
      </c>
      <c r="G677">
        <v>-2240.1500000000005</v>
      </c>
      <c r="J677">
        <v>633</v>
      </c>
      <c r="K677">
        <v>0</v>
      </c>
      <c r="L677">
        <v>0</v>
      </c>
      <c r="M677">
        <v>0</v>
      </c>
      <c r="N677">
        <v>210</v>
      </c>
      <c r="O677">
        <v>185</v>
      </c>
      <c r="P677">
        <v>318</v>
      </c>
      <c r="S677">
        <v>633</v>
      </c>
      <c r="T677">
        <v>906.59999999999945</v>
      </c>
      <c r="U677">
        <v>958.39999999999873</v>
      </c>
      <c r="V677">
        <v>919.54999999999927</v>
      </c>
      <c r="W677">
        <v>2251.1999999999994</v>
      </c>
      <c r="X677">
        <v>1973.3808624156627</v>
      </c>
      <c r="Y677">
        <v>2457.1999999999998</v>
      </c>
    </row>
    <row r="678" spans="1:25" x14ac:dyDescent="0.35">
      <c r="A678">
        <v>634</v>
      </c>
      <c r="B678">
        <v>906.59999999999945</v>
      </c>
      <c r="C678">
        <v>984.29999999999927</v>
      </c>
      <c r="D678">
        <v>906.59999999999945</v>
      </c>
      <c r="E678">
        <v>-1061.7000000000007</v>
      </c>
      <c r="F678">
        <v>-394.77499999999964</v>
      </c>
      <c r="G678">
        <v>-2227.2000000000007</v>
      </c>
      <c r="J678">
        <v>634</v>
      </c>
      <c r="K678">
        <v>0</v>
      </c>
      <c r="L678">
        <v>0</v>
      </c>
      <c r="M678">
        <v>0</v>
      </c>
      <c r="N678">
        <v>232</v>
      </c>
      <c r="O678">
        <v>176</v>
      </c>
      <c r="P678">
        <v>342</v>
      </c>
      <c r="S678">
        <v>634</v>
      </c>
      <c r="T678">
        <v>906.59999999999945</v>
      </c>
      <c r="U678">
        <v>951.92499999999927</v>
      </c>
      <c r="V678">
        <v>906.59999999999945</v>
      </c>
      <c r="W678">
        <v>2223.1999999999998</v>
      </c>
      <c r="X678">
        <v>2237.4749999999999</v>
      </c>
      <c r="Y678">
        <v>2427.1999999999989</v>
      </c>
    </row>
    <row r="679" spans="1:25" x14ac:dyDescent="0.35">
      <c r="A679">
        <v>635</v>
      </c>
      <c r="B679">
        <v>906.59999999999945</v>
      </c>
      <c r="C679">
        <v>990.77499999999964</v>
      </c>
      <c r="D679">
        <v>906.59999999999945</v>
      </c>
      <c r="E679">
        <v>-841.55000000000018</v>
      </c>
      <c r="F679">
        <v>-537.22500000000036</v>
      </c>
      <c r="G679">
        <v>-2369.6500000000005</v>
      </c>
      <c r="J679">
        <v>635</v>
      </c>
      <c r="K679">
        <v>0</v>
      </c>
      <c r="L679">
        <v>0</v>
      </c>
      <c r="M679">
        <v>0</v>
      </c>
      <c r="N679">
        <v>225</v>
      </c>
      <c r="O679">
        <v>191</v>
      </c>
      <c r="P679">
        <v>317</v>
      </c>
      <c r="S679">
        <v>635</v>
      </c>
      <c r="T679">
        <v>906.59999999999945</v>
      </c>
      <c r="U679">
        <v>1010.1999999999998</v>
      </c>
      <c r="V679">
        <v>906.59999999999945</v>
      </c>
      <c r="W679">
        <v>2255.1999999999998</v>
      </c>
      <c r="X679">
        <v>2257.9499999999998</v>
      </c>
      <c r="Y679">
        <v>1839.6778398832398</v>
      </c>
    </row>
    <row r="680" spans="1:25" x14ac:dyDescent="0.35">
      <c r="A680">
        <v>636</v>
      </c>
      <c r="B680">
        <v>906.59999999999945</v>
      </c>
      <c r="C680">
        <v>958.39999999999964</v>
      </c>
      <c r="D680">
        <v>906.60000000000036</v>
      </c>
      <c r="E680">
        <v>-1553.8000000000002</v>
      </c>
      <c r="F680">
        <v>-466</v>
      </c>
      <c r="G680">
        <v>-2615.6999999999998</v>
      </c>
      <c r="J680">
        <v>636</v>
      </c>
      <c r="K680">
        <v>0</v>
      </c>
      <c r="L680">
        <v>0</v>
      </c>
      <c r="M680">
        <v>4</v>
      </c>
      <c r="N680">
        <v>258</v>
      </c>
      <c r="O680">
        <v>199</v>
      </c>
      <c r="P680">
        <v>335</v>
      </c>
      <c r="S680">
        <v>636</v>
      </c>
      <c r="T680">
        <v>906.59999999999945</v>
      </c>
      <c r="U680">
        <v>971.34999999999945</v>
      </c>
      <c r="V680">
        <v>906.60000000000036</v>
      </c>
      <c r="W680">
        <v>2251.1999999999994</v>
      </c>
      <c r="X680">
        <v>2245.3749999999995</v>
      </c>
      <c r="Y680">
        <v>-2304.9000000000005</v>
      </c>
    </row>
    <row r="681" spans="1:25" x14ac:dyDescent="0.35">
      <c r="A681">
        <v>637</v>
      </c>
      <c r="B681">
        <v>906.59999999999945</v>
      </c>
      <c r="C681">
        <v>945.44999999999982</v>
      </c>
      <c r="D681">
        <v>906.60000000000036</v>
      </c>
      <c r="E681">
        <v>-1191.2000000000007</v>
      </c>
      <c r="F681">
        <v>-472.47500000000036</v>
      </c>
      <c r="G681">
        <v>-2628.6500000000005</v>
      </c>
      <c r="J681">
        <v>637</v>
      </c>
      <c r="K681">
        <v>0</v>
      </c>
      <c r="L681">
        <v>0</v>
      </c>
      <c r="M681">
        <v>0</v>
      </c>
      <c r="N681">
        <v>243</v>
      </c>
      <c r="O681">
        <v>182</v>
      </c>
      <c r="P681">
        <v>334</v>
      </c>
      <c r="S681">
        <v>637</v>
      </c>
      <c r="T681">
        <v>906.59999999999945</v>
      </c>
      <c r="U681">
        <v>951.92499999999927</v>
      </c>
      <c r="V681">
        <v>906.59999999999945</v>
      </c>
      <c r="W681">
        <v>-568.75093126247748</v>
      </c>
      <c r="X681">
        <v>461.66395782989775</v>
      </c>
      <c r="Y681">
        <v>2465.1999999999998</v>
      </c>
    </row>
    <row r="682" spans="1:25" x14ac:dyDescent="0.35">
      <c r="A682">
        <v>638</v>
      </c>
      <c r="B682">
        <v>906.59999999999945</v>
      </c>
      <c r="C682">
        <v>958.39999999999964</v>
      </c>
      <c r="D682">
        <v>906.59999999999945</v>
      </c>
      <c r="E682">
        <v>-1178.25</v>
      </c>
      <c r="F682">
        <v>-550.17500000000018</v>
      </c>
      <c r="G682">
        <v>-2330.8000000000002</v>
      </c>
      <c r="J682">
        <v>638</v>
      </c>
      <c r="K682">
        <v>0</v>
      </c>
      <c r="L682">
        <v>0</v>
      </c>
      <c r="M682">
        <v>4</v>
      </c>
      <c r="N682">
        <v>232</v>
      </c>
      <c r="O682">
        <v>171</v>
      </c>
      <c r="P682">
        <v>319</v>
      </c>
      <c r="S682">
        <v>638</v>
      </c>
      <c r="T682">
        <v>906.59999999999945</v>
      </c>
      <c r="U682">
        <v>926.02499999999873</v>
      </c>
      <c r="V682">
        <v>906.59999999999945</v>
      </c>
      <c r="W682">
        <v>2239.1999999999994</v>
      </c>
      <c r="X682">
        <v>-249.95040748566146</v>
      </c>
      <c r="Y682">
        <v>2459.1999999999989</v>
      </c>
    </row>
    <row r="683" spans="1:25" x14ac:dyDescent="0.35">
      <c r="A683">
        <v>639</v>
      </c>
      <c r="B683">
        <v>906.59999999999945</v>
      </c>
      <c r="C683">
        <v>958.39999999999964</v>
      </c>
      <c r="D683">
        <v>906.59999999999945</v>
      </c>
      <c r="E683">
        <v>-1139.4000000000005</v>
      </c>
      <c r="F683">
        <v>-420.67500000000018</v>
      </c>
      <c r="G683">
        <v>-2279</v>
      </c>
      <c r="J683">
        <v>639</v>
      </c>
      <c r="K683">
        <v>0</v>
      </c>
      <c r="L683">
        <v>0</v>
      </c>
      <c r="M683">
        <v>0</v>
      </c>
      <c r="N683">
        <v>217</v>
      </c>
      <c r="O683">
        <v>167</v>
      </c>
      <c r="P683">
        <v>333</v>
      </c>
      <c r="S683">
        <v>639</v>
      </c>
      <c r="T683">
        <v>906.59999999999945</v>
      </c>
      <c r="U683">
        <v>964.87499999999909</v>
      </c>
      <c r="V683">
        <v>906.59999999999945</v>
      </c>
      <c r="W683">
        <v>2153.7524063184305</v>
      </c>
      <c r="X683">
        <v>2071.860699801955</v>
      </c>
      <c r="Y683">
        <v>1298.8784701791078</v>
      </c>
    </row>
    <row r="684" spans="1:25" x14ac:dyDescent="0.35">
      <c r="A684">
        <v>640</v>
      </c>
      <c r="B684">
        <v>906.59999999999945</v>
      </c>
      <c r="C684">
        <v>951.92500000000018</v>
      </c>
      <c r="D684">
        <v>906.59999999999945</v>
      </c>
      <c r="E684">
        <v>-854.5</v>
      </c>
      <c r="F684">
        <v>-563.125</v>
      </c>
      <c r="G684">
        <v>-2447.3500000000004</v>
      </c>
      <c r="J684">
        <v>640</v>
      </c>
      <c r="K684">
        <v>0</v>
      </c>
      <c r="L684">
        <v>0</v>
      </c>
      <c r="M684">
        <v>0</v>
      </c>
      <c r="N684">
        <v>232</v>
      </c>
      <c r="O684">
        <v>189</v>
      </c>
      <c r="P684">
        <v>333</v>
      </c>
      <c r="S684">
        <v>640</v>
      </c>
      <c r="T684">
        <v>906.59999999999945</v>
      </c>
      <c r="U684">
        <v>951.92500000000018</v>
      </c>
      <c r="V684">
        <v>906.60000000000036</v>
      </c>
      <c r="W684">
        <v>2211.1999999999994</v>
      </c>
      <c r="X684">
        <v>2224.0500000000002</v>
      </c>
      <c r="Y684">
        <v>2421.1999999999998</v>
      </c>
    </row>
    <row r="685" spans="1:25" x14ac:dyDescent="0.35">
      <c r="A685">
        <v>641</v>
      </c>
      <c r="B685">
        <v>906.59999999999945</v>
      </c>
      <c r="C685">
        <v>990.77499999999964</v>
      </c>
      <c r="D685">
        <v>906.59999999999945</v>
      </c>
      <c r="E685">
        <v>-932.20000000000073</v>
      </c>
      <c r="F685">
        <v>-349.45000000000073</v>
      </c>
      <c r="G685">
        <v>-2084.75</v>
      </c>
      <c r="J685">
        <v>641</v>
      </c>
      <c r="K685">
        <v>0</v>
      </c>
      <c r="L685">
        <v>0</v>
      </c>
      <c r="M685">
        <v>0</v>
      </c>
      <c r="N685">
        <v>237</v>
      </c>
      <c r="O685">
        <v>176</v>
      </c>
      <c r="P685">
        <v>321</v>
      </c>
      <c r="S685">
        <v>641</v>
      </c>
      <c r="T685">
        <v>906.59999999999945</v>
      </c>
      <c r="U685">
        <v>951.92499999999927</v>
      </c>
      <c r="V685">
        <v>906.60000000000036</v>
      </c>
      <c r="W685">
        <v>1735.3745931236572</v>
      </c>
      <c r="X685">
        <v>2239.3749999999991</v>
      </c>
      <c r="Y685">
        <v>2455.1999999999998</v>
      </c>
    </row>
    <row r="686" spans="1:25" x14ac:dyDescent="0.35">
      <c r="A686">
        <v>642</v>
      </c>
      <c r="B686">
        <v>906.59999999999945</v>
      </c>
      <c r="C686">
        <v>977.82499999999982</v>
      </c>
      <c r="D686">
        <v>906.60000000000036</v>
      </c>
      <c r="E686">
        <v>-1126.4500000000007</v>
      </c>
      <c r="F686">
        <v>-556.64999999999964</v>
      </c>
      <c r="G686">
        <v>-2395.5500000000002</v>
      </c>
      <c r="J686">
        <v>642</v>
      </c>
      <c r="K686">
        <v>0</v>
      </c>
      <c r="L686">
        <v>0</v>
      </c>
      <c r="M686">
        <v>0</v>
      </c>
      <c r="N686">
        <v>243</v>
      </c>
      <c r="O686">
        <v>193</v>
      </c>
      <c r="P686">
        <v>344</v>
      </c>
      <c r="S686">
        <v>642</v>
      </c>
      <c r="T686">
        <v>906.59999999999945</v>
      </c>
      <c r="U686">
        <v>990.77499999999873</v>
      </c>
      <c r="V686">
        <v>906.59999999999945</v>
      </c>
      <c r="W686">
        <v>2269.1999999999994</v>
      </c>
      <c r="X686">
        <v>2238.8999999999992</v>
      </c>
      <c r="Y686">
        <v>2469.1999999999989</v>
      </c>
    </row>
    <row r="687" spans="1:25" x14ac:dyDescent="0.35">
      <c r="A687">
        <v>643</v>
      </c>
      <c r="B687">
        <v>906.59999999999945</v>
      </c>
      <c r="C687">
        <v>964.875</v>
      </c>
      <c r="D687">
        <v>919.54999999999927</v>
      </c>
      <c r="E687">
        <v>-1074.6500000000005</v>
      </c>
      <c r="F687">
        <v>-381.82500000000073</v>
      </c>
      <c r="G687">
        <v>-2291.9499999999998</v>
      </c>
      <c r="J687">
        <v>643</v>
      </c>
      <c r="K687">
        <v>0</v>
      </c>
      <c r="L687">
        <v>0</v>
      </c>
      <c r="M687">
        <v>0</v>
      </c>
      <c r="N687">
        <v>218</v>
      </c>
      <c r="O687">
        <v>170</v>
      </c>
      <c r="P687">
        <v>330</v>
      </c>
      <c r="S687">
        <v>643</v>
      </c>
      <c r="T687">
        <v>906.59999999999945</v>
      </c>
      <c r="U687">
        <v>958.39999999999964</v>
      </c>
      <c r="V687">
        <v>906.59999999999945</v>
      </c>
      <c r="W687">
        <v>2259.1999999999994</v>
      </c>
      <c r="X687">
        <v>2192.9999999999995</v>
      </c>
      <c r="Y687">
        <v>2417.1999999999989</v>
      </c>
    </row>
    <row r="688" spans="1:25" x14ac:dyDescent="0.35">
      <c r="A688">
        <v>644</v>
      </c>
      <c r="B688">
        <v>906.59999999999945</v>
      </c>
      <c r="C688">
        <v>958.39999999999964</v>
      </c>
      <c r="D688">
        <v>906.59999999999945</v>
      </c>
      <c r="E688">
        <v>-1243</v>
      </c>
      <c r="F688">
        <v>-491.90000000000055</v>
      </c>
      <c r="G688">
        <v>-2382.6000000000004</v>
      </c>
      <c r="J688">
        <v>644</v>
      </c>
      <c r="K688">
        <v>0</v>
      </c>
      <c r="L688">
        <v>0</v>
      </c>
      <c r="M688">
        <v>0</v>
      </c>
      <c r="N688">
        <v>228</v>
      </c>
      <c r="O688">
        <v>185</v>
      </c>
      <c r="P688">
        <v>308</v>
      </c>
      <c r="S688">
        <v>644</v>
      </c>
      <c r="T688">
        <v>906.59999999999945</v>
      </c>
      <c r="U688">
        <v>1023.1499999999996</v>
      </c>
      <c r="V688">
        <v>919.54999999999927</v>
      </c>
      <c r="W688">
        <v>2309.1999999999994</v>
      </c>
      <c r="X688">
        <v>2206.5249999999992</v>
      </c>
      <c r="Y688">
        <v>2423.1999999999998</v>
      </c>
    </row>
    <row r="689" spans="1:25" x14ac:dyDescent="0.35">
      <c r="A689">
        <v>645</v>
      </c>
      <c r="B689">
        <v>906.59999999999945</v>
      </c>
      <c r="C689">
        <v>997.25</v>
      </c>
      <c r="D689">
        <v>906.59999999999945</v>
      </c>
      <c r="E689">
        <v>-945.15000000000055</v>
      </c>
      <c r="F689">
        <v>-653.77499999999964</v>
      </c>
      <c r="G689">
        <v>-2395.5500000000002</v>
      </c>
      <c r="J689">
        <v>645</v>
      </c>
      <c r="K689">
        <v>0</v>
      </c>
      <c r="L689">
        <v>0</v>
      </c>
      <c r="M689">
        <v>0</v>
      </c>
      <c r="N689">
        <v>225</v>
      </c>
      <c r="O689">
        <v>177</v>
      </c>
      <c r="P689">
        <v>321</v>
      </c>
      <c r="S689">
        <v>645</v>
      </c>
      <c r="T689">
        <v>906.59999999999945</v>
      </c>
      <c r="U689">
        <v>951.92499999999927</v>
      </c>
      <c r="V689">
        <v>906.59999999999945</v>
      </c>
      <c r="W689">
        <v>2227.1999999999989</v>
      </c>
      <c r="X689">
        <v>2231.3749999999995</v>
      </c>
      <c r="Y689">
        <v>2411.1999999999998</v>
      </c>
    </row>
    <row r="690" spans="1:25" x14ac:dyDescent="0.35">
      <c r="A690">
        <v>646</v>
      </c>
      <c r="B690">
        <v>906.59999999999945</v>
      </c>
      <c r="C690">
        <v>945.44999999999982</v>
      </c>
      <c r="D690">
        <v>906.59999999999945</v>
      </c>
      <c r="E690">
        <v>-1100.5500000000002</v>
      </c>
      <c r="F690">
        <v>-453.05000000000109</v>
      </c>
      <c r="G690">
        <v>-2486.1999999999998</v>
      </c>
      <c r="J690">
        <v>646</v>
      </c>
      <c r="K690">
        <v>0</v>
      </c>
      <c r="L690">
        <v>0</v>
      </c>
      <c r="M690">
        <v>0</v>
      </c>
      <c r="N690">
        <v>228</v>
      </c>
      <c r="O690">
        <v>172</v>
      </c>
      <c r="P690">
        <v>305</v>
      </c>
      <c r="S690">
        <v>646</v>
      </c>
      <c r="T690">
        <v>906.59999999999945</v>
      </c>
      <c r="U690">
        <v>990.77499999999964</v>
      </c>
      <c r="V690">
        <v>906.60000000000036</v>
      </c>
      <c r="W690">
        <v>2255.1999999999998</v>
      </c>
      <c r="X690">
        <v>2280.3249999999998</v>
      </c>
      <c r="Y690">
        <v>2208.1793877994905</v>
      </c>
    </row>
    <row r="691" spans="1:25" x14ac:dyDescent="0.35">
      <c r="A691">
        <v>647</v>
      </c>
      <c r="B691">
        <v>906.59999999999945</v>
      </c>
      <c r="C691">
        <v>964.875</v>
      </c>
      <c r="D691">
        <v>906.59999999999945</v>
      </c>
      <c r="E691">
        <v>-984</v>
      </c>
      <c r="F691">
        <v>-485.42500000000109</v>
      </c>
      <c r="G691">
        <v>-2188.3500000000004</v>
      </c>
      <c r="J691">
        <v>647</v>
      </c>
      <c r="K691">
        <v>0</v>
      </c>
      <c r="L691">
        <v>0</v>
      </c>
      <c r="M691">
        <v>0</v>
      </c>
      <c r="N691">
        <v>235</v>
      </c>
      <c r="O691">
        <v>178</v>
      </c>
      <c r="P691">
        <v>327</v>
      </c>
      <c r="S691">
        <v>647</v>
      </c>
      <c r="T691">
        <v>906.59999999999945</v>
      </c>
      <c r="U691">
        <v>958.39999999999964</v>
      </c>
      <c r="V691">
        <v>906.59999999999945</v>
      </c>
      <c r="W691">
        <v>1976.5041760195008</v>
      </c>
      <c r="X691">
        <v>2260.4249999999988</v>
      </c>
      <c r="Y691">
        <v>-1699.5496365860261</v>
      </c>
    </row>
    <row r="692" spans="1:25" x14ac:dyDescent="0.35">
      <c r="A692">
        <v>648</v>
      </c>
      <c r="B692">
        <v>906.59999999999945</v>
      </c>
      <c r="C692">
        <v>945.44999999999982</v>
      </c>
      <c r="D692">
        <v>906.59999999999945</v>
      </c>
      <c r="E692">
        <v>-1178.25</v>
      </c>
      <c r="F692">
        <v>-213.47500000000036</v>
      </c>
      <c r="G692">
        <v>-2253.1000000000004</v>
      </c>
      <c r="J692">
        <v>648</v>
      </c>
      <c r="K692">
        <v>0</v>
      </c>
      <c r="L692">
        <v>0</v>
      </c>
      <c r="M692">
        <v>0</v>
      </c>
      <c r="N692">
        <v>218</v>
      </c>
      <c r="O692">
        <v>164</v>
      </c>
      <c r="P692">
        <v>309</v>
      </c>
      <c r="S692">
        <v>648</v>
      </c>
      <c r="T692">
        <v>906.59999999999945</v>
      </c>
      <c r="U692">
        <v>977.82499999999982</v>
      </c>
      <c r="V692">
        <v>906.59999999999945</v>
      </c>
      <c r="W692">
        <v>2251.1999999999994</v>
      </c>
      <c r="X692">
        <v>2199.9499999999998</v>
      </c>
      <c r="Y692">
        <v>302.74248306505024</v>
      </c>
    </row>
    <row r="693" spans="1:25" x14ac:dyDescent="0.35">
      <c r="A693">
        <v>649</v>
      </c>
      <c r="B693">
        <v>906.59999999999945</v>
      </c>
      <c r="C693">
        <v>977.82499999999982</v>
      </c>
      <c r="D693">
        <v>906.59999999999945</v>
      </c>
      <c r="E693">
        <v>-1165.3000000000002</v>
      </c>
      <c r="F693">
        <v>-744.42500000000018</v>
      </c>
      <c r="G693">
        <v>-2317.8500000000004</v>
      </c>
      <c r="J693">
        <v>649</v>
      </c>
      <c r="K693">
        <v>0</v>
      </c>
      <c r="L693">
        <v>0</v>
      </c>
      <c r="M693">
        <v>0</v>
      </c>
      <c r="N693">
        <v>225</v>
      </c>
      <c r="O693">
        <v>193</v>
      </c>
      <c r="P693">
        <v>288</v>
      </c>
      <c r="S693">
        <v>649</v>
      </c>
      <c r="T693">
        <v>906.59999999999945</v>
      </c>
      <c r="U693">
        <v>977.82499999999982</v>
      </c>
      <c r="V693">
        <v>906.59999999999945</v>
      </c>
      <c r="W693">
        <v>2265.1999999999998</v>
      </c>
      <c r="X693">
        <v>2235.9499999999994</v>
      </c>
      <c r="Y693">
        <v>-380.18010337306487</v>
      </c>
    </row>
    <row r="694" spans="1:25" x14ac:dyDescent="0.35">
      <c r="A694">
        <v>650</v>
      </c>
      <c r="B694">
        <v>906.59999999999945</v>
      </c>
      <c r="C694">
        <v>938.97500000000036</v>
      </c>
      <c r="D694">
        <v>906.59999999999945</v>
      </c>
      <c r="E694">
        <v>-1074.6500000000005</v>
      </c>
      <c r="F694">
        <v>-355.92500000000018</v>
      </c>
      <c r="G694">
        <v>-2227.2000000000007</v>
      </c>
      <c r="J694">
        <v>650</v>
      </c>
      <c r="K694">
        <v>0</v>
      </c>
      <c r="L694">
        <v>0</v>
      </c>
      <c r="M694">
        <v>0</v>
      </c>
      <c r="N694">
        <v>218</v>
      </c>
      <c r="O694">
        <v>185</v>
      </c>
      <c r="P694">
        <v>320</v>
      </c>
      <c r="S694">
        <v>650</v>
      </c>
      <c r="T694">
        <v>906.59999999999945</v>
      </c>
      <c r="U694">
        <v>964.875</v>
      </c>
      <c r="V694">
        <v>906.60000000000036</v>
      </c>
      <c r="W694">
        <v>340.0323709992897</v>
      </c>
      <c r="X694">
        <v>2234.9</v>
      </c>
      <c r="Y694">
        <v>2463.1999999999998</v>
      </c>
    </row>
    <row r="695" spans="1:25" x14ac:dyDescent="0.35">
      <c r="A695">
        <v>651</v>
      </c>
      <c r="B695">
        <v>906.59999999999945</v>
      </c>
      <c r="C695">
        <v>977.82499999999891</v>
      </c>
      <c r="D695">
        <v>906.60000000000036</v>
      </c>
      <c r="E695">
        <v>-1100.5500000000002</v>
      </c>
      <c r="F695">
        <v>-705.57500000000073</v>
      </c>
      <c r="G695">
        <v>-2369.6500000000005</v>
      </c>
      <c r="J695">
        <v>651</v>
      </c>
      <c r="K695">
        <v>0</v>
      </c>
      <c r="L695">
        <v>0</v>
      </c>
      <c r="M695">
        <v>0</v>
      </c>
      <c r="N695">
        <v>210</v>
      </c>
      <c r="O695">
        <v>169</v>
      </c>
      <c r="P695">
        <v>333</v>
      </c>
      <c r="S695">
        <v>651</v>
      </c>
      <c r="T695">
        <v>906.59999999999945</v>
      </c>
      <c r="U695">
        <v>997.25</v>
      </c>
      <c r="V695">
        <v>906.59999999999945</v>
      </c>
      <c r="W695">
        <v>2231.1999999999994</v>
      </c>
      <c r="X695">
        <v>701.26643085246826</v>
      </c>
      <c r="Y695">
        <v>1918.96788824235</v>
      </c>
    </row>
    <row r="696" spans="1:25" x14ac:dyDescent="0.35">
      <c r="A696">
        <v>652</v>
      </c>
      <c r="B696">
        <v>906.59999999999945</v>
      </c>
      <c r="C696">
        <v>971.34999999999945</v>
      </c>
      <c r="D696">
        <v>906.59999999999945</v>
      </c>
      <c r="E696">
        <v>-867.45000000000073</v>
      </c>
      <c r="F696">
        <v>-627.875</v>
      </c>
      <c r="G696">
        <v>-2680.45</v>
      </c>
      <c r="J696">
        <v>652</v>
      </c>
      <c r="K696">
        <v>0</v>
      </c>
      <c r="L696">
        <v>0</v>
      </c>
      <c r="M696">
        <v>0</v>
      </c>
      <c r="N696">
        <v>196</v>
      </c>
      <c r="O696">
        <v>174</v>
      </c>
      <c r="P696">
        <v>307</v>
      </c>
      <c r="S696">
        <v>652</v>
      </c>
      <c r="T696">
        <v>906.59999999999945</v>
      </c>
      <c r="U696">
        <v>990.77499999999964</v>
      </c>
      <c r="V696">
        <v>906.59999999999945</v>
      </c>
      <c r="W696">
        <v>2253.1999999999998</v>
      </c>
      <c r="X696">
        <v>2213.4749999999995</v>
      </c>
      <c r="Y696">
        <v>944.9196844551052</v>
      </c>
    </row>
    <row r="697" spans="1:25" x14ac:dyDescent="0.35">
      <c r="A697">
        <v>653</v>
      </c>
      <c r="B697">
        <v>906.59999999999945</v>
      </c>
      <c r="C697">
        <v>964.875</v>
      </c>
      <c r="D697">
        <v>906.59999999999945</v>
      </c>
      <c r="E697">
        <v>-971.05000000000018</v>
      </c>
      <c r="F697">
        <v>-414.20000000000073</v>
      </c>
      <c r="G697">
        <v>-2447.3500000000004</v>
      </c>
      <c r="J697">
        <v>653</v>
      </c>
      <c r="K697">
        <v>0</v>
      </c>
      <c r="L697">
        <v>0</v>
      </c>
      <c r="M697">
        <v>0</v>
      </c>
      <c r="N697">
        <v>256</v>
      </c>
      <c r="O697">
        <v>170</v>
      </c>
      <c r="P697">
        <v>324</v>
      </c>
      <c r="S697">
        <v>653</v>
      </c>
      <c r="T697">
        <v>906.59999999999945</v>
      </c>
      <c r="U697">
        <v>977.82499999999982</v>
      </c>
      <c r="V697">
        <v>906.59999999999945</v>
      </c>
      <c r="W697">
        <v>2263.1999999999998</v>
      </c>
      <c r="X697">
        <v>2214.5249999999992</v>
      </c>
      <c r="Y697">
        <v>1428.2320412204158</v>
      </c>
    </row>
    <row r="698" spans="1:25" x14ac:dyDescent="0.35">
      <c r="A698">
        <v>654</v>
      </c>
      <c r="B698">
        <v>906.59999999999945</v>
      </c>
      <c r="C698">
        <v>1016.6749999999993</v>
      </c>
      <c r="D698">
        <v>906.59999999999945</v>
      </c>
      <c r="E698">
        <v>-1139.4000000000005</v>
      </c>
      <c r="F698">
        <v>-414.20000000000073</v>
      </c>
      <c r="G698">
        <v>-1968.2000000000007</v>
      </c>
      <c r="J698">
        <v>654</v>
      </c>
      <c r="K698">
        <v>0</v>
      </c>
      <c r="L698">
        <v>0</v>
      </c>
      <c r="M698">
        <v>0</v>
      </c>
      <c r="N698">
        <v>218</v>
      </c>
      <c r="O698">
        <v>168</v>
      </c>
      <c r="P698">
        <v>324</v>
      </c>
      <c r="S698">
        <v>654</v>
      </c>
      <c r="T698">
        <v>906.59999999999945</v>
      </c>
      <c r="U698">
        <v>938.97499999999945</v>
      </c>
      <c r="V698">
        <v>906.60000000000036</v>
      </c>
      <c r="W698">
        <v>2263.1999999999998</v>
      </c>
      <c r="X698">
        <v>2224.5249999999992</v>
      </c>
      <c r="Y698">
        <v>-1420.9870004197337</v>
      </c>
    </row>
    <row r="699" spans="1:25" x14ac:dyDescent="0.35">
      <c r="A699">
        <v>655</v>
      </c>
      <c r="B699">
        <v>906.59999999999945</v>
      </c>
      <c r="C699">
        <v>958.39999999999964</v>
      </c>
      <c r="D699">
        <v>906.59999999999945</v>
      </c>
      <c r="E699">
        <v>-1152.3500000000004</v>
      </c>
      <c r="F699">
        <v>-912.77499999999964</v>
      </c>
      <c r="G699">
        <v>-2188.3500000000004</v>
      </c>
      <c r="J699">
        <v>655</v>
      </c>
      <c r="K699">
        <v>0</v>
      </c>
      <c r="L699">
        <v>0</v>
      </c>
      <c r="M699">
        <v>0</v>
      </c>
      <c r="N699">
        <v>217</v>
      </c>
      <c r="O699">
        <v>181</v>
      </c>
      <c r="P699">
        <v>329</v>
      </c>
      <c r="S699">
        <v>655</v>
      </c>
      <c r="T699">
        <v>906.59999999999945</v>
      </c>
      <c r="U699">
        <v>964.87499999999909</v>
      </c>
      <c r="V699">
        <v>906.59999999999945</v>
      </c>
      <c r="W699">
        <v>1875.6258070508266</v>
      </c>
      <c r="X699">
        <v>2213.4749999999995</v>
      </c>
      <c r="Y699">
        <v>2469.1999999999989</v>
      </c>
    </row>
    <row r="700" spans="1:25" x14ac:dyDescent="0.35">
      <c r="A700">
        <v>656</v>
      </c>
      <c r="B700">
        <v>906.59999999999945</v>
      </c>
      <c r="C700">
        <v>1003.7249999999995</v>
      </c>
      <c r="D700">
        <v>906.59999999999945</v>
      </c>
      <c r="E700">
        <v>-737.95000000000073</v>
      </c>
      <c r="F700">
        <v>-563.125</v>
      </c>
      <c r="G700">
        <v>-2279</v>
      </c>
      <c r="J700">
        <v>656</v>
      </c>
      <c r="K700">
        <v>0</v>
      </c>
      <c r="L700">
        <v>0</v>
      </c>
      <c r="M700">
        <v>0</v>
      </c>
      <c r="N700">
        <v>221</v>
      </c>
      <c r="O700">
        <v>194</v>
      </c>
      <c r="P700">
        <v>334</v>
      </c>
      <c r="S700">
        <v>656</v>
      </c>
      <c r="T700">
        <v>906.59999999999945</v>
      </c>
      <c r="U700">
        <v>990.77499999999873</v>
      </c>
      <c r="V700">
        <v>908.59999999999968</v>
      </c>
      <c r="W700">
        <v>2285.1999999999998</v>
      </c>
      <c r="X700">
        <v>2222.8999999999996</v>
      </c>
      <c r="Y700">
        <v>-789.6870709558043</v>
      </c>
    </row>
    <row r="701" spans="1:25" x14ac:dyDescent="0.35">
      <c r="A701">
        <v>657</v>
      </c>
      <c r="B701">
        <v>906.59999999999945</v>
      </c>
      <c r="C701">
        <v>945.44999999999891</v>
      </c>
      <c r="D701">
        <v>906.59999999999945</v>
      </c>
      <c r="E701">
        <v>-1333.6500000000005</v>
      </c>
      <c r="F701">
        <v>-414.20000000000073</v>
      </c>
      <c r="G701">
        <v>-2589.8000000000002</v>
      </c>
      <c r="J701">
        <v>657</v>
      </c>
      <c r="K701">
        <v>0</v>
      </c>
      <c r="L701">
        <v>0</v>
      </c>
      <c r="M701">
        <v>0</v>
      </c>
      <c r="N701">
        <v>215</v>
      </c>
      <c r="O701">
        <v>181</v>
      </c>
      <c r="P701">
        <v>349</v>
      </c>
      <c r="S701">
        <v>657</v>
      </c>
      <c r="T701">
        <v>906.59999999999945</v>
      </c>
      <c r="U701">
        <v>945.44999999999891</v>
      </c>
      <c r="V701">
        <v>906.59999999999945</v>
      </c>
      <c r="W701">
        <v>2275.1999999999998</v>
      </c>
      <c r="X701">
        <v>2220.8999999999996</v>
      </c>
      <c r="Y701">
        <v>-765.06334898730847</v>
      </c>
    </row>
    <row r="702" spans="1:25" x14ac:dyDescent="0.35">
      <c r="A702">
        <v>658</v>
      </c>
      <c r="B702">
        <v>906.59999999999945</v>
      </c>
      <c r="C702">
        <v>951.92499999999927</v>
      </c>
      <c r="D702">
        <v>906.60000000000036</v>
      </c>
      <c r="E702">
        <v>-1359.5500000000002</v>
      </c>
      <c r="F702">
        <v>-161.67500000000109</v>
      </c>
      <c r="G702">
        <v>-2097.7000000000007</v>
      </c>
      <c r="J702">
        <v>658</v>
      </c>
      <c r="K702">
        <v>0</v>
      </c>
      <c r="L702">
        <v>0</v>
      </c>
      <c r="M702">
        <v>0</v>
      </c>
      <c r="N702">
        <v>241</v>
      </c>
      <c r="O702">
        <v>192</v>
      </c>
      <c r="P702">
        <v>314</v>
      </c>
      <c r="S702">
        <v>658</v>
      </c>
      <c r="T702">
        <v>906.59999999999945</v>
      </c>
      <c r="U702">
        <v>977.82499999999891</v>
      </c>
      <c r="V702">
        <v>906.59999999999945</v>
      </c>
      <c r="W702">
        <v>2271.1999999999994</v>
      </c>
      <c r="X702">
        <v>2254.7999999999997</v>
      </c>
      <c r="Y702">
        <v>2469.1999999999989</v>
      </c>
    </row>
    <row r="703" spans="1:25" x14ac:dyDescent="0.35">
      <c r="A703">
        <v>659</v>
      </c>
      <c r="B703">
        <v>906.59999999999945</v>
      </c>
      <c r="C703">
        <v>926.02499999999964</v>
      </c>
      <c r="D703">
        <v>906.59999999999945</v>
      </c>
      <c r="E703">
        <v>-893.35000000000036</v>
      </c>
      <c r="F703">
        <v>-569.60000000000036</v>
      </c>
      <c r="G703">
        <v>-2343.75</v>
      </c>
      <c r="J703">
        <v>659</v>
      </c>
      <c r="K703">
        <v>0</v>
      </c>
      <c r="L703">
        <v>0</v>
      </c>
      <c r="M703">
        <v>0</v>
      </c>
      <c r="N703">
        <v>242</v>
      </c>
      <c r="O703">
        <v>194</v>
      </c>
      <c r="P703">
        <v>320</v>
      </c>
      <c r="S703">
        <v>659</v>
      </c>
      <c r="T703">
        <v>906.59999999999945</v>
      </c>
      <c r="U703">
        <v>971.34999999999945</v>
      </c>
      <c r="V703">
        <v>906.60000000000036</v>
      </c>
      <c r="W703">
        <v>-943.72505248191248</v>
      </c>
      <c r="X703">
        <v>-401.25</v>
      </c>
      <c r="Y703">
        <v>-960.71666065201703</v>
      </c>
    </row>
    <row r="704" spans="1:25" x14ac:dyDescent="0.35">
      <c r="A704">
        <v>660</v>
      </c>
      <c r="B704">
        <v>906.59999999999945</v>
      </c>
      <c r="C704">
        <v>958.39999999999964</v>
      </c>
      <c r="D704">
        <v>906.59999999999945</v>
      </c>
      <c r="E704">
        <v>-1048.75</v>
      </c>
      <c r="F704">
        <v>-414.20000000000073</v>
      </c>
      <c r="G704">
        <v>-2486.1999999999998</v>
      </c>
      <c r="J704">
        <v>660</v>
      </c>
      <c r="K704">
        <v>0</v>
      </c>
      <c r="L704">
        <v>0</v>
      </c>
      <c r="M704">
        <v>0</v>
      </c>
      <c r="N704">
        <v>209</v>
      </c>
      <c r="O704">
        <v>176</v>
      </c>
      <c r="P704">
        <v>303</v>
      </c>
      <c r="S704">
        <v>660</v>
      </c>
      <c r="T704">
        <v>906.59999999999945</v>
      </c>
      <c r="U704">
        <v>971.35000000000036</v>
      </c>
      <c r="V704">
        <v>906.60000000000036</v>
      </c>
      <c r="W704">
        <v>2267.1999999999989</v>
      </c>
      <c r="X704">
        <v>2223.4749999999995</v>
      </c>
      <c r="Y704">
        <v>2455.1999999999998</v>
      </c>
    </row>
    <row r="705" spans="1:25" x14ac:dyDescent="0.35">
      <c r="A705">
        <v>661</v>
      </c>
      <c r="B705">
        <v>906.59999999999945</v>
      </c>
      <c r="C705">
        <v>971.34999999999945</v>
      </c>
      <c r="D705">
        <v>906.59999999999945</v>
      </c>
      <c r="E705">
        <v>-996.95000000000073</v>
      </c>
      <c r="F705">
        <v>-627.875</v>
      </c>
      <c r="G705">
        <v>-2654.55</v>
      </c>
      <c r="J705">
        <v>661</v>
      </c>
      <c r="K705">
        <v>0</v>
      </c>
      <c r="L705">
        <v>0</v>
      </c>
      <c r="M705">
        <v>0</v>
      </c>
      <c r="N705">
        <v>205</v>
      </c>
      <c r="O705">
        <v>176</v>
      </c>
      <c r="P705">
        <v>329</v>
      </c>
      <c r="S705">
        <v>661</v>
      </c>
      <c r="T705">
        <v>906.59999999999945</v>
      </c>
      <c r="U705">
        <v>971.34999999999945</v>
      </c>
      <c r="V705">
        <v>906.59999999999945</v>
      </c>
      <c r="W705">
        <v>2253.1999999999998</v>
      </c>
      <c r="X705">
        <v>2208.5249999999996</v>
      </c>
      <c r="Y705">
        <v>-232.26366474567794</v>
      </c>
    </row>
    <row r="706" spans="1:25" x14ac:dyDescent="0.35">
      <c r="A706">
        <v>662</v>
      </c>
      <c r="B706">
        <v>906.59999999999945</v>
      </c>
      <c r="C706">
        <v>977.82499999999982</v>
      </c>
      <c r="D706">
        <v>906.59999999999945</v>
      </c>
      <c r="E706">
        <v>-1411.3500000000004</v>
      </c>
      <c r="F706">
        <v>-265.27499999999964</v>
      </c>
      <c r="G706">
        <v>-2434.4000000000005</v>
      </c>
      <c r="J706">
        <v>662</v>
      </c>
      <c r="K706">
        <v>0</v>
      </c>
      <c r="L706">
        <v>0</v>
      </c>
      <c r="M706">
        <v>0</v>
      </c>
      <c r="N706">
        <v>230</v>
      </c>
      <c r="O706">
        <v>178</v>
      </c>
      <c r="P706">
        <v>327</v>
      </c>
      <c r="S706">
        <v>662</v>
      </c>
      <c r="T706">
        <v>906.59999999999945</v>
      </c>
      <c r="U706">
        <v>958.39999999999964</v>
      </c>
      <c r="V706">
        <v>906.59999999999945</v>
      </c>
      <c r="W706">
        <v>2267.1999999999989</v>
      </c>
      <c r="X706">
        <v>1136.5185911167723</v>
      </c>
      <c r="Y706">
        <v>1600.48769181125</v>
      </c>
    </row>
    <row r="707" spans="1:25" x14ac:dyDescent="0.35">
      <c r="A707">
        <v>663</v>
      </c>
      <c r="B707">
        <v>906.59999999999945</v>
      </c>
      <c r="C707">
        <v>938.97499999999945</v>
      </c>
      <c r="D707">
        <v>906.59999999999945</v>
      </c>
      <c r="E707">
        <v>-1204.1500000000005</v>
      </c>
      <c r="F707">
        <v>-394.77499999999964</v>
      </c>
      <c r="G707">
        <v>-2279</v>
      </c>
      <c r="J707">
        <v>663</v>
      </c>
      <c r="K707">
        <v>0</v>
      </c>
      <c r="L707">
        <v>0</v>
      </c>
      <c r="M707">
        <v>0</v>
      </c>
      <c r="N707">
        <v>216</v>
      </c>
      <c r="O707">
        <v>164</v>
      </c>
      <c r="P707">
        <v>303</v>
      </c>
      <c r="S707">
        <v>663</v>
      </c>
      <c r="T707">
        <v>906.59999999999945</v>
      </c>
      <c r="U707">
        <v>951.92500000000018</v>
      </c>
      <c r="V707">
        <v>919.55000000000018</v>
      </c>
      <c r="W707">
        <v>29.617192547955483</v>
      </c>
      <c r="X707">
        <v>2238.9999999999995</v>
      </c>
      <c r="Y707">
        <v>-255.62004791656636</v>
      </c>
    </row>
    <row r="708" spans="1:25" x14ac:dyDescent="0.35">
      <c r="A708">
        <v>664</v>
      </c>
      <c r="B708">
        <v>906.59999999999945</v>
      </c>
      <c r="C708">
        <v>964.875</v>
      </c>
      <c r="D708">
        <v>906.59999999999945</v>
      </c>
      <c r="E708">
        <v>-1437.25</v>
      </c>
      <c r="F708">
        <v>-550.17500000000018</v>
      </c>
      <c r="G708">
        <v>-2317.8500000000004</v>
      </c>
      <c r="J708">
        <v>664</v>
      </c>
      <c r="K708">
        <v>0</v>
      </c>
      <c r="L708">
        <v>0</v>
      </c>
      <c r="M708">
        <v>0</v>
      </c>
      <c r="N708">
        <v>209</v>
      </c>
      <c r="O708">
        <v>171</v>
      </c>
      <c r="P708">
        <v>340</v>
      </c>
      <c r="S708">
        <v>664</v>
      </c>
      <c r="T708">
        <v>906.59999999999945</v>
      </c>
      <c r="U708">
        <v>977.82499999999891</v>
      </c>
      <c r="V708">
        <v>906.59999999999945</v>
      </c>
      <c r="W708">
        <v>2199.1999999999994</v>
      </c>
      <c r="X708">
        <v>2241.3749999999995</v>
      </c>
      <c r="Y708">
        <v>-2170.9009568182864</v>
      </c>
    </row>
    <row r="709" spans="1:25" x14ac:dyDescent="0.35">
      <c r="A709">
        <v>665</v>
      </c>
      <c r="B709">
        <v>906.59999999999945</v>
      </c>
      <c r="C709">
        <v>964.875</v>
      </c>
      <c r="D709">
        <v>906.59999999999945</v>
      </c>
      <c r="E709">
        <v>-1346.6000000000004</v>
      </c>
      <c r="F709">
        <v>-129.30000000000018</v>
      </c>
      <c r="G709">
        <v>-2214.25</v>
      </c>
      <c r="J709">
        <v>665</v>
      </c>
      <c r="K709">
        <v>0</v>
      </c>
      <c r="L709">
        <v>0</v>
      </c>
      <c r="M709">
        <v>0</v>
      </c>
      <c r="N709">
        <v>221</v>
      </c>
      <c r="O709">
        <v>191</v>
      </c>
      <c r="P709">
        <v>330</v>
      </c>
      <c r="S709">
        <v>665</v>
      </c>
      <c r="T709">
        <v>906.59999999999945</v>
      </c>
      <c r="U709">
        <v>984.29999999999927</v>
      </c>
      <c r="V709">
        <v>906.60000000000036</v>
      </c>
      <c r="W709">
        <v>1944.3876004489675</v>
      </c>
      <c r="X709">
        <v>2184.5249999999992</v>
      </c>
      <c r="Y709">
        <v>-173.78487738195417</v>
      </c>
    </row>
    <row r="710" spans="1:25" x14ac:dyDescent="0.35">
      <c r="A710">
        <v>666</v>
      </c>
      <c r="B710">
        <v>906.59999999999945</v>
      </c>
      <c r="C710">
        <v>945.44999999999891</v>
      </c>
      <c r="D710">
        <v>906.60000000000036</v>
      </c>
      <c r="E710">
        <v>-1139.4000000000005</v>
      </c>
      <c r="F710">
        <v>-388.30000000000018</v>
      </c>
      <c r="G710">
        <v>-2382.6000000000004</v>
      </c>
      <c r="J710">
        <v>666</v>
      </c>
      <c r="K710">
        <v>0</v>
      </c>
      <c r="L710">
        <v>0</v>
      </c>
      <c r="M710">
        <v>0</v>
      </c>
      <c r="N710">
        <v>228</v>
      </c>
      <c r="O710">
        <v>189</v>
      </c>
      <c r="P710">
        <v>320</v>
      </c>
      <c r="S710">
        <v>666</v>
      </c>
      <c r="T710">
        <v>906.59999999999945</v>
      </c>
      <c r="U710">
        <v>990.77499999999964</v>
      </c>
      <c r="V710">
        <v>906.59999999999945</v>
      </c>
      <c r="W710">
        <v>1984.121879647937</v>
      </c>
      <c r="X710">
        <v>2264.4249999999993</v>
      </c>
      <c r="Y710">
        <v>2439.9751476962083</v>
      </c>
    </row>
    <row r="711" spans="1:25" x14ac:dyDescent="0.35">
      <c r="A711">
        <v>667</v>
      </c>
      <c r="B711">
        <v>906.59999999999945</v>
      </c>
      <c r="C711">
        <v>977.82499999999982</v>
      </c>
      <c r="D711">
        <v>906.59999999999945</v>
      </c>
      <c r="E711">
        <v>-1217.1000000000004</v>
      </c>
      <c r="F711">
        <v>-789.75</v>
      </c>
      <c r="G711">
        <v>-2304.9000000000005</v>
      </c>
      <c r="J711">
        <v>667</v>
      </c>
      <c r="K711">
        <v>0</v>
      </c>
      <c r="L711">
        <v>0</v>
      </c>
      <c r="M711">
        <v>0</v>
      </c>
      <c r="N711">
        <v>222</v>
      </c>
      <c r="O711">
        <v>169</v>
      </c>
      <c r="P711">
        <v>310</v>
      </c>
      <c r="S711">
        <v>667</v>
      </c>
      <c r="T711">
        <v>906.59999999999945</v>
      </c>
      <c r="U711">
        <v>1016.6749999999993</v>
      </c>
      <c r="V711">
        <v>906.59999999999945</v>
      </c>
      <c r="W711">
        <v>2275.1999999999998</v>
      </c>
      <c r="X711">
        <v>1044.1671723607521</v>
      </c>
      <c r="Y711">
        <v>2465.1999999999998</v>
      </c>
    </row>
    <row r="712" spans="1:25" x14ac:dyDescent="0.35">
      <c r="A712">
        <v>668</v>
      </c>
      <c r="B712">
        <v>906.59999999999945</v>
      </c>
      <c r="C712">
        <v>945.44999999999982</v>
      </c>
      <c r="D712">
        <v>906.59999999999945</v>
      </c>
      <c r="E712">
        <v>-1217.1000000000004</v>
      </c>
      <c r="F712">
        <v>-498.375</v>
      </c>
      <c r="G712">
        <v>-2304.9000000000005</v>
      </c>
      <c r="J712">
        <v>668</v>
      </c>
      <c r="K712">
        <v>0</v>
      </c>
      <c r="L712">
        <v>0</v>
      </c>
      <c r="M712">
        <v>0</v>
      </c>
      <c r="N712">
        <v>214</v>
      </c>
      <c r="O712">
        <v>165</v>
      </c>
      <c r="P712">
        <v>322</v>
      </c>
      <c r="S712">
        <v>668</v>
      </c>
      <c r="T712">
        <v>906.59999999999945</v>
      </c>
      <c r="U712">
        <v>938.97499999999854</v>
      </c>
      <c r="V712">
        <v>906.60000000000036</v>
      </c>
      <c r="W712">
        <v>421.49747794106042</v>
      </c>
      <c r="X712">
        <v>2231.5749999999994</v>
      </c>
      <c r="Y712">
        <v>2491.1999999999998</v>
      </c>
    </row>
    <row r="713" spans="1:25" x14ac:dyDescent="0.35">
      <c r="A713">
        <v>669</v>
      </c>
      <c r="B713">
        <v>906.59999999999945</v>
      </c>
      <c r="C713">
        <v>997.24999999999909</v>
      </c>
      <c r="D713">
        <v>906.59999999999945</v>
      </c>
      <c r="E713">
        <v>-1165.3000000000002</v>
      </c>
      <c r="F713">
        <v>-362.40000000000055</v>
      </c>
      <c r="G713">
        <v>-2369.6500000000005</v>
      </c>
      <c r="J713">
        <v>669</v>
      </c>
      <c r="K713">
        <v>0</v>
      </c>
      <c r="L713">
        <v>0</v>
      </c>
      <c r="M713">
        <v>0</v>
      </c>
      <c r="N713">
        <v>250</v>
      </c>
      <c r="O713">
        <v>153</v>
      </c>
      <c r="P713">
        <v>301</v>
      </c>
      <c r="S713">
        <v>669</v>
      </c>
      <c r="T713">
        <v>906.59999999999945</v>
      </c>
      <c r="U713">
        <v>990.77499999999964</v>
      </c>
      <c r="V713">
        <v>906.59999999999945</v>
      </c>
      <c r="W713">
        <v>1418.9553313363785</v>
      </c>
      <c r="X713">
        <v>2213.9499999999994</v>
      </c>
      <c r="Y713">
        <v>2420.3284738555531</v>
      </c>
    </row>
    <row r="714" spans="1:25" x14ac:dyDescent="0.35">
      <c r="A714">
        <v>670</v>
      </c>
      <c r="B714">
        <v>906.59999999999945</v>
      </c>
      <c r="C714">
        <v>971.34999999999854</v>
      </c>
      <c r="D714">
        <v>906.60000000000036</v>
      </c>
      <c r="E714">
        <v>-789.75</v>
      </c>
      <c r="F714">
        <v>-582.55000000000018</v>
      </c>
      <c r="G714">
        <v>-2253.1000000000004</v>
      </c>
      <c r="J714">
        <v>670</v>
      </c>
      <c r="K714">
        <v>0</v>
      </c>
      <c r="L714">
        <v>0</v>
      </c>
      <c r="M714">
        <v>0</v>
      </c>
      <c r="N714">
        <v>235</v>
      </c>
      <c r="O714">
        <v>170</v>
      </c>
      <c r="P714">
        <v>322</v>
      </c>
      <c r="S714">
        <v>670</v>
      </c>
      <c r="T714">
        <v>906.59999999999945</v>
      </c>
      <c r="U714">
        <v>951.92499999999927</v>
      </c>
      <c r="V714">
        <v>906.59999999999945</v>
      </c>
      <c r="W714">
        <v>2247.1999999999989</v>
      </c>
      <c r="X714">
        <v>588.2193931139941</v>
      </c>
      <c r="Y714">
        <v>2431.1999999999998</v>
      </c>
    </row>
    <row r="715" spans="1:25" x14ac:dyDescent="0.35">
      <c r="A715">
        <v>671</v>
      </c>
      <c r="B715">
        <v>906.59999999999945</v>
      </c>
      <c r="C715">
        <v>971.34999999999945</v>
      </c>
      <c r="D715">
        <v>906.59999999999945</v>
      </c>
      <c r="E715">
        <v>-919.25</v>
      </c>
      <c r="F715">
        <v>-323.55000000000018</v>
      </c>
      <c r="G715">
        <v>-2550.9499999999998</v>
      </c>
      <c r="J715">
        <v>671</v>
      </c>
      <c r="K715">
        <v>0</v>
      </c>
      <c r="L715">
        <v>0</v>
      </c>
      <c r="M715">
        <v>0</v>
      </c>
      <c r="N715">
        <v>215</v>
      </c>
      <c r="O715">
        <v>185</v>
      </c>
      <c r="P715">
        <v>329</v>
      </c>
      <c r="S715">
        <v>671</v>
      </c>
      <c r="T715">
        <v>906.59999999999945</v>
      </c>
      <c r="U715">
        <v>1003.7249999999995</v>
      </c>
      <c r="V715">
        <v>906.59999999999945</v>
      </c>
      <c r="W715">
        <v>2259.1999999999994</v>
      </c>
      <c r="X715">
        <v>2240.0499999999997</v>
      </c>
      <c r="Y715">
        <v>-840.68225128728909</v>
      </c>
    </row>
    <row r="716" spans="1:25" x14ac:dyDescent="0.35">
      <c r="A716">
        <v>672</v>
      </c>
      <c r="B716">
        <v>906.59999999999945</v>
      </c>
      <c r="C716">
        <v>958.39999999999873</v>
      </c>
      <c r="D716">
        <v>906.59999999999945</v>
      </c>
      <c r="E716">
        <v>-608.45000000000073</v>
      </c>
      <c r="F716">
        <v>-427.15000000000055</v>
      </c>
      <c r="G716">
        <v>-2499.1500000000005</v>
      </c>
      <c r="J716">
        <v>672</v>
      </c>
      <c r="K716">
        <v>0</v>
      </c>
      <c r="L716">
        <v>0</v>
      </c>
      <c r="M716">
        <v>0</v>
      </c>
      <c r="N716">
        <v>225</v>
      </c>
      <c r="O716">
        <v>182</v>
      </c>
      <c r="P716">
        <v>305</v>
      </c>
      <c r="S716">
        <v>672</v>
      </c>
      <c r="T716">
        <v>906.59999999999945</v>
      </c>
      <c r="U716">
        <v>964.87499999999909</v>
      </c>
      <c r="V716">
        <v>906.59999999999945</v>
      </c>
      <c r="W716">
        <v>2245.1999999999998</v>
      </c>
      <c r="X716">
        <v>2257.9499999999998</v>
      </c>
      <c r="Y716">
        <v>-185.60758449795503</v>
      </c>
    </row>
    <row r="717" spans="1:25" x14ac:dyDescent="0.35">
      <c r="A717">
        <v>673</v>
      </c>
      <c r="B717">
        <v>906.59999999999945</v>
      </c>
      <c r="C717">
        <v>997.25</v>
      </c>
      <c r="D717">
        <v>906.60000000000036</v>
      </c>
      <c r="E717">
        <v>-1230.0500000000002</v>
      </c>
      <c r="F717">
        <v>-498.375</v>
      </c>
      <c r="G717">
        <v>-2654.55</v>
      </c>
      <c r="J717">
        <v>673</v>
      </c>
      <c r="K717">
        <v>0</v>
      </c>
      <c r="L717">
        <v>0</v>
      </c>
      <c r="M717">
        <v>0</v>
      </c>
      <c r="N717">
        <v>223</v>
      </c>
      <c r="O717">
        <v>172</v>
      </c>
      <c r="P717">
        <v>343</v>
      </c>
      <c r="S717">
        <v>673</v>
      </c>
      <c r="T717">
        <v>906.59999999999945</v>
      </c>
      <c r="U717">
        <v>990.77499999999873</v>
      </c>
      <c r="V717">
        <v>906.59999999999945</v>
      </c>
      <c r="W717">
        <v>2261.1999999999994</v>
      </c>
      <c r="X717">
        <v>384.0781109011906</v>
      </c>
      <c r="Y717">
        <v>2421.1999999999998</v>
      </c>
    </row>
    <row r="718" spans="1:25" x14ac:dyDescent="0.35">
      <c r="A718">
        <v>674</v>
      </c>
      <c r="B718">
        <v>906.59999999999945</v>
      </c>
      <c r="C718">
        <v>971.34999999999945</v>
      </c>
      <c r="D718">
        <v>906.60000000000036</v>
      </c>
      <c r="E718">
        <v>-854.5</v>
      </c>
      <c r="F718">
        <v>-135.77500000000055</v>
      </c>
      <c r="G718">
        <v>-2291.9499999999998</v>
      </c>
      <c r="J718">
        <v>674</v>
      </c>
      <c r="K718">
        <v>0</v>
      </c>
      <c r="L718">
        <v>0</v>
      </c>
      <c r="M718">
        <v>0</v>
      </c>
      <c r="N718">
        <v>216</v>
      </c>
      <c r="O718">
        <v>207</v>
      </c>
      <c r="P718">
        <v>324</v>
      </c>
      <c r="S718">
        <v>674</v>
      </c>
      <c r="T718">
        <v>906.59999999999945</v>
      </c>
      <c r="U718">
        <v>964.87499999999909</v>
      </c>
      <c r="V718">
        <v>906.59999999999945</v>
      </c>
      <c r="W718">
        <v>2241.1999999999994</v>
      </c>
      <c r="X718">
        <v>2262.4249999999997</v>
      </c>
      <c r="Y718">
        <v>2469.1999999999989</v>
      </c>
    </row>
    <row r="719" spans="1:25" x14ac:dyDescent="0.35">
      <c r="A719">
        <v>675</v>
      </c>
      <c r="B719">
        <v>906.59999999999945</v>
      </c>
      <c r="C719">
        <v>984.29999999999927</v>
      </c>
      <c r="D719">
        <v>906.60000000000036</v>
      </c>
      <c r="E719">
        <v>-958.10000000000036</v>
      </c>
      <c r="F719">
        <v>-485.42500000000109</v>
      </c>
      <c r="G719">
        <v>-2356.6999999999998</v>
      </c>
      <c r="J719">
        <v>675</v>
      </c>
      <c r="K719">
        <v>0</v>
      </c>
      <c r="L719">
        <v>0</v>
      </c>
      <c r="M719">
        <v>0</v>
      </c>
      <c r="N719">
        <v>201</v>
      </c>
      <c r="O719">
        <v>188</v>
      </c>
      <c r="P719">
        <v>334</v>
      </c>
      <c r="S719">
        <v>675</v>
      </c>
      <c r="T719">
        <v>906.59999999999945</v>
      </c>
      <c r="U719">
        <v>945.44999999999891</v>
      </c>
      <c r="V719">
        <v>906.59999999999945</v>
      </c>
      <c r="W719">
        <v>2285.1999999999998</v>
      </c>
      <c r="X719">
        <v>2177.5749999999998</v>
      </c>
      <c r="Y719">
        <v>2445.1999999999998</v>
      </c>
    </row>
    <row r="720" spans="1:25" x14ac:dyDescent="0.35">
      <c r="A720">
        <v>676</v>
      </c>
      <c r="B720">
        <v>906.59999999999945</v>
      </c>
      <c r="C720">
        <v>945.44999999999982</v>
      </c>
      <c r="D720">
        <v>906.59999999999945</v>
      </c>
      <c r="E720">
        <v>-1126.4500000000007</v>
      </c>
      <c r="F720">
        <v>-420.67500000000109</v>
      </c>
      <c r="G720">
        <v>-2175.4000000000005</v>
      </c>
      <c r="J720">
        <v>676</v>
      </c>
      <c r="K720">
        <v>0</v>
      </c>
      <c r="L720">
        <v>0</v>
      </c>
      <c r="M720">
        <v>0</v>
      </c>
      <c r="N720">
        <v>226</v>
      </c>
      <c r="O720">
        <v>176</v>
      </c>
      <c r="P720">
        <v>314</v>
      </c>
      <c r="S720">
        <v>676</v>
      </c>
      <c r="T720">
        <v>906.59999999999945</v>
      </c>
      <c r="U720">
        <v>945.44999999999982</v>
      </c>
      <c r="V720">
        <v>906.60000000000036</v>
      </c>
      <c r="W720">
        <v>-906.30000000000018</v>
      </c>
      <c r="X720">
        <v>2259.3749999999991</v>
      </c>
      <c r="Y720">
        <v>2479.1999999999989</v>
      </c>
    </row>
    <row r="721" spans="1:25" x14ac:dyDescent="0.35">
      <c r="A721">
        <v>677</v>
      </c>
      <c r="B721">
        <v>906.59999999999945</v>
      </c>
      <c r="C721">
        <v>977.82499999999982</v>
      </c>
      <c r="D721">
        <v>906.60000000000036</v>
      </c>
      <c r="E721">
        <v>-1281.8500000000004</v>
      </c>
      <c r="F721">
        <v>-498.375</v>
      </c>
      <c r="G721">
        <v>-2343.75</v>
      </c>
      <c r="J721">
        <v>677</v>
      </c>
      <c r="K721">
        <v>0</v>
      </c>
      <c r="L721">
        <v>0</v>
      </c>
      <c r="M721">
        <v>0</v>
      </c>
      <c r="N721">
        <v>222</v>
      </c>
      <c r="O721">
        <v>174</v>
      </c>
      <c r="P721">
        <v>357</v>
      </c>
      <c r="S721">
        <v>677</v>
      </c>
      <c r="T721">
        <v>906.59999999999945</v>
      </c>
      <c r="U721">
        <v>1029.625</v>
      </c>
      <c r="V721">
        <v>906.59999999999945</v>
      </c>
      <c r="W721">
        <v>2217.1999999999989</v>
      </c>
      <c r="X721">
        <v>2285.8499999999995</v>
      </c>
      <c r="Y721">
        <v>869.27642513472938</v>
      </c>
    </row>
    <row r="722" spans="1:25" x14ac:dyDescent="0.35">
      <c r="A722">
        <v>678</v>
      </c>
      <c r="B722">
        <v>906.59999999999945</v>
      </c>
      <c r="C722">
        <v>997.25</v>
      </c>
      <c r="D722">
        <v>906.59999999999945</v>
      </c>
      <c r="E722">
        <v>-1333.6500000000005</v>
      </c>
      <c r="F722">
        <v>-550.17500000000109</v>
      </c>
      <c r="G722">
        <v>-2719.3</v>
      </c>
      <c r="J722">
        <v>678</v>
      </c>
      <c r="K722">
        <v>0</v>
      </c>
      <c r="L722">
        <v>0</v>
      </c>
      <c r="M722">
        <v>0</v>
      </c>
      <c r="N722">
        <v>240</v>
      </c>
      <c r="O722">
        <v>188</v>
      </c>
      <c r="P722">
        <v>309</v>
      </c>
      <c r="S722">
        <v>678</v>
      </c>
      <c r="T722">
        <v>906.59999999999945</v>
      </c>
      <c r="U722">
        <v>951.92500000000018</v>
      </c>
      <c r="V722">
        <v>906.59999999999945</v>
      </c>
      <c r="W722">
        <v>1684.377753053313</v>
      </c>
      <c r="X722">
        <v>2259.474999999999</v>
      </c>
      <c r="Y722">
        <v>1282.8228315148185</v>
      </c>
    </row>
    <row r="723" spans="1:25" x14ac:dyDescent="0.35">
      <c r="A723">
        <v>679</v>
      </c>
      <c r="B723">
        <v>906.59999999999945</v>
      </c>
      <c r="C723">
        <v>964.875</v>
      </c>
      <c r="D723">
        <v>906.60000000000036</v>
      </c>
      <c r="E723">
        <v>-1372.5</v>
      </c>
      <c r="F723">
        <v>-517.80000000000018</v>
      </c>
      <c r="G723">
        <v>-2395.5500000000002</v>
      </c>
      <c r="J723">
        <v>679</v>
      </c>
      <c r="K723">
        <v>0</v>
      </c>
      <c r="L723">
        <v>0</v>
      </c>
      <c r="M723">
        <v>0</v>
      </c>
      <c r="N723">
        <v>203</v>
      </c>
      <c r="O723">
        <v>192</v>
      </c>
      <c r="P723">
        <v>319</v>
      </c>
      <c r="S723">
        <v>679</v>
      </c>
      <c r="T723">
        <v>906.59999999999945</v>
      </c>
      <c r="U723">
        <v>938.97499999999945</v>
      </c>
      <c r="V723">
        <v>906.59999999999945</v>
      </c>
      <c r="W723">
        <v>2275.1999999999998</v>
      </c>
      <c r="X723">
        <v>2241.4750000000004</v>
      </c>
      <c r="Y723">
        <v>2440.1499999999996</v>
      </c>
    </row>
    <row r="724" spans="1:25" x14ac:dyDescent="0.35">
      <c r="A724">
        <v>680</v>
      </c>
      <c r="B724">
        <v>906.59999999999945</v>
      </c>
      <c r="C724">
        <v>1003.7249999999985</v>
      </c>
      <c r="D724">
        <v>906.60000000000036</v>
      </c>
      <c r="E724">
        <v>-945.15000000000055</v>
      </c>
      <c r="F724">
        <v>-414.20000000000073</v>
      </c>
      <c r="G724">
        <v>-2369.6500000000005</v>
      </c>
      <c r="J724">
        <v>680</v>
      </c>
      <c r="K724">
        <v>0</v>
      </c>
      <c r="L724">
        <v>0</v>
      </c>
      <c r="M724">
        <v>0</v>
      </c>
      <c r="N724">
        <v>234</v>
      </c>
      <c r="O724">
        <v>190</v>
      </c>
      <c r="P724">
        <v>313</v>
      </c>
      <c r="S724">
        <v>680</v>
      </c>
      <c r="T724">
        <v>906.59999999999945</v>
      </c>
      <c r="U724">
        <v>938.97499999999945</v>
      </c>
      <c r="V724">
        <v>906.60000000000036</v>
      </c>
      <c r="W724">
        <v>2237.1999999999989</v>
      </c>
      <c r="X724">
        <v>2236.5249999999992</v>
      </c>
      <c r="Y724">
        <v>2483.1999999999998</v>
      </c>
    </row>
    <row r="725" spans="1:25" x14ac:dyDescent="0.35">
      <c r="A725">
        <v>681</v>
      </c>
      <c r="B725">
        <v>906.59999999999945</v>
      </c>
      <c r="C725">
        <v>964.875</v>
      </c>
      <c r="D725">
        <v>906.59999999999945</v>
      </c>
      <c r="E725">
        <v>-1450.2000000000007</v>
      </c>
      <c r="F725">
        <v>-368.875</v>
      </c>
      <c r="G725">
        <v>-2266.0500000000002</v>
      </c>
      <c r="J725">
        <v>681</v>
      </c>
      <c r="K725">
        <v>0</v>
      </c>
      <c r="L725">
        <v>0</v>
      </c>
      <c r="M725">
        <v>0</v>
      </c>
      <c r="N725">
        <v>235</v>
      </c>
      <c r="O725">
        <v>196</v>
      </c>
      <c r="P725">
        <v>303</v>
      </c>
      <c r="S725">
        <v>681</v>
      </c>
      <c r="T725">
        <v>906.59999999999945</v>
      </c>
      <c r="U725">
        <v>938.97499999999945</v>
      </c>
      <c r="V725">
        <v>906.59999999999945</v>
      </c>
      <c r="W725">
        <v>-1139.4000000000005</v>
      </c>
      <c r="X725">
        <v>2134.7190944518611</v>
      </c>
      <c r="Y725">
        <v>2505.1999999999998</v>
      </c>
    </row>
    <row r="726" spans="1:25" x14ac:dyDescent="0.35">
      <c r="A726">
        <v>682</v>
      </c>
      <c r="B726">
        <v>906.59999999999945</v>
      </c>
      <c r="C726">
        <v>958.39999999999964</v>
      </c>
      <c r="D726">
        <v>906.59999999999945</v>
      </c>
      <c r="E726">
        <v>-712.05000000000018</v>
      </c>
      <c r="F726">
        <v>-401.25</v>
      </c>
      <c r="G726">
        <v>-2330.8000000000002</v>
      </c>
      <c r="J726">
        <v>682</v>
      </c>
      <c r="K726">
        <v>0</v>
      </c>
      <c r="L726">
        <v>0</v>
      </c>
      <c r="M726">
        <v>0</v>
      </c>
      <c r="N726">
        <v>208</v>
      </c>
      <c r="O726">
        <v>176</v>
      </c>
      <c r="P726">
        <v>297</v>
      </c>
      <c r="S726">
        <v>682</v>
      </c>
      <c r="T726">
        <v>906.59999999999945</v>
      </c>
      <c r="U726">
        <v>977.82499999999982</v>
      </c>
      <c r="V726">
        <v>906.59999999999945</v>
      </c>
      <c r="W726">
        <v>2251.1999999999994</v>
      </c>
      <c r="X726">
        <v>2300.3249999999998</v>
      </c>
      <c r="Y726">
        <v>2467.1999999999998</v>
      </c>
    </row>
    <row r="727" spans="1:25" x14ac:dyDescent="0.35">
      <c r="A727">
        <v>683</v>
      </c>
      <c r="B727">
        <v>906.59999999999945</v>
      </c>
      <c r="C727">
        <v>990.77499999999964</v>
      </c>
      <c r="D727">
        <v>906.60000000000036</v>
      </c>
      <c r="E727">
        <v>-984</v>
      </c>
      <c r="F727">
        <v>-284.70000000000073</v>
      </c>
      <c r="G727">
        <v>-2291.9499999999998</v>
      </c>
      <c r="J727">
        <v>683</v>
      </c>
      <c r="K727">
        <v>0</v>
      </c>
      <c r="L727">
        <v>0</v>
      </c>
      <c r="M727">
        <v>0</v>
      </c>
      <c r="N727">
        <v>219</v>
      </c>
      <c r="O727">
        <v>176</v>
      </c>
      <c r="P727">
        <v>320</v>
      </c>
      <c r="S727">
        <v>683</v>
      </c>
      <c r="T727">
        <v>906.59999999999945</v>
      </c>
      <c r="U727">
        <v>951.92499999999927</v>
      </c>
      <c r="V727">
        <v>906.59999999999945</v>
      </c>
      <c r="W727">
        <v>2231.1999999999994</v>
      </c>
      <c r="X727">
        <v>2197.9499999999998</v>
      </c>
      <c r="Y727">
        <v>2455.1999999999998</v>
      </c>
    </row>
    <row r="728" spans="1:25" x14ac:dyDescent="0.35">
      <c r="A728">
        <v>684</v>
      </c>
      <c r="B728">
        <v>906.59999999999945</v>
      </c>
      <c r="C728">
        <v>984.29999999999927</v>
      </c>
      <c r="D728">
        <v>906.60000000000036</v>
      </c>
      <c r="E728">
        <v>-1294.8000000000002</v>
      </c>
      <c r="F728">
        <v>-466</v>
      </c>
      <c r="G728">
        <v>-2550.9499999999998</v>
      </c>
      <c r="J728">
        <v>684</v>
      </c>
      <c r="K728">
        <v>0</v>
      </c>
      <c r="L728">
        <v>0</v>
      </c>
      <c r="M728">
        <v>0</v>
      </c>
      <c r="N728">
        <v>230</v>
      </c>
      <c r="O728">
        <v>176</v>
      </c>
      <c r="P728">
        <v>312</v>
      </c>
      <c r="S728">
        <v>684</v>
      </c>
      <c r="T728">
        <v>906.59999999999945</v>
      </c>
      <c r="U728">
        <v>958.39999999999964</v>
      </c>
      <c r="V728">
        <v>906.59999999999945</v>
      </c>
      <c r="W728">
        <v>2241.1999999999994</v>
      </c>
      <c r="X728">
        <v>-466</v>
      </c>
      <c r="Y728">
        <v>1950.302972671826</v>
      </c>
    </row>
    <row r="729" spans="1:25" x14ac:dyDescent="0.35">
      <c r="A729">
        <v>685</v>
      </c>
      <c r="B729">
        <v>906.59999999999945</v>
      </c>
      <c r="C729">
        <v>958.39999999999964</v>
      </c>
      <c r="D729">
        <v>906.59999999999945</v>
      </c>
      <c r="E729">
        <v>-1152.3500000000004</v>
      </c>
      <c r="F729">
        <v>-96.925000000000182</v>
      </c>
      <c r="G729">
        <v>-2434.4000000000005</v>
      </c>
      <c r="J729">
        <v>685</v>
      </c>
      <c r="K729">
        <v>0</v>
      </c>
      <c r="L729">
        <v>0</v>
      </c>
      <c r="M729">
        <v>0</v>
      </c>
      <c r="N729">
        <v>195</v>
      </c>
      <c r="O729">
        <v>166</v>
      </c>
      <c r="P729">
        <v>322</v>
      </c>
      <c r="S729">
        <v>685</v>
      </c>
      <c r="T729">
        <v>906.59999999999945</v>
      </c>
      <c r="U729">
        <v>1010.1999999999989</v>
      </c>
      <c r="V729">
        <v>906.59999999999945</v>
      </c>
      <c r="W729">
        <v>2235.1999999999998</v>
      </c>
      <c r="X729">
        <v>1366.301905351967</v>
      </c>
      <c r="Y729">
        <v>-2045.9000000000005</v>
      </c>
    </row>
    <row r="730" spans="1:25" x14ac:dyDescent="0.35">
      <c r="A730">
        <v>686</v>
      </c>
      <c r="B730">
        <v>906.59999999999945</v>
      </c>
      <c r="C730">
        <v>971.34999999999945</v>
      </c>
      <c r="D730">
        <v>906.59999999999945</v>
      </c>
      <c r="E730">
        <v>-1191.2000000000007</v>
      </c>
      <c r="F730">
        <v>-504.85000000000036</v>
      </c>
      <c r="G730">
        <v>-2175.4000000000005</v>
      </c>
      <c r="J730">
        <v>686</v>
      </c>
      <c r="K730">
        <v>0</v>
      </c>
      <c r="L730">
        <v>0</v>
      </c>
      <c r="M730">
        <v>0</v>
      </c>
      <c r="N730">
        <v>223</v>
      </c>
      <c r="O730">
        <v>192</v>
      </c>
      <c r="P730">
        <v>318</v>
      </c>
      <c r="S730">
        <v>686</v>
      </c>
      <c r="T730">
        <v>906.59999999999945</v>
      </c>
      <c r="U730">
        <v>997.25</v>
      </c>
      <c r="V730">
        <v>919.54999999999927</v>
      </c>
      <c r="W730">
        <v>2223.1999999999998</v>
      </c>
      <c r="X730">
        <v>2197.099999999999</v>
      </c>
      <c r="Y730">
        <v>-1323.7601880955467</v>
      </c>
    </row>
    <row r="731" spans="1:25" x14ac:dyDescent="0.35">
      <c r="A731">
        <v>687</v>
      </c>
      <c r="B731">
        <v>906.59999999999945</v>
      </c>
      <c r="C731">
        <v>997.25</v>
      </c>
      <c r="D731">
        <v>906.59999999999945</v>
      </c>
      <c r="E731">
        <v>-1087.6000000000004</v>
      </c>
      <c r="F731">
        <v>-485.42500000000109</v>
      </c>
      <c r="G731">
        <v>-2512.1000000000004</v>
      </c>
      <c r="J731">
        <v>687</v>
      </c>
      <c r="K731">
        <v>0</v>
      </c>
      <c r="L731">
        <v>0</v>
      </c>
      <c r="M731">
        <v>0</v>
      </c>
      <c r="N731">
        <v>224</v>
      </c>
      <c r="O731">
        <v>174</v>
      </c>
      <c r="P731">
        <v>327</v>
      </c>
      <c r="S731">
        <v>687</v>
      </c>
      <c r="T731">
        <v>906.59999999999945</v>
      </c>
      <c r="U731">
        <v>971.34999999999854</v>
      </c>
      <c r="V731">
        <v>906.60000000000036</v>
      </c>
      <c r="W731">
        <v>2269.1999999999994</v>
      </c>
      <c r="X731">
        <v>1018.1776583448047</v>
      </c>
      <c r="Y731">
        <v>2499.1999999999989</v>
      </c>
    </row>
    <row r="732" spans="1:25" x14ac:dyDescent="0.35">
      <c r="A732">
        <v>688</v>
      </c>
      <c r="B732">
        <v>906.59999999999945</v>
      </c>
      <c r="C732">
        <v>971.34999999999854</v>
      </c>
      <c r="D732">
        <v>906.59999999999945</v>
      </c>
      <c r="E732">
        <v>-1165.3000000000002</v>
      </c>
      <c r="F732">
        <v>-699.10000000000036</v>
      </c>
      <c r="G732">
        <v>-2136.5500000000002</v>
      </c>
      <c r="J732">
        <v>688</v>
      </c>
      <c r="K732">
        <v>0</v>
      </c>
      <c r="L732">
        <v>0</v>
      </c>
      <c r="M732">
        <v>0</v>
      </c>
      <c r="N732">
        <v>222</v>
      </c>
      <c r="O732">
        <v>206</v>
      </c>
      <c r="P732">
        <v>331</v>
      </c>
      <c r="S732">
        <v>688</v>
      </c>
      <c r="T732">
        <v>906.59999999999945</v>
      </c>
      <c r="U732">
        <v>932.49999999999909</v>
      </c>
      <c r="V732">
        <v>906.60000000000036</v>
      </c>
      <c r="W732">
        <v>2303.1999999999998</v>
      </c>
      <c r="X732">
        <v>2235</v>
      </c>
      <c r="Y732">
        <v>2443.1999999999998</v>
      </c>
    </row>
    <row r="733" spans="1:25" x14ac:dyDescent="0.35">
      <c r="A733">
        <v>689</v>
      </c>
      <c r="B733">
        <v>906.59999999999945</v>
      </c>
      <c r="C733">
        <v>984.29999999999927</v>
      </c>
      <c r="D733">
        <v>906.59999999999945</v>
      </c>
      <c r="E733">
        <v>-1152.3500000000004</v>
      </c>
      <c r="F733">
        <v>-530.75</v>
      </c>
      <c r="G733">
        <v>-2279</v>
      </c>
      <c r="J733">
        <v>689</v>
      </c>
      <c r="K733">
        <v>0</v>
      </c>
      <c r="L733">
        <v>0</v>
      </c>
      <c r="M733">
        <v>0</v>
      </c>
      <c r="N733">
        <v>201</v>
      </c>
      <c r="O733">
        <v>158</v>
      </c>
      <c r="P733">
        <v>316</v>
      </c>
      <c r="S733">
        <v>689</v>
      </c>
      <c r="T733">
        <v>906.59999999999945</v>
      </c>
      <c r="U733">
        <v>977.82499999999891</v>
      </c>
      <c r="V733">
        <v>906.60000000000036</v>
      </c>
      <c r="W733">
        <v>2239.1999999999994</v>
      </c>
      <c r="X733">
        <v>644.29786498185285</v>
      </c>
      <c r="Y733">
        <v>-50.924461217018688</v>
      </c>
    </row>
    <row r="734" spans="1:25" x14ac:dyDescent="0.35">
      <c r="A734">
        <v>690</v>
      </c>
      <c r="B734">
        <v>906.59999999999945</v>
      </c>
      <c r="C734">
        <v>990.77499999999964</v>
      </c>
      <c r="D734">
        <v>906.60000000000036</v>
      </c>
      <c r="E734">
        <v>-1359.5500000000002</v>
      </c>
      <c r="F734">
        <v>-161.67500000000018</v>
      </c>
      <c r="G734">
        <v>-2291.9499999999998</v>
      </c>
      <c r="J734">
        <v>690</v>
      </c>
      <c r="K734">
        <v>0</v>
      </c>
      <c r="L734">
        <v>0</v>
      </c>
      <c r="M734">
        <v>0</v>
      </c>
      <c r="N734">
        <v>219</v>
      </c>
      <c r="O734">
        <v>193</v>
      </c>
      <c r="P734">
        <v>326</v>
      </c>
      <c r="S734">
        <v>690</v>
      </c>
      <c r="T734">
        <v>906.59999999999945</v>
      </c>
      <c r="U734">
        <v>997.24999999999909</v>
      </c>
      <c r="V734">
        <v>906.59999999999945</v>
      </c>
      <c r="W734">
        <v>-467.23160036788329</v>
      </c>
      <c r="X734">
        <v>2238.5249999999996</v>
      </c>
      <c r="Y734">
        <v>2511.1999999999998</v>
      </c>
    </row>
    <row r="735" spans="1:25" x14ac:dyDescent="0.35">
      <c r="A735">
        <v>691</v>
      </c>
      <c r="B735">
        <v>906.59999999999945</v>
      </c>
      <c r="C735">
        <v>964.87499999999909</v>
      </c>
      <c r="D735">
        <v>906.59999999999945</v>
      </c>
      <c r="E735">
        <v>-1061.7000000000007</v>
      </c>
      <c r="F735">
        <v>-433.625</v>
      </c>
      <c r="G735">
        <v>-2330.8000000000002</v>
      </c>
      <c r="J735">
        <v>691</v>
      </c>
      <c r="K735">
        <v>0</v>
      </c>
      <c r="L735">
        <v>0</v>
      </c>
      <c r="M735">
        <v>0</v>
      </c>
      <c r="N735">
        <v>219</v>
      </c>
      <c r="O735">
        <v>178</v>
      </c>
      <c r="P735">
        <v>336</v>
      </c>
      <c r="S735">
        <v>691</v>
      </c>
      <c r="T735">
        <v>906.59999999999945</v>
      </c>
      <c r="U735">
        <v>984.29999999999927</v>
      </c>
      <c r="V735">
        <v>906.60000000000036</v>
      </c>
      <c r="W735">
        <v>2271.1999999999994</v>
      </c>
      <c r="X735">
        <v>2258.9999999999991</v>
      </c>
      <c r="Y735">
        <v>2461.1999999999998</v>
      </c>
    </row>
    <row r="736" spans="1:25" x14ac:dyDescent="0.35">
      <c r="A736">
        <v>692</v>
      </c>
      <c r="B736">
        <v>906.59999999999945</v>
      </c>
      <c r="C736">
        <v>951.92499999999927</v>
      </c>
      <c r="D736">
        <v>906.59999999999945</v>
      </c>
      <c r="E736">
        <v>-1204.1500000000005</v>
      </c>
      <c r="F736">
        <v>-556.65000000000055</v>
      </c>
      <c r="G736">
        <v>-2719.3</v>
      </c>
      <c r="J736">
        <v>692</v>
      </c>
      <c r="K736">
        <v>0</v>
      </c>
      <c r="L736">
        <v>0</v>
      </c>
      <c r="M736">
        <v>0</v>
      </c>
      <c r="N736">
        <v>221</v>
      </c>
      <c r="O736">
        <v>184</v>
      </c>
      <c r="P736">
        <v>296</v>
      </c>
      <c r="S736">
        <v>692</v>
      </c>
      <c r="T736">
        <v>906.59999999999945</v>
      </c>
      <c r="U736">
        <v>1003.7249999999995</v>
      </c>
      <c r="V736">
        <v>906.59999999999945</v>
      </c>
      <c r="W736">
        <v>1649.461658268784</v>
      </c>
      <c r="X736">
        <v>2207.4749999999999</v>
      </c>
      <c r="Y736">
        <v>-98.936149217802722</v>
      </c>
    </row>
    <row r="737" spans="1:25" x14ac:dyDescent="0.35">
      <c r="A737">
        <v>693</v>
      </c>
      <c r="B737">
        <v>906.59999999999945</v>
      </c>
      <c r="C737">
        <v>945.44999999999982</v>
      </c>
      <c r="D737">
        <v>919.55000000000018</v>
      </c>
      <c r="E737">
        <v>-1048.75</v>
      </c>
      <c r="F737">
        <v>-589.02500000000055</v>
      </c>
      <c r="G737">
        <v>-2045.9000000000005</v>
      </c>
      <c r="J737">
        <v>693</v>
      </c>
      <c r="K737">
        <v>0</v>
      </c>
      <c r="L737">
        <v>0</v>
      </c>
      <c r="M737">
        <v>0</v>
      </c>
      <c r="N737">
        <v>203</v>
      </c>
      <c r="O737">
        <v>156</v>
      </c>
      <c r="P737">
        <v>326</v>
      </c>
      <c r="S737">
        <v>693</v>
      </c>
      <c r="T737">
        <v>906.59999999999945</v>
      </c>
      <c r="U737">
        <v>977.82499999999982</v>
      </c>
      <c r="V737">
        <v>906.59999999999945</v>
      </c>
      <c r="W737">
        <v>2273.1999999999998</v>
      </c>
      <c r="X737">
        <v>2238.0499999999988</v>
      </c>
      <c r="Y737">
        <v>1824.7513556824888</v>
      </c>
    </row>
    <row r="738" spans="1:25" x14ac:dyDescent="0.35">
      <c r="A738">
        <v>694</v>
      </c>
      <c r="B738">
        <v>906.59999999999945</v>
      </c>
      <c r="C738">
        <v>997.24999999999909</v>
      </c>
      <c r="D738">
        <v>906.60000000000036</v>
      </c>
      <c r="E738">
        <v>-1126.4500000000007</v>
      </c>
      <c r="F738">
        <v>-582.55000000000018</v>
      </c>
      <c r="G738">
        <v>-2317.8500000000004</v>
      </c>
      <c r="J738">
        <v>694</v>
      </c>
      <c r="K738">
        <v>0</v>
      </c>
      <c r="L738">
        <v>0</v>
      </c>
      <c r="M738">
        <v>0</v>
      </c>
      <c r="N738">
        <v>233</v>
      </c>
      <c r="O738">
        <v>169</v>
      </c>
      <c r="P738">
        <v>332</v>
      </c>
      <c r="S738">
        <v>694</v>
      </c>
      <c r="T738">
        <v>906.59999999999945</v>
      </c>
      <c r="U738">
        <v>938.97499999999945</v>
      </c>
      <c r="V738">
        <v>906.59999999999945</v>
      </c>
      <c r="W738">
        <v>2213.1999999999998</v>
      </c>
      <c r="X738">
        <v>2266.8999999999992</v>
      </c>
      <c r="Y738">
        <v>2473.1999999999998</v>
      </c>
    </row>
    <row r="739" spans="1:25" x14ac:dyDescent="0.35">
      <c r="A739">
        <v>695</v>
      </c>
      <c r="B739">
        <v>906.59999999999945</v>
      </c>
      <c r="C739">
        <v>977.82499999999982</v>
      </c>
      <c r="D739">
        <v>906.59999999999945</v>
      </c>
      <c r="E739">
        <v>-1139.4000000000005</v>
      </c>
      <c r="F739">
        <v>-427.14999999999964</v>
      </c>
      <c r="G739">
        <v>-2291.9499999999998</v>
      </c>
      <c r="J739">
        <v>695</v>
      </c>
      <c r="K739">
        <v>0</v>
      </c>
      <c r="L739">
        <v>0</v>
      </c>
      <c r="M739">
        <v>0</v>
      </c>
      <c r="N739">
        <v>231</v>
      </c>
      <c r="O739">
        <v>166</v>
      </c>
      <c r="P739">
        <v>329</v>
      </c>
      <c r="S739">
        <v>695</v>
      </c>
      <c r="T739">
        <v>906.59999999999945</v>
      </c>
      <c r="U739">
        <v>938.97499999999945</v>
      </c>
      <c r="V739">
        <v>906.60000000000036</v>
      </c>
      <c r="W739">
        <v>2309.1999999999994</v>
      </c>
      <c r="X739">
        <v>-433.625</v>
      </c>
      <c r="Y739">
        <v>2467.1999999999998</v>
      </c>
    </row>
    <row r="740" spans="1:25" x14ac:dyDescent="0.35">
      <c r="A740">
        <v>696</v>
      </c>
      <c r="B740">
        <v>906.59999999999945</v>
      </c>
      <c r="C740">
        <v>977.82499999999982</v>
      </c>
      <c r="D740">
        <v>906.59999999999945</v>
      </c>
      <c r="E740">
        <v>-1281.8500000000004</v>
      </c>
      <c r="F740">
        <v>-207</v>
      </c>
      <c r="G740">
        <v>-2110.6500000000005</v>
      </c>
      <c r="J740">
        <v>696</v>
      </c>
      <c r="K740">
        <v>0</v>
      </c>
      <c r="L740">
        <v>0</v>
      </c>
      <c r="M740">
        <v>0</v>
      </c>
      <c r="N740">
        <v>219</v>
      </c>
      <c r="O740">
        <v>180</v>
      </c>
      <c r="P740">
        <v>313</v>
      </c>
      <c r="S740">
        <v>696</v>
      </c>
      <c r="T740">
        <v>906.59999999999945</v>
      </c>
      <c r="U740">
        <v>984.30000000000018</v>
      </c>
      <c r="V740">
        <v>919.54999999999927</v>
      </c>
      <c r="W740">
        <v>2275.1999999999998</v>
      </c>
      <c r="X740">
        <v>2188.5249999999996</v>
      </c>
      <c r="Y740">
        <v>2469.0999999999995</v>
      </c>
    </row>
    <row r="741" spans="1:25" x14ac:dyDescent="0.35">
      <c r="A741">
        <v>697</v>
      </c>
      <c r="B741">
        <v>906.59999999999945</v>
      </c>
      <c r="C741">
        <v>990.77499999999964</v>
      </c>
      <c r="D741">
        <v>906.60000000000036</v>
      </c>
      <c r="E741">
        <v>-1411.3500000000004</v>
      </c>
      <c r="F741">
        <v>-472.47500000000036</v>
      </c>
      <c r="G741">
        <v>-2525.0500000000002</v>
      </c>
      <c r="J741">
        <v>697</v>
      </c>
      <c r="K741">
        <v>0</v>
      </c>
      <c r="L741">
        <v>0</v>
      </c>
      <c r="M741">
        <v>0</v>
      </c>
      <c r="N741">
        <v>234</v>
      </c>
      <c r="O741">
        <v>183</v>
      </c>
      <c r="P741">
        <v>312</v>
      </c>
      <c r="S741">
        <v>697</v>
      </c>
      <c r="T741">
        <v>906.59999999999945</v>
      </c>
      <c r="U741">
        <v>990.77499999999964</v>
      </c>
      <c r="V741">
        <v>906.60000000000036</v>
      </c>
      <c r="W741">
        <v>2261.1999999999994</v>
      </c>
      <c r="X741">
        <v>2251.849999999999</v>
      </c>
      <c r="Y741">
        <v>2035.8337041169179</v>
      </c>
    </row>
    <row r="742" spans="1:25" x14ac:dyDescent="0.35">
      <c r="A742">
        <v>698</v>
      </c>
      <c r="B742">
        <v>906.59999999999945</v>
      </c>
      <c r="C742">
        <v>971.34999999999854</v>
      </c>
      <c r="D742">
        <v>893.64999999999964</v>
      </c>
      <c r="E742">
        <v>-1243</v>
      </c>
      <c r="F742">
        <v>-349.45000000000073</v>
      </c>
      <c r="G742">
        <v>-2447.3500000000004</v>
      </c>
      <c r="J742">
        <v>698</v>
      </c>
      <c r="K742">
        <v>0</v>
      </c>
      <c r="L742">
        <v>0</v>
      </c>
      <c r="M742">
        <v>0</v>
      </c>
      <c r="N742">
        <v>225</v>
      </c>
      <c r="O742">
        <v>160</v>
      </c>
      <c r="P742">
        <v>353</v>
      </c>
      <c r="S742">
        <v>698</v>
      </c>
      <c r="T742">
        <v>906.59999999999945</v>
      </c>
      <c r="U742">
        <v>984.29999999999927</v>
      </c>
      <c r="V742">
        <v>906.59999999999945</v>
      </c>
      <c r="W742">
        <v>2255.1999999999998</v>
      </c>
      <c r="X742">
        <v>-537.22500000000036</v>
      </c>
      <c r="Y742">
        <v>2473.1999999999998</v>
      </c>
    </row>
    <row r="743" spans="1:25" x14ac:dyDescent="0.35">
      <c r="A743">
        <v>699</v>
      </c>
      <c r="B743">
        <v>906.59999999999945</v>
      </c>
      <c r="C743">
        <v>997.25</v>
      </c>
      <c r="D743">
        <v>919.55000000000018</v>
      </c>
      <c r="E743">
        <v>-1255.9500000000007</v>
      </c>
      <c r="F743">
        <v>-368.875</v>
      </c>
      <c r="G743">
        <v>-2563.9000000000005</v>
      </c>
      <c r="J743">
        <v>699</v>
      </c>
      <c r="K743">
        <v>0</v>
      </c>
      <c r="L743">
        <v>0</v>
      </c>
      <c r="M743">
        <v>0</v>
      </c>
      <c r="N743">
        <v>214</v>
      </c>
      <c r="O743">
        <v>189</v>
      </c>
      <c r="P743">
        <v>323</v>
      </c>
      <c r="S743">
        <v>699</v>
      </c>
      <c r="T743">
        <v>906.59999999999945</v>
      </c>
      <c r="U743">
        <v>1003.7249999999995</v>
      </c>
      <c r="V743">
        <v>906.59999999999945</v>
      </c>
      <c r="W743">
        <v>2257.1999999999989</v>
      </c>
      <c r="X743">
        <v>2251.3749999999995</v>
      </c>
      <c r="Y743">
        <v>1497.8355924816724</v>
      </c>
    </row>
    <row r="744" spans="1:25" x14ac:dyDescent="0.35">
      <c r="A744">
        <v>700</v>
      </c>
      <c r="B744">
        <v>906.59999999999945</v>
      </c>
      <c r="C744">
        <v>1003.7249999999985</v>
      </c>
      <c r="D744">
        <v>919.54999999999927</v>
      </c>
      <c r="E744">
        <v>-1178.25</v>
      </c>
      <c r="F744">
        <v>-491.89999999999964</v>
      </c>
      <c r="G744">
        <v>-2460.3000000000002</v>
      </c>
      <c r="J744">
        <v>700</v>
      </c>
      <c r="K744">
        <v>0</v>
      </c>
      <c r="L744">
        <v>0</v>
      </c>
      <c r="M744">
        <v>0</v>
      </c>
      <c r="N744">
        <v>209</v>
      </c>
      <c r="O744">
        <v>170</v>
      </c>
      <c r="P744">
        <v>315</v>
      </c>
      <c r="S744">
        <v>700</v>
      </c>
      <c r="T744">
        <v>906.59999999999945</v>
      </c>
      <c r="U744">
        <v>977.82499999999982</v>
      </c>
      <c r="V744">
        <v>906.59999999999945</v>
      </c>
      <c r="W744">
        <v>2195.1999999999998</v>
      </c>
      <c r="X744">
        <v>2232.8999999999996</v>
      </c>
      <c r="Y744">
        <v>2197.8483878116322</v>
      </c>
    </row>
    <row r="745" spans="1:25" x14ac:dyDescent="0.35">
      <c r="A745">
        <v>701</v>
      </c>
      <c r="B745">
        <v>906.59999999999945</v>
      </c>
      <c r="C745">
        <v>984.29999999999927</v>
      </c>
      <c r="D745">
        <v>906.59999999999945</v>
      </c>
      <c r="E745">
        <v>-1048.75</v>
      </c>
      <c r="F745">
        <v>-271.75</v>
      </c>
      <c r="G745">
        <v>-2214.25</v>
      </c>
      <c r="J745">
        <v>701</v>
      </c>
      <c r="K745">
        <v>0</v>
      </c>
      <c r="L745">
        <v>0</v>
      </c>
      <c r="M745">
        <v>0</v>
      </c>
      <c r="N745">
        <v>229</v>
      </c>
      <c r="O745">
        <v>174</v>
      </c>
      <c r="P745">
        <v>323</v>
      </c>
      <c r="S745">
        <v>701</v>
      </c>
      <c r="T745">
        <v>906.59999999999945</v>
      </c>
      <c r="U745">
        <v>964.87499999999909</v>
      </c>
      <c r="V745">
        <v>906.59999999999945</v>
      </c>
      <c r="W745">
        <v>1069.7877261051158</v>
      </c>
      <c r="X745">
        <v>-317.07500000000073</v>
      </c>
      <c r="Y745">
        <v>2425.1999999999998</v>
      </c>
    </row>
    <row r="746" spans="1:25" x14ac:dyDescent="0.35">
      <c r="A746">
        <v>702</v>
      </c>
      <c r="B746">
        <v>906.59999999999945</v>
      </c>
      <c r="C746">
        <v>958.39999999999964</v>
      </c>
      <c r="D746">
        <v>906.60000000000036</v>
      </c>
      <c r="E746">
        <v>-1100.5500000000002</v>
      </c>
      <c r="F746">
        <v>-219.95000000000073</v>
      </c>
      <c r="G746">
        <v>-2317.8500000000004</v>
      </c>
      <c r="J746">
        <v>702</v>
      </c>
      <c r="K746">
        <v>0</v>
      </c>
      <c r="L746">
        <v>0</v>
      </c>
      <c r="M746">
        <v>0</v>
      </c>
      <c r="N746">
        <v>221</v>
      </c>
      <c r="O746">
        <v>200</v>
      </c>
      <c r="P746">
        <v>330</v>
      </c>
      <c r="S746">
        <v>702</v>
      </c>
      <c r="T746">
        <v>906.59999999999945</v>
      </c>
      <c r="U746">
        <v>984.30000000000018</v>
      </c>
      <c r="V746">
        <v>906.60000000000036</v>
      </c>
      <c r="W746">
        <v>2205.1999999999998</v>
      </c>
      <c r="X746">
        <v>2251.3749999999995</v>
      </c>
      <c r="Y746">
        <v>2425.1999999999998</v>
      </c>
    </row>
    <row r="747" spans="1:25" x14ac:dyDescent="0.35">
      <c r="A747">
        <v>703</v>
      </c>
      <c r="B747">
        <v>906.59999999999945</v>
      </c>
      <c r="C747">
        <v>990.77499999999964</v>
      </c>
      <c r="D747">
        <v>906.60000000000036</v>
      </c>
      <c r="E747">
        <v>-1048.75</v>
      </c>
      <c r="F747">
        <v>-472.47500000000036</v>
      </c>
      <c r="G747">
        <v>-2317.8500000000004</v>
      </c>
      <c r="J747">
        <v>703</v>
      </c>
      <c r="K747">
        <v>0</v>
      </c>
      <c r="L747">
        <v>0</v>
      </c>
      <c r="M747">
        <v>0</v>
      </c>
      <c r="N747">
        <v>213</v>
      </c>
      <c r="O747">
        <v>184</v>
      </c>
      <c r="P747">
        <v>327</v>
      </c>
      <c r="S747">
        <v>703</v>
      </c>
      <c r="T747">
        <v>906.59999999999945</v>
      </c>
      <c r="U747">
        <v>951.92499999999927</v>
      </c>
      <c r="V747">
        <v>906.60000000000036</v>
      </c>
      <c r="W747">
        <v>538.9792835306248</v>
      </c>
      <c r="X747">
        <v>2206.5249999999992</v>
      </c>
      <c r="Y747">
        <v>-2473.25</v>
      </c>
    </row>
    <row r="748" spans="1:25" x14ac:dyDescent="0.35">
      <c r="A748">
        <v>704</v>
      </c>
      <c r="B748">
        <v>906.59999999999945</v>
      </c>
      <c r="C748">
        <v>964.87499999999909</v>
      </c>
      <c r="D748">
        <v>906.59999999999945</v>
      </c>
      <c r="E748">
        <v>-1087.6000000000004</v>
      </c>
      <c r="F748">
        <v>-252.32500000000073</v>
      </c>
      <c r="G748">
        <v>-2356.6999999999998</v>
      </c>
      <c r="J748">
        <v>704</v>
      </c>
      <c r="K748">
        <v>0</v>
      </c>
      <c r="L748">
        <v>0</v>
      </c>
      <c r="M748">
        <v>0</v>
      </c>
      <c r="N748">
        <v>226</v>
      </c>
      <c r="O748">
        <v>183</v>
      </c>
      <c r="P748">
        <v>320</v>
      </c>
      <c r="S748">
        <v>704</v>
      </c>
      <c r="T748">
        <v>906.59999999999945</v>
      </c>
      <c r="U748">
        <v>1036.0999999999995</v>
      </c>
      <c r="V748">
        <v>906.60000000000036</v>
      </c>
      <c r="W748">
        <v>1500.9485358703155</v>
      </c>
      <c r="X748">
        <v>2230.9999999999995</v>
      </c>
      <c r="Y748">
        <v>-2375.1752083720753</v>
      </c>
    </row>
    <row r="749" spans="1:25" x14ac:dyDescent="0.35">
      <c r="A749">
        <v>705</v>
      </c>
      <c r="B749">
        <v>906.59999999999945</v>
      </c>
      <c r="C749">
        <v>977.82499999999891</v>
      </c>
      <c r="D749">
        <v>906.60000000000036</v>
      </c>
      <c r="E749">
        <v>-1152.3500000000004</v>
      </c>
      <c r="F749">
        <v>-491.90000000000055</v>
      </c>
      <c r="G749">
        <v>-2525.0500000000002</v>
      </c>
      <c r="J749">
        <v>705</v>
      </c>
      <c r="K749">
        <v>0</v>
      </c>
      <c r="L749">
        <v>0</v>
      </c>
      <c r="M749">
        <v>0</v>
      </c>
      <c r="N749">
        <v>226</v>
      </c>
      <c r="O749">
        <v>199</v>
      </c>
      <c r="P749">
        <v>313</v>
      </c>
      <c r="S749">
        <v>705</v>
      </c>
      <c r="T749">
        <v>906.59999999999945</v>
      </c>
      <c r="U749">
        <v>964.87499999999909</v>
      </c>
      <c r="V749">
        <v>906.59999999999945</v>
      </c>
      <c r="W749">
        <v>2225.1999999999998</v>
      </c>
      <c r="X749">
        <v>2264.9</v>
      </c>
      <c r="Y749">
        <v>2419.1999999999989</v>
      </c>
    </row>
    <row r="750" spans="1:25" x14ac:dyDescent="0.35">
      <c r="A750">
        <v>706</v>
      </c>
      <c r="B750">
        <v>906.59999999999945</v>
      </c>
      <c r="C750">
        <v>984.29999999999927</v>
      </c>
      <c r="D750">
        <v>906.59999999999945</v>
      </c>
      <c r="E750">
        <v>-1035.8000000000002</v>
      </c>
      <c r="F750">
        <v>-692.625</v>
      </c>
      <c r="G750">
        <v>-2317.8500000000004</v>
      </c>
      <c r="J750">
        <v>706</v>
      </c>
      <c r="K750">
        <v>0</v>
      </c>
      <c r="L750">
        <v>0</v>
      </c>
      <c r="M750">
        <v>0</v>
      </c>
      <c r="N750">
        <v>217</v>
      </c>
      <c r="O750">
        <v>194</v>
      </c>
      <c r="P750">
        <v>320</v>
      </c>
      <c r="S750">
        <v>706</v>
      </c>
      <c r="T750">
        <v>906.59999999999945</v>
      </c>
      <c r="U750">
        <v>1003.7249999999985</v>
      </c>
      <c r="V750">
        <v>906.59999999999945</v>
      </c>
      <c r="W750">
        <v>1209.0163669534763</v>
      </c>
      <c r="X750">
        <v>2260.4249999999988</v>
      </c>
      <c r="Y750">
        <v>-1299.1909546673228</v>
      </c>
    </row>
    <row r="751" spans="1:25" x14ac:dyDescent="0.35">
      <c r="A751">
        <v>707</v>
      </c>
      <c r="B751">
        <v>906.59999999999945</v>
      </c>
      <c r="C751">
        <v>1003.7249999999995</v>
      </c>
      <c r="D751">
        <v>906.60000000000036</v>
      </c>
      <c r="E751">
        <v>-996.95000000000073</v>
      </c>
      <c r="F751">
        <v>-342.97500000000036</v>
      </c>
      <c r="G751">
        <v>-2317.8500000000004</v>
      </c>
      <c r="J751">
        <v>707</v>
      </c>
      <c r="K751">
        <v>0</v>
      </c>
      <c r="L751">
        <v>0</v>
      </c>
      <c r="M751">
        <v>0</v>
      </c>
      <c r="N751">
        <v>234</v>
      </c>
      <c r="O751">
        <v>168</v>
      </c>
      <c r="P751">
        <v>330</v>
      </c>
      <c r="S751">
        <v>707</v>
      </c>
      <c r="T751">
        <v>906.59999999999945</v>
      </c>
      <c r="U751">
        <v>977.82499999999982</v>
      </c>
      <c r="V751">
        <v>906.59999999999945</v>
      </c>
      <c r="W751">
        <v>2259.1999999999994</v>
      </c>
      <c r="X751">
        <v>2296.3249999999994</v>
      </c>
      <c r="Y751">
        <v>582.32999049204727</v>
      </c>
    </row>
    <row r="752" spans="1:25" x14ac:dyDescent="0.35">
      <c r="A752">
        <v>708</v>
      </c>
      <c r="B752">
        <v>906.59999999999945</v>
      </c>
      <c r="C752">
        <v>938.97499999999854</v>
      </c>
      <c r="D752">
        <v>880.69999999999982</v>
      </c>
      <c r="E752">
        <v>-1281.8500000000004</v>
      </c>
      <c r="F752">
        <v>-744.42500000000018</v>
      </c>
      <c r="G752">
        <v>-2525.0500000000002</v>
      </c>
      <c r="J752">
        <v>708</v>
      </c>
      <c r="K752">
        <v>0</v>
      </c>
      <c r="L752">
        <v>0</v>
      </c>
      <c r="M752">
        <v>0</v>
      </c>
      <c r="N752">
        <v>228</v>
      </c>
      <c r="O752">
        <v>181</v>
      </c>
      <c r="P752">
        <v>314</v>
      </c>
      <c r="S752">
        <v>708</v>
      </c>
      <c r="T752">
        <v>906.59999999999945</v>
      </c>
      <c r="U752">
        <v>984.29999999999927</v>
      </c>
      <c r="V752">
        <v>906.60000000000036</v>
      </c>
      <c r="W752">
        <v>2253.1999999999998</v>
      </c>
      <c r="X752">
        <v>2218.8999999999992</v>
      </c>
      <c r="Y752">
        <v>2397.1999999999989</v>
      </c>
    </row>
    <row r="753" spans="1:25" x14ac:dyDescent="0.35">
      <c r="A753">
        <v>709</v>
      </c>
      <c r="B753">
        <v>906.59999999999945</v>
      </c>
      <c r="C753">
        <v>945.44999999999982</v>
      </c>
      <c r="D753">
        <v>906.59999999999945</v>
      </c>
      <c r="E753">
        <v>-1268.9000000000005</v>
      </c>
      <c r="F753">
        <v>-498.375</v>
      </c>
      <c r="G753">
        <v>-2615.6999999999998</v>
      </c>
      <c r="J753">
        <v>709</v>
      </c>
      <c r="K753">
        <v>0</v>
      </c>
      <c r="L753">
        <v>0</v>
      </c>
      <c r="M753">
        <v>0</v>
      </c>
      <c r="N753">
        <v>225</v>
      </c>
      <c r="O753">
        <v>188</v>
      </c>
      <c r="P753">
        <v>309</v>
      </c>
      <c r="S753">
        <v>709</v>
      </c>
      <c r="T753">
        <v>906.59999999999945</v>
      </c>
      <c r="U753">
        <v>958.39999999999964</v>
      </c>
      <c r="V753">
        <v>906.59999999999945</v>
      </c>
      <c r="W753">
        <v>-637.5985765132217</v>
      </c>
      <c r="X753">
        <v>2190.5249999999996</v>
      </c>
      <c r="Y753">
        <v>2439.1999999999989</v>
      </c>
    </row>
    <row r="754" spans="1:25" x14ac:dyDescent="0.35">
      <c r="A754">
        <v>710</v>
      </c>
      <c r="B754">
        <v>906.59999999999945</v>
      </c>
      <c r="C754">
        <v>971.34999999999945</v>
      </c>
      <c r="D754">
        <v>906.59999999999945</v>
      </c>
      <c r="E754">
        <v>-1022.8500000000004</v>
      </c>
      <c r="F754">
        <v>-517.80000000000018</v>
      </c>
      <c r="G754">
        <v>-2512.1000000000004</v>
      </c>
      <c r="J754">
        <v>710</v>
      </c>
      <c r="K754">
        <v>0</v>
      </c>
      <c r="L754">
        <v>0</v>
      </c>
      <c r="M754">
        <v>0</v>
      </c>
      <c r="N754">
        <v>224</v>
      </c>
      <c r="O754">
        <v>186</v>
      </c>
      <c r="P754">
        <v>332</v>
      </c>
      <c r="S754">
        <v>710</v>
      </c>
      <c r="T754">
        <v>906.59999999999945</v>
      </c>
      <c r="U754">
        <v>938.97499999999945</v>
      </c>
      <c r="V754">
        <v>906.59999999999945</v>
      </c>
      <c r="W754">
        <v>2289.1999999999994</v>
      </c>
      <c r="X754">
        <v>2266.3249999999994</v>
      </c>
      <c r="Y754">
        <v>2472.1499999999996</v>
      </c>
    </row>
    <row r="755" spans="1:25" x14ac:dyDescent="0.35">
      <c r="A755">
        <v>711</v>
      </c>
      <c r="B755">
        <v>906.59999999999945</v>
      </c>
      <c r="C755">
        <v>1003.7249999999985</v>
      </c>
      <c r="D755">
        <v>906.59999999999945</v>
      </c>
      <c r="E755">
        <v>-1217.1000000000004</v>
      </c>
      <c r="F755">
        <v>-226.42500000000018</v>
      </c>
      <c r="G755">
        <v>-2369.6500000000005</v>
      </c>
      <c r="J755">
        <v>711</v>
      </c>
      <c r="K755">
        <v>0</v>
      </c>
      <c r="L755">
        <v>0</v>
      </c>
      <c r="M755">
        <v>0</v>
      </c>
      <c r="N755">
        <v>219</v>
      </c>
      <c r="O755">
        <v>185</v>
      </c>
      <c r="P755">
        <v>281</v>
      </c>
      <c r="S755">
        <v>711</v>
      </c>
      <c r="T755">
        <v>906.59999999999945</v>
      </c>
      <c r="U755">
        <v>951.92499999999927</v>
      </c>
      <c r="V755">
        <v>906.60000000000036</v>
      </c>
      <c r="W755">
        <v>858.02113582449329</v>
      </c>
      <c r="X755">
        <v>2207.375</v>
      </c>
      <c r="Y755">
        <v>2253.2065240365691</v>
      </c>
    </row>
    <row r="756" spans="1:25" x14ac:dyDescent="0.35">
      <c r="A756">
        <v>712</v>
      </c>
      <c r="B756">
        <v>906.59999999999945</v>
      </c>
      <c r="C756">
        <v>1003.7249999999995</v>
      </c>
      <c r="D756">
        <v>906.59999999999945</v>
      </c>
      <c r="E756">
        <v>-919.25</v>
      </c>
      <c r="F756">
        <v>-530.75</v>
      </c>
      <c r="G756">
        <v>-2589.8000000000002</v>
      </c>
      <c r="J756">
        <v>712</v>
      </c>
      <c r="K756">
        <v>0</v>
      </c>
      <c r="L756">
        <v>0</v>
      </c>
      <c r="M756">
        <v>0</v>
      </c>
      <c r="N756">
        <v>222</v>
      </c>
      <c r="O756">
        <v>172</v>
      </c>
      <c r="P756">
        <v>348</v>
      </c>
      <c r="S756">
        <v>712</v>
      </c>
      <c r="T756">
        <v>906.59999999999945</v>
      </c>
      <c r="U756">
        <v>984.29999999999927</v>
      </c>
      <c r="V756">
        <v>906.60000000000036</v>
      </c>
      <c r="W756">
        <v>2237.1999999999989</v>
      </c>
      <c r="X756">
        <v>171.77211218096681</v>
      </c>
      <c r="Y756">
        <v>2455.1999999999998</v>
      </c>
    </row>
    <row r="757" spans="1:25" x14ac:dyDescent="0.35">
      <c r="A757">
        <v>713</v>
      </c>
      <c r="B757">
        <v>906.59999999999945</v>
      </c>
      <c r="C757">
        <v>964.87499999999909</v>
      </c>
      <c r="D757">
        <v>906.60000000000036</v>
      </c>
      <c r="E757">
        <v>-686.15000000000055</v>
      </c>
      <c r="F757">
        <v>-414.20000000000073</v>
      </c>
      <c r="G757">
        <v>-2395.5500000000002</v>
      </c>
      <c r="J757">
        <v>713</v>
      </c>
      <c r="K757">
        <v>0</v>
      </c>
      <c r="L757">
        <v>0</v>
      </c>
      <c r="M757">
        <v>0</v>
      </c>
      <c r="N757">
        <v>231</v>
      </c>
      <c r="O757">
        <v>192</v>
      </c>
      <c r="P757">
        <v>307</v>
      </c>
      <c r="S757">
        <v>713</v>
      </c>
      <c r="T757">
        <v>906.59999999999945</v>
      </c>
      <c r="U757">
        <v>945.44999999999891</v>
      </c>
      <c r="V757">
        <v>906.59999999999945</v>
      </c>
      <c r="W757">
        <v>-844.55671391573503</v>
      </c>
      <c r="X757">
        <v>1792.7451326405649</v>
      </c>
      <c r="Y757">
        <v>1228.0015650914174</v>
      </c>
    </row>
    <row r="758" spans="1:25" x14ac:dyDescent="0.35">
      <c r="A758">
        <v>714</v>
      </c>
      <c r="B758">
        <v>906.59999999999945</v>
      </c>
      <c r="C758">
        <v>1042.5749999999998</v>
      </c>
      <c r="D758">
        <v>906.59999999999945</v>
      </c>
      <c r="E758">
        <v>-1009.9000000000005</v>
      </c>
      <c r="F758">
        <v>-265.27499999999964</v>
      </c>
      <c r="G758">
        <v>-2589.8000000000002</v>
      </c>
      <c r="J758">
        <v>714</v>
      </c>
      <c r="K758">
        <v>0</v>
      </c>
      <c r="L758">
        <v>0</v>
      </c>
      <c r="M758">
        <v>0</v>
      </c>
      <c r="N758">
        <v>230</v>
      </c>
      <c r="O758">
        <v>194</v>
      </c>
      <c r="P758">
        <v>323</v>
      </c>
      <c r="S758">
        <v>714</v>
      </c>
      <c r="T758">
        <v>906.59999999999945</v>
      </c>
      <c r="U758">
        <v>971.35000000000036</v>
      </c>
      <c r="V758">
        <v>906.59999999999945</v>
      </c>
      <c r="W758">
        <v>2283.1999999999998</v>
      </c>
      <c r="X758">
        <v>1055.6041461096881</v>
      </c>
      <c r="Y758">
        <v>2467.1999999999998</v>
      </c>
    </row>
    <row r="759" spans="1:25" x14ac:dyDescent="0.35">
      <c r="A759">
        <v>715</v>
      </c>
      <c r="B759">
        <v>906.59999999999945</v>
      </c>
      <c r="C759">
        <v>977.82499999999982</v>
      </c>
      <c r="D759">
        <v>906.59999999999945</v>
      </c>
      <c r="E759">
        <v>-1320.7000000000007</v>
      </c>
      <c r="F759">
        <v>-666.72500000000036</v>
      </c>
      <c r="G759">
        <v>-2486.1999999999998</v>
      </c>
      <c r="J759">
        <v>715</v>
      </c>
      <c r="K759">
        <v>0</v>
      </c>
      <c r="L759">
        <v>0</v>
      </c>
      <c r="M759">
        <v>0</v>
      </c>
      <c r="N759">
        <v>202</v>
      </c>
      <c r="O759">
        <v>184</v>
      </c>
      <c r="P759">
        <v>342</v>
      </c>
      <c r="S759">
        <v>715</v>
      </c>
      <c r="T759">
        <v>906.59999999999945</v>
      </c>
      <c r="U759">
        <v>997.25</v>
      </c>
      <c r="V759">
        <v>906.60000000000036</v>
      </c>
      <c r="W759">
        <v>2241.1999999999994</v>
      </c>
      <c r="X759">
        <v>2203.4749999999995</v>
      </c>
      <c r="Y759">
        <v>2481.1999999999998</v>
      </c>
    </row>
    <row r="760" spans="1:25" x14ac:dyDescent="0.35">
      <c r="A760">
        <v>716</v>
      </c>
      <c r="B760">
        <v>906.59999999999945</v>
      </c>
      <c r="C760">
        <v>964.87499999999909</v>
      </c>
      <c r="D760">
        <v>906.59999999999945</v>
      </c>
      <c r="E760">
        <v>-919.25</v>
      </c>
      <c r="F760">
        <v>-472.47500000000036</v>
      </c>
      <c r="G760">
        <v>-2266.0500000000002</v>
      </c>
      <c r="J760">
        <v>716</v>
      </c>
      <c r="K760">
        <v>0</v>
      </c>
      <c r="L760">
        <v>0</v>
      </c>
      <c r="M760">
        <v>0</v>
      </c>
      <c r="N760">
        <v>202</v>
      </c>
      <c r="O760">
        <v>188</v>
      </c>
      <c r="P760">
        <v>325</v>
      </c>
      <c r="S760">
        <v>716</v>
      </c>
      <c r="T760">
        <v>906.59999999999945</v>
      </c>
      <c r="U760">
        <v>977.82499999999982</v>
      </c>
      <c r="V760">
        <v>906.59999999999945</v>
      </c>
      <c r="W760">
        <v>2285.1999999999998</v>
      </c>
      <c r="X760">
        <v>2207.5749999999998</v>
      </c>
      <c r="Y760">
        <v>-2486.1999999999998</v>
      </c>
    </row>
    <row r="761" spans="1:25" x14ac:dyDescent="0.35">
      <c r="A761">
        <v>717</v>
      </c>
      <c r="B761">
        <v>906.59999999999945</v>
      </c>
      <c r="C761">
        <v>1003.7249999999995</v>
      </c>
      <c r="D761">
        <v>906.59999999999945</v>
      </c>
      <c r="E761">
        <v>-906.30000000000018</v>
      </c>
      <c r="F761">
        <v>-524.27499999999964</v>
      </c>
      <c r="G761">
        <v>-2369.6500000000005</v>
      </c>
      <c r="J761">
        <v>717</v>
      </c>
      <c r="K761">
        <v>0</v>
      </c>
      <c r="L761">
        <v>0</v>
      </c>
      <c r="M761">
        <v>12</v>
      </c>
      <c r="N761">
        <v>218</v>
      </c>
      <c r="O761">
        <v>204</v>
      </c>
      <c r="P761">
        <v>336</v>
      </c>
      <c r="S761">
        <v>717</v>
      </c>
      <c r="T761">
        <v>906.59999999999945</v>
      </c>
      <c r="U761">
        <v>977.82499999999982</v>
      </c>
      <c r="V761">
        <v>906.59999999999945</v>
      </c>
      <c r="W761">
        <v>2317.1999999999989</v>
      </c>
      <c r="X761">
        <v>2016.0147064028297</v>
      </c>
      <c r="Y761">
        <v>-1003.3639743475362</v>
      </c>
    </row>
    <row r="762" spans="1:25" x14ac:dyDescent="0.35">
      <c r="A762">
        <v>718</v>
      </c>
      <c r="B762">
        <v>906.59999999999945</v>
      </c>
      <c r="C762">
        <v>964.87499999999909</v>
      </c>
      <c r="D762">
        <v>906.59999999999945</v>
      </c>
      <c r="E762">
        <v>-1126.4500000000007</v>
      </c>
      <c r="F762">
        <v>-589.02500000000055</v>
      </c>
      <c r="G762">
        <v>-2201.3000000000002</v>
      </c>
      <c r="J762">
        <v>718</v>
      </c>
      <c r="K762">
        <v>0</v>
      </c>
      <c r="L762">
        <v>0</v>
      </c>
      <c r="M762">
        <v>0</v>
      </c>
      <c r="N762">
        <v>217</v>
      </c>
      <c r="O762">
        <v>200</v>
      </c>
      <c r="P762">
        <v>300</v>
      </c>
      <c r="S762">
        <v>718</v>
      </c>
      <c r="T762">
        <v>906.59999999999945</v>
      </c>
      <c r="U762">
        <v>997.24999999999909</v>
      </c>
      <c r="V762">
        <v>906.59999999999945</v>
      </c>
      <c r="W762">
        <v>2019.4545342788629</v>
      </c>
      <c r="X762">
        <v>2186.6249999999995</v>
      </c>
      <c r="Y762">
        <v>930.31914329554456</v>
      </c>
    </row>
    <row r="763" spans="1:25" x14ac:dyDescent="0.35">
      <c r="A763">
        <v>719</v>
      </c>
      <c r="B763">
        <v>906.59999999999945</v>
      </c>
      <c r="C763">
        <v>958.39999999999964</v>
      </c>
      <c r="D763">
        <v>906.59999999999945</v>
      </c>
      <c r="E763">
        <v>-1113.5</v>
      </c>
      <c r="F763">
        <v>-828.60000000000036</v>
      </c>
      <c r="G763">
        <v>-2641.6000000000004</v>
      </c>
      <c r="J763">
        <v>719</v>
      </c>
      <c r="K763">
        <v>0</v>
      </c>
      <c r="L763">
        <v>0</v>
      </c>
      <c r="M763">
        <v>0</v>
      </c>
      <c r="N763">
        <v>233</v>
      </c>
      <c r="O763">
        <v>179</v>
      </c>
      <c r="P763">
        <v>313</v>
      </c>
      <c r="S763">
        <v>719</v>
      </c>
      <c r="T763">
        <v>906.59999999999945</v>
      </c>
      <c r="U763">
        <v>990.77499999999964</v>
      </c>
      <c r="V763">
        <v>906.59999999999945</v>
      </c>
      <c r="W763">
        <v>2289.1999999999994</v>
      </c>
      <c r="X763">
        <v>2216.8999999999992</v>
      </c>
      <c r="Y763">
        <v>2403.1999999999998</v>
      </c>
    </row>
    <row r="764" spans="1:25" x14ac:dyDescent="0.35">
      <c r="A764">
        <v>720</v>
      </c>
      <c r="B764">
        <v>906.59999999999945</v>
      </c>
      <c r="C764">
        <v>984.29999999999927</v>
      </c>
      <c r="D764">
        <v>906.59999999999945</v>
      </c>
      <c r="E764">
        <v>-647.30000000000018</v>
      </c>
      <c r="F764">
        <v>-686.15000000000055</v>
      </c>
      <c r="G764">
        <v>-2382.6000000000004</v>
      </c>
      <c r="J764">
        <v>720</v>
      </c>
      <c r="K764">
        <v>0</v>
      </c>
      <c r="L764">
        <v>0</v>
      </c>
      <c r="M764">
        <v>0</v>
      </c>
      <c r="N764">
        <v>218</v>
      </c>
      <c r="O764">
        <v>183</v>
      </c>
      <c r="P764">
        <v>315</v>
      </c>
      <c r="S764">
        <v>720</v>
      </c>
      <c r="T764">
        <v>906.59999999999945</v>
      </c>
      <c r="U764">
        <v>958.39999999999873</v>
      </c>
      <c r="V764">
        <v>906.59999999999945</v>
      </c>
      <c r="W764">
        <v>2321.1999999999994</v>
      </c>
      <c r="X764">
        <v>-467.40377845051989</v>
      </c>
      <c r="Y764">
        <v>1103.3423073090034</v>
      </c>
    </row>
    <row r="765" spans="1:25" x14ac:dyDescent="0.35">
      <c r="A765">
        <v>721</v>
      </c>
      <c r="B765">
        <v>906.59999999999945</v>
      </c>
      <c r="C765">
        <v>984.29999999999927</v>
      </c>
      <c r="D765">
        <v>906.59999999999945</v>
      </c>
      <c r="E765">
        <v>-1074.6500000000005</v>
      </c>
      <c r="F765">
        <v>-498.375</v>
      </c>
      <c r="G765">
        <v>-2317.8500000000004</v>
      </c>
      <c r="J765">
        <v>721</v>
      </c>
      <c r="K765">
        <v>0</v>
      </c>
      <c r="L765">
        <v>0</v>
      </c>
      <c r="M765">
        <v>0</v>
      </c>
      <c r="N765">
        <v>223</v>
      </c>
      <c r="O765">
        <v>177</v>
      </c>
      <c r="P765">
        <v>324</v>
      </c>
      <c r="S765">
        <v>721</v>
      </c>
      <c r="T765">
        <v>906.59999999999945</v>
      </c>
      <c r="U765">
        <v>1023.1499999999996</v>
      </c>
      <c r="V765">
        <v>906.59999999999945</v>
      </c>
      <c r="W765">
        <v>2265.1999999999998</v>
      </c>
      <c r="X765">
        <v>2279.9499999999998</v>
      </c>
      <c r="Y765">
        <v>-488.42332878342791</v>
      </c>
    </row>
    <row r="766" spans="1:25" x14ac:dyDescent="0.35">
      <c r="A766">
        <v>722</v>
      </c>
      <c r="B766">
        <v>906.59999999999945</v>
      </c>
      <c r="C766">
        <v>951.92499999999927</v>
      </c>
      <c r="D766">
        <v>906.59999999999945</v>
      </c>
      <c r="E766">
        <v>-958.10000000000036</v>
      </c>
      <c r="F766">
        <v>-634.35000000000036</v>
      </c>
      <c r="G766">
        <v>-2369.6500000000005</v>
      </c>
      <c r="J766">
        <v>722</v>
      </c>
      <c r="K766">
        <v>0</v>
      </c>
      <c r="L766">
        <v>0</v>
      </c>
      <c r="M766">
        <v>0</v>
      </c>
      <c r="N766">
        <v>234</v>
      </c>
      <c r="O766">
        <v>189</v>
      </c>
      <c r="P766">
        <v>332</v>
      </c>
      <c r="S766">
        <v>722</v>
      </c>
      <c r="T766">
        <v>906.59999999999945</v>
      </c>
      <c r="U766">
        <v>964.875</v>
      </c>
      <c r="V766">
        <v>906.59999999999945</v>
      </c>
      <c r="W766">
        <v>-836.5160080779267</v>
      </c>
      <c r="X766">
        <v>2233.4749999999995</v>
      </c>
      <c r="Y766">
        <v>2419.1999999999989</v>
      </c>
    </row>
    <row r="767" spans="1:25" x14ac:dyDescent="0.35">
      <c r="A767">
        <v>723</v>
      </c>
      <c r="B767">
        <v>906.59999999999945</v>
      </c>
      <c r="C767">
        <v>990.77499999999964</v>
      </c>
      <c r="D767">
        <v>906.59999999999945</v>
      </c>
      <c r="E767">
        <v>-737.95000000000073</v>
      </c>
      <c r="F767">
        <v>-491.90000000000055</v>
      </c>
      <c r="G767">
        <v>-2175.4000000000005</v>
      </c>
      <c r="J767">
        <v>723</v>
      </c>
      <c r="K767">
        <v>0</v>
      </c>
      <c r="L767">
        <v>0</v>
      </c>
      <c r="M767">
        <v>0</v>
      </c>
      <c r="N767">
        <v>225</v>
      </c>
      <c r="O767">
        <v>174</v>
      </c>
      <c r="P767">
        <v>316</v>
      </c>
      <c r="S767">
        <v>723</v>
      </c>
      <c r="T767">
        <v>906.59999999999945</v>
      </c>
      <c r="U767">
        <v>1003.7249999999995</v>
      </c>
      <c r="V767">
        <v>906.60000000000036</v>
      </c>
      <c r="W767">
        <v>2263.1999999999998</v>
      </c>
      <c r="X767">
        <v>2229.9499999999998</v>
      </c>
      <c r="Y767">
        <v>2473.1999999999998</v>
      </c>
    </row>
    <row r="768" spans="1:25" x14ac:dyDescent="0.35">
      <c r="A768">
        <v>724</v>
      </c>
      <c r="B768">
        <v>906.59999999999945</v>
      </c>
      <c r="C768">
        <v>951.92499999999927</v>
      </c>
      <c r="D768">
        <v>906.59999999999945</v>
      </c>
      <c r="E768">
        <v>-828.60000000000036</v>
      </c>
      <c r="F768">
        <v>-414.20000000000073</v>
      </c>
      <c r="G768">
        <v>-2434.4000000000005</v>
      </c>
      <c r="J768">
        <v>724</v>
      </c>
      <c r="K768">
        <v>0</v>
      </c>
      <c r="L768">
        <v>0</v>
      </c>
      <c r="M768">
        <v>0</v>
      </c>
      <c r="N768">
        <v>224</v>
      </c>
      <c r="O768">
        <v>180</v>
      </c>
      <c r="P768">
        <v>338</v>
      </c>
      <c r="S768">
        <v>724</v>
      </c>
      <c r="T768">
        <v>906.59999999999945</v>
      </c>
      <c r="U768">
        <v>984.29999999999927</v>
      </c>
      <c r="V768">
        <v>906.59999999999945</v>
      </c>
      <c r="W768">
        <v>2255.1999999999998</v>
      </c>
      <c r="X768">
        <v>2278.4249999999993</v>
      </c>
      <c r="Y768">
        <v>2431.1999999999998</v>
      </c>
    </row>
    <row r="769" spans="1:25" x14ac:dyDescent="0.35">
      <c r="A769">
        <v>725</v>
      </c>
      <c r="B769">
        <v>906.59999999999945</v>
      </c>
      <c r="C769">
        <v>977.82499999999891</v>
      </c>
      <c r="D769">
        <v>906.60000000000036</v>
      </c>
      <c r="E769">
        <v>-1139.4000000000005</v>
      </c>
      <c r="F769">
        <v>-634.35000000000036</v>
      </c>
      <c r="G769">
        <v>-2317.8500000000004</v>
      </c>
      <c r="J769">
        <v>725</v>
      </c>
      <c r="K769">
        <v>0</v>
      </c>
      <c r="L769">
        <v>0</v>
      </c>
      <c r="M769">
        <v>0</v>
      </c>
      <c r="N769">
        <v>199</v>
      </c>
      <c r="O769">
        <v>185</v>
      </c>
      <c r="P769">
        <v>293</v>
      </c>
      <c r="S769">
        <v>725</v>
      </c>
      <c r="T769">
        <v>906.59999999999945</v>
      </c>
      <c r="U769">
        <v>958.39999999999873</v>
      </c>
      <c r="V769">
        <v>906.59999999999945</v>
      </c>
      <c r="W769">
        <v>2313.1999999999998</v>
      </c>
      <c r="X769">
        <v>2279.3749999999991</v>
      </c>
      <c r="Y769">
        <v>-2382.6000000000004</v>
      </c>
    </row>
    <row r="770" spans="1:25" x14ac:dyDescent="0.35">
      <c r="A770">
        <v>726</v>
      </c>
      <c r="B770">
        <v>906.59999999999945</v>
      </c>
      <c r="C770">
        <v>977.82499999999982</v>
      </c>
      <c r="D770">
        <v>906.59999999999945</v>
      </c>
      <c r="E770">
        <v>-1022.8500000000004</v>
      </c>
      <c r="F770">
        <v>-213.47500000000036</v>
      </c>
      <c r="G770">
        <v>-2304.9000000000005</v>
      </c>
      <c r="J770">
        <v>726</v>
      </c>
      <c r="K770">
        <v>0</v>
      </c>
      <c r="L770">
        <v>0</v>
      </c>
      <c r="M770">
        <v>0</v>
      </c>
      <c r="N770">
        <v>242</v>
      </c>
      <c r="O770">
        <v>197</v>
      </c>
      <c r="P770">
        <v>337</v>
      </c>
      <c r="S770">
        <v>726</v>
      </c>
      <c r="T770">
        <v>906.59999999999945</v>
      </c>
      <c r="U770">
        <v>958.39999999999964</v>
      </c>
      <c r="V770">
        <v>906.59999999999945</v>
      </c>
      <c r="W770">
        <v>2269.1999999999994</v>
      </c>
      <c r="X770">
        <v>2247.5587296892518</v>
      </c>
      <c r="Y770">
        <v>2153.3850880739983</v>
      </c>
    </row>
    <row r="771" spans="1:25" x14ac:dyDescent="0.35">
      <c r="A771">
        <v>727</v>
      </c>
      <c r="B771">
        <v>906.59999999999945</v>
      </c>
      <c r="C771">
        <v>964.87499999999909</v>
      </c>
      <c r="D771">
        <v>906.59999999999945</v>
      </c>
      <c r="E771">
        <v>-1320.7000000000007</v>
      </c>
      <c r="F771">
        <v>-621.40000000000055</v>
      </c>
      <c r="G771">
        <v>-2058.8500000000004</v>
      </c>
      <c r="J771">
        <v>727</v>
      </c>
      <c r="K771">
        <v>0</v>
      </c>
      <c r="L771">
        <v>0</v>
      </c>
      <c r="M771">
        <v>0</v>
      </c>
      <c r="N771">
        <v>244</v>
      </c>
      <c r="O771">
        <v>191</v>
      </c>
      <c r="P771">
        <v>320</v>
      </c>
      <c r="S771">
        <v>727</v>
      </c>
      <c r="T771">
        <v>906.59999999999945</v>
      </c>
      <c r="U771">
        <v>977.82499999999982</v>
      </c>
      <c r="V771">
        <v>906.60000000000036</v>
      </c>
      <c r="W771">
        <v>2255.1999999999998</v>
      </c>
      <c r="X771">
        <v>2240.0499999999997</v>
      </c>
      <c r="Y771">
        <v>2415.1999999999998</v>
      </c>
    </row>
    <row r="772" spans="1:25" x14ac:dyDescent="0.35">
      <c r="A772">
        <v>728</v>
      </c>
      <c r="B772">
        <v>906.59999999999945</v>
      </c>
      <c r="C772">
        <v>951.92499999999927</v>
      </c>
      <c r="D772">
        <v>906.59999999999945</v>
      </c>
      <c r="E772">
        <v>-1152.3500000000004</v>
      </c>
      <c r="F772">
        <v>-323.55000000000109</v>
      </c>
      <c r="G772">
        <v>-2330.8000000000002</v>
      </c>
      <c r="J772">
        <v>728</v>
      </c>
      <c r="K772">
        <v>0</v>
      </c>
      <c r="L772">
        <v>0</v>
      </c>
      <c r="M772">
        <v>0</v>
      </c>
      <c r="N772">
        <v>235</v>
      </c>
      <c r="O772">
        <v>183</v>
      </c>
      <c r="P772">
        <v>309</v>
      </c>
      <c r="S772">
        <v>728</v>
      </c>
      <c r="T772">
        <v>906.59999999999945</v>
      </c>
      <c r="U772">
        <v>958.39999999999964</v>
      </c>
      <c r="V772">
        <v>906.59999999999945</v>
      </c>
      <c r="W772">
        <v>2277.1999999999989</v>
      </c>
      <c r="X772">
        <v>2204.5249999999992</v>
      </c>
      <c r="Y772">
        <v>2262.4097979734752</v>
      </c>
    </row>
    <row r="773" spans="1:25" x14ac:dyDescent="0.35">
      <c r="A773">
        <v>729</v>
      </c>
      <c r="B773">
        <v>906.59999999999945</v>
      </c>
      <c r="C773">
        <v>938.97499999999945</v>
      </c>
      <c r="D773">
        <v>906.60000000000036</v>
      </c>
      <c r="E773">
        <v>-1230.0500000000002</v>
      </c>
      <c r="F773">
        <v>-491.90000000000055</v>
      </c>
      <c r="G773">
        <v>-2486.1999999999998</v>
      </c>
      <c r="J773">
        <v>729</v>
      </c>
      <c r="K773">
        <v>0</v>
      </c>
      <c r="L773">
        <v>0</v>
      </c>
      <c r="M773">
        <v>0</v>
      </c>
      <c r="N773">
        <v>232</v>
      </c>
      <c r="O773">
        <v>178</v>
      </c>
      <c r="P773">
        <v>313</v>
      </c>
      <c r="S773">
        <v>729</v>
      </c>
      <c r="T773">
        <v>906.59999999999945</v>
      </c>
      <c r="U773">
        <v>971.35000000000036</v>
      </c>
      <c r="V773">
        <v>906.59999999999945</v>
      </c>
      <c r="W773">
        <v>2281.1999999999994</v>
      </c>
      <c r="X773">
        <v>1060.5674748164454</v>
      </c>
      <c r="Y773">
        <v>544.45524440293548</v>
      </c>
    </row>
    <row r="774" spans="1:25" x14ac:dyDescent="0.35">
      <c r="A774">
        <v>730</v>
      </c>
      <c r="B774">
        <v>906.59999999999945</v>
      </c>
      <c r="C774">
        <v>984.29999999999927</v>
      </c>
      <c r="D774">
        <v>906.59999999999945</v>
      </c>
      <c r="E774">
        <v>-984</v>
      </c>
      <c r="F774">
        <v>-394.77499999999964</v>
      </c>
      <c r="G774">
        <v>-2330.8000000000002</v>
      </c>
      <c r="J774">
        <v>730</v>
      </c>
      <c r="K774">
        <v>0</v>
      </c>
      <c r="L774">
        <v>0</v>
      </c>
      <c r="M774">
        <v>0</v>
      </c>
      <c r="N774">
        <v>227</v>
      </c>
      <c r="O774">
        <v>159</v>
      </c>
      <c r="P774">
        <v>327</v>
      </c>
      <c r="S774">
        <v>730</v>
      </c>
      <c r="T774">
        <v>906.59999999999945</v>
      </c>
      <c r="U774">
        <v>971.34999999999945</v>
      </c>
      <c r="V774">
        <v>906.59999999999945</v>
      </c>
      <c r="W774">
        <v>-892.98168511869881</v>
      </c>
      <c r="X774">
        <v>2234.4249999999993</v>
      </c>
      <c r="Y774">
        <v>1743.1898953076388</v>
      </c>
    </row>
    <row r="775" spans="1:25" x14ac:dyDescent="0.35">
      <c r="A775">
        <v>731</v>
      </c>
      <c r="B775">
        <v>906.59999999999945</v>
      </c>
      <c r="C775">
        <v>958.39999999999964</v>
      </c>
      <c r="D775">
        <v>906.59999999999945</v>
      </c>
      <c r="E775">
        <v>-854.5</v>
      </c>
      <c r="F775">
        <v>-537.22500000000036</v>
      </c>
      <c r="G775">
        <v>-2434.4000000000005</v>
      </c>
      <c r="J775">
        <v>731</v>
      </c>
      <c r="K775">
        <v>0</v>
      </c>
      <c r="L775">
        <v>0</v>
      </c>
      <c r="M775">
        <v>0</v>
      </c>
      <c r="N775">
        <v>221</v>
      </c>
      <c r="O775">
        <v>178</v>
      </c>
      <c r="P775">
        <v>322</v>
      </c>
      <c r="S775">
        <v>731</v>
      </c>
      <c r="T775">
        <v>906.59999999999945</v>
      </c>
      <c r="U775">
        <v>964.875</v>
      </c>
      <c r="V775">
        <v>906.60000000000036</v>
      </c>
      <c r="W775">
        <v>-815.65000000000055</v>
      </c>
      <c r="X775">
        <v>2280.690154654259</v>
      </c>
      <c r="Y775">
        <v>-935.76155289076041</v>
      </c>
    </row>
    <row r="776" spans="1:25" x14ac:dyDescent="0.35">
      <c r="A776">
        <v>732</v>
      </c>
      <c r="B776">
        <v>906.59999999999945</v>
      </c>
      <c r="C776">
        <v>951.92499999999927</v>
      </c>
      <c r="D776">
        <v>906.60000000000036</v>
      </c>
      <c r="E776">
        <v>-1009.9000000000005</v>
      </c>
      <c r="F776">
        <v>-407.72500000000036</v>
      </c>
      <c r="G776">
        <v>-2317.8500000000004</v>
      </c>
      <c r="J776">
        <v>732</v>
      </c>
      <c r="K776">
        <v>0</v>
      </c>
      <c r="L776">
        <v>0</v>
      </c>
      <c r="M776">
        <v>0</v>
      </c>
      <c r="N776">
        <v>235</v>
      </c>
      <c r="O776">
        <v>197</v>
      </c>
      <c r="P776">
        <v>309</v>
      </c>
      <c r="S776">
        <v>732</v>
      </c>
      <c r="T776">
        <v>906.59999999999945</v>
      </c>
      <c r="U776">
        <v>964.875</v>
      </c>
      <c r="V776">
        <v>945.54999999999984</v>
      </c>
      <c r="W776">
        <v>956.61278833355527</v>
      </c>
      <c r="X776">
        <v>2301.2749999999992</v>
      </c>
      <c r="Y776">
        <v>2505.1999999999998</v>
      </c>
    </row>
    <row r="777" spans="1:25" x14ac:dyDescent="0.35">
      <c r="A777">
        <v>733</v>
      </c>
      <c r="B777">
        <v>906.59999999999945</v>
      </c>
      <c r="C777">
        <v>971.35000000000036</v>
      </c>
      <c r="D777">
        <v>906.59999999999945</v>
      </c>
      <c r="E777">
        <v>-1463.1500000000005</v>
      </c>
      <c r="F777">
        <v>-589.02499999999964</v>
      </c>
      <c r="G777">
        <v>-2279</v>
      </c>
      <c r="J777">
        <v>733</v>
      </c>
      <c r="K777">
        <v>0</v>
      </c>
      <c r="L777">
        <v>0</v>
      </c>
      <c r="M777">
        <v>0</v>
      </c>
      <c r="N777">
        <v>226</v>
      </c>
      <c r="O777">
        <v>202</v>
      </c>
      <c r="P777">
        <v>306</v>
      </c>
      <c r="S777">
        <v>733</v>
      </c>
      <c r="T777">
        <v>906.59999999999945</v>
      </c>
      <c r="U777">
        <v>990.77499999999964</v>
      </c>
      <c r="V777">
        <v>906.59999999999945</v>
      </c>
      <c r="W777">
        <v>2261.1999999999994</v>
      </c>
      <c r="X777">
        <v>486.03771873576579</v>
      </c>
      <c r="Y777">
        <v>551.13881820703773</v>
      </c>
    </row>
    <row r="778" spans="1:25" x14ac:dyDescent="0.35">
      <c r="A778">
        <v>734</v>
      </c>
      <c r="B778">
        <v>906.59999999999945</v>
      </c>
      <c r="C778">
        <v>958.39999999999964</v>
      </c>
      <c r="D778">
        <v>906.59999999999945</v>
      </c>
      <c r="E778">
        <v>-1230.0500000000002</v>
      </c>
      <c r="F778">
        <v>-414.20000000000073</v>
      </c>
      <c r="G778">
        <v>-2486.1999999999998</v>
      </c>
      <c r="J778">
        <v>734</v>
      </c>
      <c r="K778">
        <v>0</v>
      </c>
      <c r="L778">
        <v>0</v>
      </c>
      <c r="M778">
        <v>0</v>
      </c>
      <c r="N778">
        <v>238</v>
      </c>
      <c r="O778">
        <v>187</v>
      </c>
      <c r="P778">
        <v>332</v>
      </c>
      <c r="S778">
        <v>734</v>
      </c>
      <c r="T778">
        <v>906.59999999999945</v>
      </c>
      <c r="U778">
        <v>977.82499999999982</v>
      </c>
      <c r="V778">
        <v>906.59999999999945</v>
      </c>
      <c r="W778">
        <v>2255.1999999999998</v>
      </c>
      <c r="X778">
        <v>2349.1749999999993</v>
      </c>
      <c r="Y778">
        <v>2447.1999999999998</v>
      </c>
    </row>
    <row r="779" spans="1:25" x14ac:dyDescent="0.35">
      <c r="A779">
        <v>735</v>
      </c>
      <c r="B779">
        <v>906.59999999999945</v>
      </c>
      <c r="C779">
        <v>958.39999999999964</v>
      </c>
      <c r="D779">
        <v>906.60000000000036</v>
      </c>
      <c r="E779">
        <v>-958.10000000000036</v>
      </c>
      <c r="F779">
        <v>-705.57500000000073</v>
      </c>
      <c r="G779">
        <v>-2058.8500000000004</v>
      </c>
      <c r="J779">
        <v>735</v>
      </c>
      <c r="K779">
        <v>0</v>
      </c>
      <c r="L779">
        <v>0</v>
      </c>
      <c r="M779">
        <v>0</v>
      </c>
      <c r="N779">
        <v>217</v>
      </c>
      <c r="O779">
        <v>201</v>
      </c>
      <c r="P779">
        <v>313</v>
      </c>
      <c r="S779">
        <v>735</v>
      </c>
      <c r="T779">
        <v>906.59999999999945</v>
      </c>
      <c r="U779">
        <v>990.77499999999964</v>
      </c>
      <c r="V779">
        <v>906.59999999999945</v>
      </c>
      <c r="W779">
        <v>-1126.4500000000007</v>
      </c>
      <c r="X779">
        <v>2235.8499999999995</v>
      </c>
      <c r="Y779">
        <v>-2382.6000000000004</v>
      </c>
    </row>
    <row r="780" spans="1:25" x14ac:dyDescent="0.35">
      <c r="A780">
        <v>736</v>
      </c>
      <c r="B780">
        <v>906.59999999999945</v>
      </c>
      <c r="C780">
        <v>984.29999999999927</v>
      </c>
      <c r="D780">
        <v>906.59999999999945</v>
      </c>
      <c r="E780">
        <v>-1398.4000000000005</v>
      </c>
      <c r="F780">
        <v>-530.75</v>
      </c>
      <c r="G780">
        <v>-2369.6500000000005</v>
      </c>
      <c r="J780">
        <v>736</v>
      </c>
      <c r="K780">
        <v>0</v>
      </c>
      <c r="L780">
        <v>0</v>
      </c>
      <c r="M780">
        <v>0</v>
      </c>
      <c r="N780">
        <v>235</v>
      </c>
      <c r="O780">
        <v>162</v>
      </c>
      <c r="P780">
        <v>334</v>
      </c>
      <c r="S780">
        <v>736</v>
      </c>
      <c r="T780">
        <v>906.59999999999945</v>
      </c>
      <c r="U780">
        <v>971.34999999999945</v>
      </c>
      <c r="V780">
        <v>906.60000000000036</v>
      </c>
      <c r="W780">
        <v>2237.1999999999989</v>
      </c>
      <c r="X780">
        <v>2296.6999999999994</v>
      </c>
      <c r="Y780">
        <v>1068.9916570540563</v>
      </c>
    </row>
    <row r="781" spans="1:25" x14ac:dyDescent="0.35">
      <c r="A781">
        <v>737</v>
      </c>
      <c r="B781">
        <v>906.59999999999945</v>
      </c>
      <c r="C781">
        <v>990.77499999999964</v>
      </c>
      <c r="D781">
        <v>906.59999999999945</v>
      </c>
      <c r="E781">
        <v>-1113.5</v>
      </c>
      <c r="F781">
        <v>-653.77500000000055</v>
      </c>
      <c r="G781">
        <v>-2175.4000000000005</v>
      </c>
      <c r="J781">
        <v>737</v>
      </c>
      <c r="K781">
        <v>0</v>
      </c>
      <c r="L781">
        <v>0</v>
      </c>
      <c r="M781">
        <v>0</v>
      </c>
      <c r="N781">
        <v>218</v>
      </c>
      <c r="O781">
        <v>199</v>
      </c>
      <c r="P781">
        <v>321</v>
      </c>
      <c r="S781">
        <v>737</v>
      </c>
      <c r="T781">
        <v>906.59999999999945</v>
      </c>
      <c r="U781">
        <v>971.34999999999945</v>
      </c>
      <c r="V781">
        <v>906.59999999999945</v>
      </c>
      <c r="W781">
        <v>2253.1999999999998</v>
      </c>
      <c r="X781">
        <v>-485.42500000000018</v>
      </c>
      <c r="Y781">
        <v>-724.73460029739704</v>
      </c>
    </row>
    <row r="782" spans="1:25" x14ac:dyDescent="0.35">
      <c r="A782">
        <v>738</v>
      </c>
      <c r="B782">
        <v>906.59999999999945</v>
      </c>
      <c r="C782">
        <v>971.34999999999854</v>
      </c>
      <c r="D782">
        <v>906.59999999999945</v>
      </c>
      <c r="E782">
        <v>-945.15000000000055</v>
      </c>
      <c r="F782">
        <v>-342.97500000000036</v>
      </c>
      <c r="G782">
        <v>-2447.3500000000004</v>
      </c>
      <c r="J782">
        <v>738</v>
      </c>
      <c r="K782">
        <v>0</v>
      </c>
      <c r="L782">
        <v>0</v>
      </c>
      <c r="M782">
        <v>0</v>
      </c>
      <c r="N782">
        <v>229</v>
      </c>
      <c r="O782">
        <v>200</v>
      </c>
      <c r="P782">
        <v>322</v>
      </c>
      <c r="S782">
        <v>738</v>
      </c>
      <c r="T782">
        <v>906.59999999999945</v>
      </c>
      <c r="U782">
        <v>938.97500000000036</v>
      </c>
      <c r="V782">
        <v>906.59999999999945</v>
      </c>
      <c r="W782">
        <v>2273.1999999999998</v>
      </c>
      <c r="X782">
        <v>2194.4249999999993</v>
      </c>
      <c r="Y782">
        <v>-20.580839514369927</v>
      </c>
    </row>
    <row r="783" spans="1:25" x14ac:dyDescent="0.35">
      <c r="A783">
        <v>739</v>
      </c>
      <c r="B783">
        <v>906.59999999999945</v>
      </c>
      <c r="C783">
        <v>945.44999999999982</v>
      </c>
      <c r="D783">
        <v>906.60000000000036</v>
      </c>
      <c r="E783">
        <v>-1126.4500000000007</v>
      </c>
      <c r="F783">
        <v>-679.67500000000109</v>
      </c>
      <c r="G783">
        <v>-2240.1500000000005</v>
      </c>
      <c r="J783">
        <v>739</v>
      </c>
      <c r="K783">
        <v>0</v>
      </c>
      <c r="L783">
        <v>0</v>
      </c>
      <c r="M783">
        <v>0</v>
      </c>
      <c r="N783">
        <v>240</v>
      </c>
      <c r="O783">
        <v>180</v>
      </c>
      <c r="P783">
        <v>319</v>
      </c>
      <c r="S783">
        <v>739</v>
      </c>
      <c r="T783">
        <v>906.59999999999945</v>
      </c>
      <c r="U783">
        <v>977.82499999999891</v>
      </c>
      <c r="V783">
        <v>928.59999999999968</v>
      </c>
      <c r="W783">
        <v>-1047.6231020948535</v>
      </c>
      <c r="X783">
        <v>2273.9499999999994</v>
      </c>
      <c r="Y783">
        <v>2239.6639237547379</v>
      </c>
    </row>
    <row r="784" spans="1:25" x14ac:dyDescent="0.35">
      <c r="A784">
        <v>740</v>
      </c>
      <c r="B784">
        <v>906.59999999999945</v>
      </c>
      <c r="C784">
        <v>958.39999999999873</v>
      </c>
      <c r="D784">
        <v>906.60000000000036</v>
      </c>
      <c r="E784">
        <v>-1230.0500000000002</v>
      </c>
      <c r="F784">
        <v>-336.5</v>
      </c>
      <c r="G784">
        <v>-2201.3000000000002</v>
      </c>
      <c r="J784">
        <v>740</v>
      </c>
      <c r="K784">
        <v>0</v>
      </c>
      <c r="L784">
        <v>0</v>
      </c>
      <c r="M784">
        <v>0</v>
      </c>
      <c r="N784">
        <v>230</v>
      </c>
      <c r="O784">
        <v>199</v>
      </c>
      <c r="P784">
        <v>342</v>
      </c>
      <c r="S784">
        <v>740</v>
      </c>
      <c r="T784">
        <v>906.59999999999945</v>
      </c>
      <c r="U784">
        <v>938.97499999999854</v>
      </c>
      <c r="V784">
        <v>906.59999999999945</v>
      </c>
      <c r="W784">
        <v>2299.1999999999994</v>
      </c>
      <c r="X784">
        <v>2284.4249999999993</v>
      </c>
      <c r="Y784">
        <v>663.52850160277967</v>
      </c>
    </row>
    <row r="785" spans="1:25" x14ac:dyDescent="0.35">
      <c r="A785">
        <v>741</v>
      </c>
      <c r="B785">
        <v>906.59999999999945</v>
      </c>
      <c r="C785">
        <v>1010.1999999999998</v>
      </c>
      <c r="D785">
        <v>906.59999999999945</v>
      </c>
      <c r="E785">
        <v>-1307.75</v>
      </c>
      <c r="F785">
        <v>-822.125</v>
      </c>
      <c r="G785">
        <v>-2356.6999999999998</v>
      </c>
      <c r="J785">
        <v>741</v>
      </c>
      <c r="K785">
        <v>0</v>
      </c>
      <c r="L785">
        <v>0</v>
      </c>
      <c r="M785">
        <v>0</v>
      </c>
      <c r="N785">
        <v>221</v>
      </c>
      <c r="O785">
        <v>197</v>
      </c>
      <c r="P785">
        <v>326</v>
      </c>
      <c r="S785">
        <v>741</v>
      </c>
      <c r="T785">
        <v>906.59999999999945</v>
      </c>
      <c r="U785">
        <v>1003.7249999999995</v>
      </c>
      <c r="V785">
        <v>906.59999999999945</v>
      </c>
      <c r="W785">
        <v>2239.1999999999994</v>
      </c>
      <c r="X785">
        <v>2136.1499999999996</v>
      </c>
      <c r="Y785">
        <v>-609.79194012526796</v>
      </c>
    </row>
    <row r="786" spans="1:25" x14ac:dyDescent="0.35">
      <c r="A786">
        <v>742</v>
      </c>
      <c r="B786">
        <v>906.59999999999945</v>
      </c>
      <c r="C786">
        <v>1016.6749999999993</v>
      </c>
      <c r="D786">
        <v>906.59999999999945</v>
      </c>
      <c r="E786">
        <v>-893.35000000000036</v>
      </c>
      <c r="F786">
        <v>-407.72500000000036</v>
      </c>
      <c r="G786">
        <v>-2395.5500000000002</v>
      </c>
      <c r="J786">
        <v>742</v>
      </c>
      <c r="K786">
        <v>0</v>
      </c>
      <c r="L786">
        <v>0</v>
      </c>
      <c r="M786">
        <v>0</v>
      </c>
      <c r="N786">
        <v>225</v>
      </c>
      <c r="O786">
        <v>172</v>
      </c>
      <c r="P786">
        <v>328</v>
      </c>
      <c r="S786">
        <v>742</v>
      </c>
      <c r="T786">
        <v>906.59999999999945</v>
      </c>
      <c r="U786">
        <v>977.82499999999982</v>
      </c>
      <c r="V786">
        <v>906.59999999999945</v>
      </c>
      <c r="W786">
        <v>1324.053319093865</v>
      </c>
      <c r="X786">
        <v>2220.0499999999997</v>
      </c>
      <c r="Y786">
        <v>2403.97243952591</v>
      </c>
    </row>
    <row r="787" spans="1:25" x14ac:dyDescent="0.35">
      <c r="A787">
        <v>743</v>
      </c>
      <c r="B787">
        <v>906.59999999999945</v>
      </c>
      <c r="C787">
        <v>1003.7249999999995</v>
      </c>
      <c r="D787">
        <v>906.59999999999945</v>
      </c>
      <c r="E787">
        <v>-984</v>
      </c>
      <c r="F787">
        <v>-712.05000000000018</v>
      </c>
      <c r="G787">
        <v>-2589.8000000000002</v>
      </c>
      <c r="J787">
        <v>743</v>
      </c>
      <c r="K787">
        <v>0</v>
      </c>
      <c r="L787">
        <v>0</v>
      </c>
      <c r="M787">
        <v>0</v>
      </c>
      <c r="N787">
        <v>243</v>
      </c>
      <c r="O787">
        <v>187</v>
      </c>
      <c r="P787">
        <v>330</v>
      </c>
      <c r="S787">
        <v>743</v>
      </c>
      <c r="T787">
        <v>906.59999999999945</v>
      </c>
      <c r="U787">
        <v>938.97499999999854</v>
      </c>
      <c r="V787">
        <v>906.60000000000036</v>
      </c>
      <c r="W787">
        <v>911.03068742654909</v>
      </c>
      <c r="X787">
        <v>2273.3749999999995</v>
      </c>
      <c r="Y787">
        <v>2447.1999999999998</v>
      </c>
    </row>
    <row r="788" spans="1:25" x14ac:dyDescent="0.35">
      <c r="A788">
        <v>744</v>
      </c>
      <c r="B788">
        <v>906.59999999999945</v>
      </c>
      <c r="C788">
        <v>984.29999999999927</v>
      </c>
      <c r="D788">
        <v>906.60000000000036</v>
      </c>
      <c r="E788">
        <v>-1230.0500000000002</v>
      </c>
      <c r="F788">
        <v>-265.27500000000055</v>
      </c>
      <c r="G788">
        <v>-2214.25</v>
      </c>
      <c r="J788">
        <v>744</v>
      </c>
      <c r="K788">
        <v>0</v>
      </c>
      <c r="L788">
        <v>0</v>
      </c>
      <c r="M788">
        <v>0</v>
      </c>
      <c r="N788">
        <v>216</v>
      </c>
      <c r="O788">
        <v>187</v>
      </c>
      <c r="P788">
        <v>321</v>
      </c>
      <c r="S788">
        <v>744</v>
      </c>
      <c r="T788">
        <v>906.59999999999945</v>
      </c>
      <c r="U788">
        <v>971.34999999999854</v>
      </c>
      <c r="V788">
        <v>906.59999999999945</v>
      </c>
      <c r="W788">
        <v>2273.1999999999998</v>
      </c>
      <c r="X788">
        <v>2223.9499999999994</v>
      </c>
      <c r="Y788">
        <v>592.80413399769259</v>
      </c>
    </row>
    <row r="789" spans="1:25" x14ac:dyDescent="0.35">
      <c r="A789">
        <v>745</v>
      </c>
      <c r="B789">
        <v>906.59999999999945</v>
      </c>
      <c r="C789">
        <v>971.35000000000036</v>
      </c>
      <c r="D789">
        <v>906.60000000000036</v>
      </c>
      <c r="E789">
        <v>-1217.1000000000004</v>
      </c>
      <c r="F789">
        <v>-304.125</v>
      </c>
      <c r="G789">
        <v>-2304.9000000000005</v>
      </c>
      <c r="J789">
        <v>745</v>
      </c>
      <c r="K789">
        <v>0</v>
      </c>
      <c r="L789">
        <v>0</v>
      </c>
      <c r="M789">
        <v>0</v>
      </c>
      <c r="N789">
        <v>215</v>
      </c>
      <c r="O789">
        <v>174</v>
      </c>
      <c r="P789">
        <v>317</v>
      </c>
      <c r="S789">
        <v>745</v>
      </c>
      <c r="T789">
        <v>906.59999999999945</v>
      </c>
      <c r="U789">
        <v>964.875</v>
      </c>
      <c r="V789">
        <v>906.59999999999945</v>
      </c>
      <c r="W789">
        <v>1674.8803032005226</v>
      </c>
      <c r="X789">
        <v>2220.9999999999995</v>
      </c>
      <c r="Y789">
        <v>-2149.5</v>
      </c>
    </row>
    <row r="790" spans="1:25" x14ac:dyDescent="0.35">
      <c r="A790">
        <v>746</v>
      </c>
      <c r="B790">
        <v>906.59999999999945</v>
      </c>
      <c r="C790">
        <v>971.35000000000036</v>
      </c>
      <c r="D790">
        <v>919.55000000000018</v>
      </c>
      <c r="E790">
        <v>-1243</v>
      </c>
      <c r="F790">
        <v>-226.42500000000018</v>
      </c>
      <c r="G790">
        <v>-2123.6000000000004</v>
      </c>
      <c r="J790">
        <v>746</v>
      </c>
      <c r="K790">
        <v>0</v>
      </c>
      <c r="L790">
        <v>0</v>
      </c>
      <c r="M790">
        <v>0</v>
      </c>
      <c r="N790">
        <v>244</v>
      </c>
      <c r="O790">
        <v>172</v>
      </c>
      <c r="P790">
        <v>304</v>
      </c>
      <c r="S790">
        <v>746</v>
      </c>
      <c r="T790">
        <v>906.59999999999945</v>
      </c>
      <c r="U790">
        <v>951.92499999999927</v>
      </c>
      <c r="V790">
        <v>906.60000000000036</v>
      </c>
      <c r="W790">
        <v>2271.1999999999994</v>
      </c>
      <c r="X790">
        <v>2305.8499999999995</v>
      </c>
      <c r="Y790">
        <v>-23.822329538509621</v>
      </c>
    </row>
    <row r="791" spans="1:25" x14ac:dyDescent="0.35">
      <c r="A791">
        <v>747</v>
      </c>
      <c r="B791">
        <v>906.59999999999945</v>
      </c>
      <c r="C791">
        <v>1003.7249999999995</v>
      </c>
      <c r="D791">
        <v>906.60000000000036</v>
      </c>
      <c r="E791">
        <v>-841.55000000000018</v>
      </c>
      <c r="F791">
        <v>-705.57500000000073</v>
      </c>
      <c r="G791">
        <v>-2266.0500000000002</v>
      </c>
      <c r="J791">
        <v>747</v>
      </c>
      <c r="K791">
        <v>0</v>
      </c>
      <c r="L791">
        <v>0</v>
      </c>
      <c r="M791">
        <v>0</v>
      </c>
      <c r="N791">
        <v>207</v>
      </c>
      <c r="O791">
        <v>179</v>
      </c>
      <c r="P791">
        <v>321</v>
      </c>
      <c r="S791">
        <v>747</v>
      </c>
      <c r="T791">
        <v>906.59999999999945</v>
      </c>
      <c r="U791">
        <v>951.92499999999927</v>
      </c>
      <c r="V791">
        <v>906.60000000000036</v>
      </c>
      <c r="W791">
        <v>1769.0167131932944</v>
      </c>
      <c r="X791">
        <v>2245.474999999999</v>
      </c>
      <c r="Y791">
        <v>2449.1999999999989</v>
      </c>
    </row>
    <row r="792" spans="1:25" x14ac:dyDescent="0.35">
      <c r="A792">
        <v>748</v>
      </c>
      <c r="B792">
        <v>906.59999999999945</v>
      </c>
      <c r="C792">
        <v>932.5</v>
      </c>
      <c r="D792">
        <v>906.59999999999945</v>
      </c>
      <c r="E792">
        <v>-1191.2000000000007</v>
      </c>
      <c r="F792">
        <v>-317.07500000000073</v>
      </c>
      <c r="G792">
        <v>-1968.2000000000007</v>
      </c>
      <c r="J792">
        <v>748</v>
      </c>
      <c r="K792">
        <v>0</v>
      </c>
      <c r="L792">
        <v>0</v>
      </c>
      <c r="M792">
        <v>0</v>
      </c>
      <c r="N792">
        <v>234</v>
      </c>
      <c r="O792">
        <v>153</v>
      </c>
      <c r="P792">
        <v>334</v>
      </c>
      <c r="S792">
        <v>748</v>
      </c>
      <c r="T792">
        <v>906.59999999999945</v>
      </c>
      <c r="U792">
        <v>984.30000000000018</v>
      </c>
      <c r="V792">
        <v>906.60000000000036</v>
      </c>
      <c r="W792">
        <v>-802.70000000000073</v>
      </c>
      <c r="X792">
        <v>2273.9499999999994</v>
      </c>
      <c r="Y792">
        <v>2451.1999999999998</v>
      </c>
    </row>
    <row r="793" spans="1:25" x14ac:dyDescent="0.35">
      <c r="A793">
        <v>749</v>
      </c>
      <c r="B793">
        <v>906.59999999999945</v>
      </c>
      <c r="C793">
        <v>997.24999999999909</v>
      </c>
      <c r="D793">
        <v>906.60000000000036</v>
      </c>
      <c r="E793">
        <v>-919.25</v>
      </c>
      <c r="F793">
        <v>-491.90000000000055</v>
      </c>
      <c r="G793">
        <v>-2408.5</v>
      </c>
      <c r="J793">
        <v>749</v>
      </c>
      <c r="K793">
        <v>0</v>
      </c>
      <c r="L793">
        <v>0</v>
      </c>
      <c r="M793">
        <v>0</v>
      </c>
      <c r="N793">
        <v>253</v>
      </c>
      <c r="O793">
        <v>162</v>
      </c>
      <c r="P793">
        <v>350</v>
      </c>
      <c r="S793">
        <v>749</v>
      </c>
      <c r="T793">
        <v>906.59999999999945</v>
      </c>
      <c r="U793">
        <v>990.77499999999964</v>
      </c>
      <c r="V793">
        <v>919.55000000000018</v>
      </c>
      <c r="W793">
        <v>2253.1999999999998</v>
      </c>
      <c r="X793">
        <v>2235</v>
      </c>
      <c r="Y793">
        <v>2487.1999999999998</v>
      </c>
    </row>
    <row r="794" spans="1:25" x14ac:dyDescent="0.35">
      <c r="A794">
        <v>750</v>
      </c>
      <c r="B794">
        <v>906.59999999999945</v>
      </c>
      <c r="C794">
        <v>984.29999999999927</v>
      </c>
      <c r="D794">
        <v>906.59999999999945</v>
      </c>
      <c r="E794">
        <v>-802.70000000000073</v>
      </c>
      <c r="F794">
        <v>-310.60000000000036</v>
      </c>
      <c r="G794">
        <v>-2499.1500000000005</v>
      </c>
      <c r="J794">
        <v>750</v>
      </c>
      <c r="K794">
        <v>0</v>
      </c>
      <c r="L794">
        <v>0</v>
      </c>
      <c r="M794">
        <v>0</v>
      </c>
      <c r="N794">
        <v>242</v>
      </c>
      <c r="O794">
        <v>177</v>
      </c>
      <c r="P794">
        <v>332</v>
      </c>
      <c r="S794">
        <v>750</v>
      </c>
      <c r="T794">
        <v>906.59999999999945</v>
      </c>
      <c r="U794">
        <v>964.87499999999909</v>
      </c>
      <c r="V794">
        <v>906.60000000000036</v>
      </c>
      <c r="W794">
        <v>2231.1999999999994</v>
      </c>
      <c r="X794">
        <v>2233.3749999999995</v>
      </c>
      <c r="Y794">
        <v>2480.1499999999996</v>
      </c>
    </row>
    <row r="795" spans="1:25" x14ac:dyDescent="0.35">
      <c r="A795">
        <v>751</v>
      </c>
      <c r="B795">
        <v>906.59999999999945</v>
      </c>
      <c r="C795">
        <v>964.875</v>
      </c>
      <c r="D795">
        <v>906.59999999999945</v>
      </c>
      <c r="E795">
        <v>-1022.8500000000004</v>
      </c>
      <c r="F795">
        <v>-381.82500000000073</v>
      </c>
      <c r="G795">
        <v>-2253.1000000000004</v>
      </c>
      <c r="J795">
        <v>751</v>
      </c>
      <c r="K795">
        <v>0</v>
      </c>
      <c r="L795">
        <v>0</v>
      </c>
      <c r="M795">
        <v>0</v>
      </c>
      <c r="N795">
        <v>219</v>
      </c>
      <c r="O795">
        <v>156</v>
      </c>
      <c r="P795">
        <v>333</v>
      </c>
      <c r="S795">
        <v>751</v>
      </c>
      <c r="T795">
        <v>906.59999999999945</v>
      </c>
      <c r="U795">
        <v>977.82499999999891</v>
      </c>
      <c r="V795">
        <v>906.59999999999945</v>
      </c>
      <c r="W795">
        <v>2223.1999999999998</v>
      </c>
      <c r="X795">
        <v>1533.0524105009931</v>
      </c>
      <c r="Y795">
        <v>1858.1373296705428</v>
      </c>
    </row>
    <row r="796" spans="1:25" x14ac:dyDescent="0.35">
      <c r="A796">
        <v>752</v>
      </c>
      <c r="B796">
        <v>906.59999999999945</v>
      </c>
      <c r="C796">
        <v>964.875</v>
      </c>
      <c r="D796">
        <v>906.60000000000036</v>
      </c>
      <c r="E796">
        <v>-1411.3500000000004</v>
      </c>
      <c r="F796">
        <v>-459.52499999999964</v>
      </c>
      <c r="G796">
        <v>-2162.4500000000007</v>
      </c>
      <c r="J796">
        <v>752</v>
      </c>
      <c r="K796">
        <v>0</v>
      </c>
      <c r="L796">
        <v>0</v>
      </c>
      <c r="M796">
        <v>0</v>
      </c>
      <c r="N796">
        <v>220</v>
      </c>
      <c r="O796">
        <v>174</v>
      </c>
      <c r="P796">
        <v>298</v>
      </c>
      <c r="S796">
        <v>752</v>
      </c>
      <c r="T796">
        <v>906.59999999999945</v>
      </c>
      <c r="U796">
        <v>958.39999999999873</v>
      </c>
      <c r="V796">
        <v>906.59999999999945</v>
      </c>
      <c r="W796">
        <v>-31.80446103534905</v>
      </c>
      <c r="X796">
        <v>2139.0510089630666</v>
      </c>
      <c r="Y796">
        <v>1467.8883729709355</v>
      </c>
    </row>
    <row r="797" spans="1:25" x14ac:dyDescent="0.35">
      <c r="A797">
        <v>753</v>
      </c>
      <c r="B797">
        <v>906.59999999999945</v>
      </c>
      <c r="C797">
        <v>964.875</v>
      </c>
      <c r="D797">
        <v>906.59999999999945</v>
      </c>
      <c r="E797">
        <v>-1048.75</v>
      </c>
      <c r="F797">
        <v>-524.27500000000055</v>
      </c>
      <c r="G797">
        <v>-2227.2000000000007</v>
      </c>
      <c r="J797">
        <v>753</v>
      </c>
      <c r="K797">
        <v>0</v>
      </c>
      <c r="L797">
        <v>0</v>
      </c>
      <c r="M797">
        <v>0</v>
      </c>
      <c r="N797">
        <v>223</v>
      </c>
      <c r="O797">
        <v>163</v>
      </c>
      <c r="P797">
        <v>346</v>
      </c>
      <c r="S797">
        <v>753</v>
      </c>
      <c r="T797">
        <v>906.59999999999945</v>
      </c>
      <c r="U797">
        <v>971.35000000000036</v>
      </c>
      <c r="V797">
        <v>906.59999999999945</v>
      </c>
      <c r="W797">
        <v>2243.1999999999998</v>
      </c>
      <c r="X797">
        <v>217.59666504389475</v>
      </c>
      <c r="Y797">
        <v>1073.3577833842014</v>
      </c>
    </row>
    <row r="798" spans="1:25" x14ac:dyDescent="0.35">
      <c r="A798">
        <v>754</v>
      </c>
      <c r="B798">
        <v>906.59999999999945</v>
      </c>
      <c r="C798">
        <v>958.39999999999964</v>
      </c>
      <c r="D798">
        <v>906.59999999999945</v>
      </c>
      <c r="E798">
        <v>-1087.6000000000004</v>
      </c>
      <c r="F798">
        <v>-621.40000000000055</v>
      </c>
      <c r="G798">
        <v>-2356.6999999999998</v>
      </c>
      <c r="J798">
        <v>754</v>
      </c>
      <c r="K798">
        <v>0</v>
      </c>
      <c r="L798">
        <v>0</v>
      </c>
      <c r="M798">
        <v>0</v>
      </c>
      <c r="N798">
        <v>194</v>
      </c>
      <c r="O798">
        <v>171</v>
      </c>
      <c r="P798">
        <v>306</v>
      </c>
      <c r="S798">
        <v>754</v>
      </c>
      <c r="T798">
        <v>906.59999999999945</v>
      </c>
      <c r="U798">
        <v>945.44999999999891</v>
      </c>
      <c r="V798">
        <v>906.59999999999945</v>
      </c>
      <c r="W798">
        <v>1744.305650156658</v>
      </c>
      <c r="X798">
        <v>-556.65000000000055</v>
      </c>
      <c r="Y798">
        <v>2437.1999999999989</v>
      </c>
    </row>
    <row r="799" spans="1:25" x14ac:dyDescent="0.35">
      <c r="A799">
        <v>755</v>
      </c>
      <c r="B799">
        <v>906.59999999999945</v>
      </c>
      <c r="C799">
        <v>984.29999999999927</v>
      </c>
      <c r="D799">
        <v>906.59999999999945</v>
      </c>
      <c r="E799">
        <v>-828.60000000000036</v>
      </c>
      <c r="F799">
        <v>-608.45000000000073</v>
      </c>
      <c r="G799">
        <v>-2253.1000000000004</v>
      </c>
      <c r="J799">
        <v>755</v>
      </c>
      <c r="K799">
        <v>0</v>
      </c>
      <c r="L799">
        <v>0</v>
      </c>
      <c r="M799">
        <v>0</v>
      </c>
      <c r="N799">
        <v>237</v>
      </c>
      <c r="O799">
        <v>196</v>
      </c>
      <c r="P799">
        <v>328</v>
      </c>
      <c r="S799">
        <v>755</v>
      </c>
      <c r="T799">
        <v>906.59999999999945</v>
      </c>
      <c r="U799">
        <v>1010.1999999999989</v>
      </c>
      <c r="V799">
        <v>906.59999999999945</v>
      </c>
      <c r="W799">
        <v>2303.1999999999998</v>
      </c>
      <c r="X799">
        <v>2197.9499999999998</v>
      </c>
      <c r="Y799">
        <v>2495.1999999999998</v>
      </c>
    </row>
    <row r="800" spans="1:25" x14ac:dyDescent="0.35">
      <c r="A800">
        <v>756</v>
      </c>
      <c r="B800">
        <v>906.59999999999945</v>
      </c>
      <c r="C800">
        <v>964.875</v>
      </c>
      <c r="D800">
        <v>906.59999999999945</v>
      </c>
      <c r="E800">
        <v>-1294.8000000000002</v>
      </c>
      <c r="F800">
        <v>-394.77499999999964</v>
      </c>
      <c r="G800">
        <v>-2576.8500000000004</v>
      </c>
      <c r="J800">
        <v>756</v>
      </c>
      <c r="K800">
        <v>0</v>
      </c>
      <c r="L800">
        <v>0</v>
      </c>
      <c r="M800">
        <v>0</v>
      </c>
      <c r="N800">
        <v>238</v>
      </c>
      <c r="O800">
        <v>171</v>
      </c>
      <c r="P800">
        <v>335</v>
      </c>
      <c r="S800">
        <v>756</v>
      </c>
      <c r="T800">
        <v>906.59999999999945</v>
      </c>
      <c r="U800">
        <v>958.39999999999964</v>
      </c>
      <c r="V800">
        <v>906.59999999999945</v>
      </c>
      <c r="W800">
        <v>2301.1999999999994</v>
      </c>
      <c r="X800">
        <v>674.79567814081952</v>
      </c>
      <c r="Y800">
        <v>1862.7763782862667</v>
      </c>
    </row>
    <row r="801" spans="1:25" x14ac:dyDescent="0.35">
      <c r="A801">
        <v>757</v>
      </c>
      <c r="B801">
        <v>906.59999999999945</v>
      </c>
      <c r="C801">
        <v>990.77499999999964</v>
      </c>
      <c r="D801">
        <v>906.59999999999945</v>
      </c>
      <c r="E801">
        <v>-1126.4500000000007</v>
      </c>
      <c r="F801">
        <v>-511.32500000000073</v>
      </c>
      <c r="G801">
        <v>-2291.9499999999998</v>
      </c>
      <c r="J801">
        <v>757</v>
      </c>
      <c r="K801">
        <v>0</v>
      </c>
      <c r="L801">
        <v>0</v>
      </c>
      <c r="M801">
        <v>0</v>
      </c>
      <c r="N801">
        <v>227</v>
      </c>
      <c r="O801">
        <v>186</v>
      </c>
      <c r="P801">
        <v>299</v>
      </c>
      <c r="S801">
        <v>757</v>
      </c>
      <c r="T801">
        <v>906.59999999999945</v>
      </c>
      <c r="U801">
        <v>958.39999999999964</v>
      </c>
      <c r="V801">
        <v>906.59999999999945</v>
      </c>
      <c r="W801">
        <v>2265.1999999999998</v>
      </c>
      <c r="X801">
        <v>-822.125</v>
      </c>
      <c r="Y801">
        <v>2448.1499999999996</v>
      </c>
    </row>
    <row r="802" spans="1:25" x14ac:dyDescent="0.35">
      <c r="A802">
        <v>758</v>
      </c>
      <c r="B802">
        <v>906.59999999999945</v>
      </c>
      <c r="C802">
        <v>964.87499999999909</v>
      </c>
      <c r="D802">
        <v>919.54999999999927</v>
      </c>
      <c r="E802">
        <v>-1243</v>
      </c>
      <c r="F802">
        <v>-103.40000000000055</v>
      </c>
      <c r="G802">
        <v>-2084.75</v>
      </c>
      <c r="J802">
        <v>758</v>
      </c>
      <c r="K802">
        <v>0</v>
      </c>
      <c r="L802">
        <v>0</v>
      </c>
      <c r="M802">
        <v>0</v>
      </c>
      <c r="N802">
        <v>223</v>
      </c>
      <c r="O802">
        <v>175</v>
      </c>
      <c r="P802">
        <v>330</v>
      </c>
      <c r="S802">
        <v>758</v>
      </c>
      <c r="T802">
        <v>906.59999999999945</v>
      </c>
      <c r="U802">
        <v>990.77499999999873</v>
      </c>
      <c r="V802">
        <v>906.59999999999945</v>
      </c>
      <c r="W802">
        <v>1266.4972189563491</v>
      </c>
      <c r="X802">
        <v>1760.4580142366246</v>
      </c>
      <c r="Y802">
        <v>2447.1999999999998</v>
      </c>
    </row>
    <row r="803" spans="1:25" x14ac:dyDescent="0.35">
      <c r="A803">
        <v>759</v>
      </c>
      <c r="B803">
        <v>906.59999999999945</v>
      </c>
      <c r="C803">
        <v>977.82499999999982</v>
      </c>
      <c r="D803">
        <v>906.59999999999945</v>
      </c>
      <c r="E803">
        <v>-984</v>
      </c>
      <c r="F803">
        <v>-368.875</v>
      </c>
      <c r="G803">
        <v>-2343.75</v>
      </c>
      <c r="J803">
        <v>759</v>
      </c>
      <c r="K803">
        <v>0</v>
      </c>
      <c r="L803">
        <v>0</v>
      </c>
      <c r="M803">
        <v>0</v>
      </c>
      <c r="N803">
        <v>223</v>
      </c>
      <c r="O803">
        <v>176</v>
      </c>
      <c r="P803">
        <v>326</v>
      </c>
      <c r="S803">
        <v>759</v>
      </c>
      <c r="T803">
        <v>906.59999999999945</v>
      </c>
      <c r="U803">
        <v>990.77499999999964</v>
      </c>
      <c r="V803">
        <v>906.60000000000036</v>
      </c>
      <c r="W803">
        <v>1980.1968079426802</v>
      </c>
      <c r="X803">
        <v>1465.8506121224314</v>
      </c>
      <c r="Y803">
        <v>2471.1999999999998</v>
      </c>
    </row>
    <row r="804" spans="1:25" x14ac:dyDescent="0.35">
      <c r="A804">
        <v>760</v>
      </c>
      <c r="B804">
        <v>906.59999999999945</v>
      </c>
      <c r="C804">
        <v>990.77499999999873</v>
      </c>
      <c r="D804">
        <v>906.60000000000036</v>
      </c>
      <c r="E804">
        <v>-1074.6500000000005</v>
      </c>
      <c r="F804">
        <v>-666.72500000000036</v>
      </c>
      <c r="G804">
        <v>-2175.4000000000005</v>
      </c>
      <c r="J804">
        <v>760</v>
      </c>
      <c r="K804">
        <v>0</v>
      </c>
      <c r="L804">
        <v>0</v>
      </c>
      <c r="M804">
        <v>0</v>
      </c>
      <c r="N804">
        <v>239</v>
      </c>
      <c r="O804">
        <v>185</v>
      </c>
      <c r="P804">
        <v>326</v>
      </c>
      <c r="S804">
        <v>760</v>
      </c>
      <c r="T804">
        <v>906.59999999999945</v>
      </c>
      <c r="U804">
        <v>997.25</v>
      </c>
      <c r="V804">
        <v>867.75</v>
      </c>
      <c r="W804">
        <v>-779.64155872996594</v>
      </c>
      <c r="X804">
        <v>2279.75</v>
      </c>
      <c r="Y804">
        <v>2483.1999999999998</v>
      </c>
    </row>
    <row r="805" spans="1:25" x14ac:dyDescent="0.35">
      <c r="A805">
        <v>761</v>
      </c>
      <c r="B805">
        <v>906.59999999999945</v>
      </c>
      <c r="C805">
        <v>951.92499999999927</v>
      </c>
      <c r="D805">
        <v>906.59999999999945</v>
      </c>
      <c r="E805">
        <v>-1087.6000000000004</v>
      </c>
      <c r="F805">
        <v>-420.67500000000018</v>
      </c>
      <c r="G805">
        <v>-2356.6999999999998</v>
      </c>
      <c r="J805">
        <v>761</v>
      </c>
      <c r="K805">
        <v>0</v>
      </c>
      <c r="L805">
        <v>0</v>
      </c>
      <c r="M805">
        <v>0</v>
      </c>
      <c r="N805">
        <v>207</v>
      </c>
      <c r="O805">
        <v>178</v>
      </c>
      <c r="P805">
        <v>322</v>
      </c>
      <c r="S805">
        <v>761</v>
      </c>
      <c r="T805">
        <v>906.59999999999945</v>
      </c>
      <c r="U805">
        <v>1010.1999999999989</v>
      </c>
      <c r="V805">
        <v>906.60000000000036</v>
      </c>
      <c r="W805">
        <v>2289.1999999999994</v>
      </c>
      <c r="X805">
        <v>2229.9499999999998</v>
      </c>
      <c r="Y805">
        <v>2343.1007128860483</v>
      </c>
    </row>
    <row r="806" spans="1:25" x14ac:dyDescent="0.35">
      <c r="A806">
        <v>762</v>
      </c>
      <c r="B806">
        <v>906.59999999999945</v>
      </c>
      <c r="C806">
        <v>977.82499999999982</v>
      </c>
      <c r="D806">
        <v>906.59999999999945</v>
      </c>
      <c r="E806">
        <v>-893.35000000000036</v>
      </c>
      <c r="F806">
        <v>-362.40000000000055</v>
      </c>
      <c r="G806">
        <v>-2227.2000000000007</v>
      </c>
      <c r="J806">
        <v>762</v>
      </c>
      <c r="K806">
        <v>0</v>
      </c>
      <c r="L806">
        <v>0</v>
      </c>
      <c r="M806">
        <v>0</v>
      </c>
      <c r="N806">
        <v>223</v>
      </c>
      <c r="O806">
        <v>169</v>
      </c>
      <c r="P806">
        <v>310</v>
      </c>
      <c r="S806">
        <v>762</v>
      </c>
      <c r="T806">
        <v>906.59999999999945</v>
      </c>
      <c r="U806">
        <v>951.92499999999927</v>
      </c>
      <c r="V806">
        <v>906.59999999999945</v>
      </c>
      <c r="W806">
        <v>2291.1999999999994</v>
      </c>
      <c r="X806">
        <v>2236.7999999999993</v>
      </c>
      <c r="Y806">
        <v>235.48016715761014</v>
      </c>
    </row>
    <row r="807" spans="1:25" x14ac:dyDescent="0.35">
      <c r="A807">
        <v>763</v>
      </c>
      <c r="B807">
        <v>906.59999999999945</v>
      </c>
      <c r="C807">
        <v>958.39999999999964</v>
      </c>
      <c r="D807">
        <v>906.59999999999945</v>
      </c>
      <c r="E807">
        <v>-1424.3000000000002</v>
      </c>
      <c r="F807">
        <v>-537.22500000000036</v>
      </c>
      <c r="G807">
        <v>-2304.9000000000005</v>
      </c>
      <c r="J807">
        <v>763</v>
      </c>
      <c r="K807">
        <v>0</v>
      </c>
      <c r="L807">
        <v>0</v>
      </c>
      <c r="M807">
        <v>0</v>
      </c>
      <c r="N807">
        <v>234</v>
      </c>
      <c r="O807">
        <v>179</v>
      </c>
      <c r="P807">
        <v>336</v>
      </c>
      <c r="S807">
        <v>763</v>
      </c>
      <c r="T807">
        <v>906.59999999999945</v>
      </c>
      <c r="U807">
        <v>990.77499999999964</v>
      </c>
      <c r="V807">
        <v>906.60000000000036</v>
      </c>
      <c r="W807">
        <v>2215.1999999999998</v>
      </c>
      <c r="X807">
        <v>2258.8999999999992</v>
      </c>
      <c r="Y807">
        <v>2477.1999999999998</v>
      </c>
    </row>
    <row r="808" spans="1:25" x14ac:dyDescent="0.35">
      <c r="A808">
        <v>764</v>
      </c>
      <c r="B808">
        <v>906.59999999999945</v>
      </c>
      <c r="C808">
        <v>1003.7250000000004</v>
      </c>
      <c r="D808">
        <v>906.60000000000036</v>
      </c>
      <c r="E808">
        <v>-1022.8500000000004</v>
      </c>
      <c r="F808">
        <v>-368.875</v>
      </c>
      <c r="G808">
        <v>-2214.25</v>
      </c>
      <c r="J808">
        <v>764</v>
      </c>
      <c r="K808">
        <v>0</v>
      </c>
      <c r="L808">
        <v>0</v>
      </c>
      <c r="M808">
        <v>0</v>
      </c>
      <c r="N808">
        <v>234</v>
      </c>
      <c r="O808">
        <v>196</v>
      </c>
      <c r="P808">
        <v>325</v>
      </c>
      <c r="S808">
        <v>764</v>
      </c>
      <c r="T808">
        <v>906.59999999999945</v>
      </c>
      <c r="U808">
        <v>1010.1999999999989</v>
      </c>
      <c r="V808">
        <v>906.59999999999945</v>
      </c>
      <c r="W808">
        <v>2325.1999999999998</v>
      </c>
      <c r="X808">
        <v>2268.8999999999992</v>
      </c>
      <c r="Y808">
        <v>2455.1999999999998</v>
      </c>
    </row>
    <row r="809" spans="1:25" x14ac:dyDescent="0.35">
      <c r="A809">
        <v>765</v>
      </c>
      <c r="B809">
        <v>906.59999999999945</v>
      </c>
      <c r="C809">
        <v>951.92499999999927</v>
      </c>
      <c r="D809">
        <v>906.60000000000036</v>
      </c>
      <c r="E809">
        <v>-841.55000000000018</v>
      </c>
      <c r="F809">
        <v>-109.875</v>
      </c>
      <c r="G809">
        <v>-2201.3000000000002</v>
      </c>
      <c r="J809">
        <v>765</v>
      </c>
      <c r="K809">
        <v>0</v>
      </c>
      <c r="L809">
        <v>0</v>
      </c>
      <c r="M809">
        <v>0</v>
      </c>
      <c r="N809">
        <v>226</v>
      </c>
      <c r="O809">
        <v>181</v>
      </c>
      <c r="P809">
        <v>324</v>
      </c>
      <c r="S809">
        <v>765</v>
      </c>
      <c r="T809">
        <v>906.59999999999945</v>
      </c>
      <c r="U809">
        <v>984.30000000000018</v>
      </c>
      <c r="V809">
        <v>906.59999999999945</v>
      </c>
      <c r="W809">
        <v>2027.3652861511564</v>
      </c>
      <c r="X809">
        <v>2254.4249999999993</v>
      </c>
      <c r="Y809">
        <v>2447.1999999999998</v>
      </c>
    </row>
    <row r="810" spans="1:25" x14ac:dyDescent="0.35">
      <c r="A810">
        <v>766</v>
      </c>
      <c r="B810">
        <v>906.59999999999945</v>
      </c>
      <c r="C810">
        <v>958.39999999999964</v>
      </c>
      <c r="D810">
        <v>906.59999999999945</v>
      </c>
      <c r="E810">
        <v>-1385.4500000000007</v>
      </c>
      <c r="F810">
        <v>-666.72500000000036</v>
      </c>
      <c r="G810">
        <v>-2317.8500000000004</v>
      </c>
      <c r="J810">
        <v>766</v>
      </c>
      <c r="K810">
        <v>0</v>
      </c>
      <c r="L810">
        <v>0</v>
      </c>
      <c r="M810">
        <v>0</v>
      </c>
      <c r="N810">
        <v>214</v>
      </c>
      <c r="O810">
        <v>192</v>
      </c>
      <c r="P810">
        <v>338</v>
      </c>
      <c r="S810">
        <v>766</v>
      </c>
      <c r="T810">
        <v>906.59999999999945</v>
      </c>
      <c r="U810">
        <v>964.875</v>
      </c>
      <c r="V810">
        <v>906.59999999999945</v>
      </c>
      <c r="W810">
        <v>1889.8168707218433</v>
      </c>
      <c r="X810">
        <v>2296.9999999999991</v>
      </c>
      <c r="Y810">
        <v>-1452.367976983463</v>
      </c>
    </row>
    <row r="811" spans="1:25" x14ac:dyDescent="0.35">
      <c r="A811">
        <v>767</v>
      </c>
      <c r="B811">
        <v>906.59999999999945</v>
      </c>
      <c r="C811">
        <v>984.29999999999927</v>
      </c>
      <c r="D811">
        <v>906.59999999999945</v>
      </c>
      <c r="E811">
        <v>-1255.9500000000007</v>
      </c>
      <c r="F811">
        <v>-407.72500000000036</v>
      </c>
      <c r="G811">
        <v>-2473.25</v>
      </c>
      <c r="J811">
        <v>767</v>
      </c>
      <c r="K811">
        <v>0</v>
      </c>
      <c r="L811">
        <v>0</v>
      </c>
      <c r="M811">
        <v>0</v>
      </c>
      <c r="N811">
        <v>212</v>
      </c>
      <c r="O811">
        <v>174</v>
      </c>
      <c r="P811">
        <v>320</v>
      </c>
      <c r="S811">
        <v>767</v>
      </c>
      <c r="T811">
        <v>906.59999999999945</v>
      </c>
      <c r="U811">
        <v>945.44999999999982</v>
      </c>
      <c r="V811">
        <v>906.59999999999945</v>
      </c>
      <c r="W811">
        <v>2283.1999999999998</v>
      </c>
      <c r="X811">
        <v>1717.6108889729589</v>
      </c>
      <c r="Y811">
        <v>2434.1499999999996</v>
      </c>
    </row>
    <row r="812" spans="1:25" x14ac:dyDescent="0.35">
      <c r="A812">
        <v>768</v>
      </c>
      <c r="B812">
        <v>906.59999999999945</v>
      </c>
      <c r="C812">
        <v>971.34999999999945</v>
      </c>
      <c r="D812">
        <v>906.59999999999945</v>
      </c>
      <c r="E812">
        <v>-945.15000000000055</v>
      </c>
      <c r="F812">
        <v>-440.10000000000036</v>
      </c>
      <c r="G812">
        <v>-2654.55</v>
      </c>
      <c r="J812">
        <v>768</v>
      </c>
      <c r="K812">
        <v>0</v>
      </c>
      <c r="L812">
        <v>0</v>
      </c>
      <c r="M812">
        <v>0</v>
      </c>
      <c r="N812">
        <v>216</v>
      </c>
      <c r="O812">
        <v>185</v>
      </c>
      <c r="P812">
        <v>319</v>
      </c>
      <c r="S812">
        <v>768</v>
      </c>
      <c r="T812">
        <v>906.59999999999945</v>
      </c>
      <c r="U812">
        <v>971.34999999999945</v>
      </c>
      <c r="V812">
        <v>906.59999999999945</v>
      </c>
      <c r="W812">
        <v>2211.1999999999994</v>
      </c>
      <c r="X812">
        <v>2263.8500000000004</v>
      </c>
      <c r="Y812">
        <v>586.00936143060289</v>
      </c>
    </row>
    <row r="813" spans="1:25" x14ac:dyDescent="0.35">
      <c r="A813">
        <v>769</v>
      </c>
      <c r="B813">
        <v>906.59999999999945</v>
      </c>
      <c r="C813">
        <v>938.97500000000036</v>
      </c>
      <c r="D813">
        <v>906.60000000000036</v>
      </c>
      <c r="E813">
        <v>-1230.0500000000002</v>
      </c>
      <c r="F813">
        <v>-563.125</v>
      </c>
      <c r="G813">
        <v>-2512.1000000000004</v>
      </c>
      <c r="J813">
        <v>769</v>
      </c>
      <c r="K813">
        <v>0</v>
      </c>
      <c r="L813">
        <v>0</v>
      </c>
      <c r="M813">
        <v>0</v>
      </c>
      <c r="N813">
        <v>253</v>
      </c>
      <c r="O813">
        <v>156</v>
      </c>
      <c r="P813">
        <v>346</v>
      </c>
      <c r="S813">
        <v>769</v>
      </c>
      <c r="T813">
        <v>906.59999999999945</v>
      </c>
      <c r="U813">
        <v>951.92499999999927</v>
      </c>
      <c r="V813">
        <v>906.60000000000036</v>
      </c>
      <c r="W813">
        <v>2277.1999999999989</v>
      </c>
      <c r="X813">
        <v>2253.3749999999995</v>
      </c>
      <c r="Y813">
        <v>2457.1999999999998</v>
      </c>
    </row>
    <row r="814" spans="1:25" x14ac:dyDescent="0.35">
      <c r="A814">
        <v>770</v>
      </c>
      <c r="B814">
        <v>906.59999999999945</v>
      </c>
      <c r="C814">
        <v>945.44999999999982</v>
      </c>
      <c r="D814">
        <v>906.60000000000036</v>
      </c>
      <c r="E814">
        <v>-932.20000000000073</v>
      </c>
      <c r="F814">
        <v>-453.05000000000018</v>
      </c>
      <c r="G814">
        <v>-2538</v>
      </c>
      <c r="J814">
        <v>770</v>
      </c>
      <c r="K814">
        <v>0</v>
      </c>
      <c r="L814">
        <v>0</v>
      </c>
      <c r="M814">
        <v>0</v>
      </c>
      <c r="N814">
        <v>219</v>
      </c>
      <c r="O814">
        <v>217</v>
      </c>
      <c r="P814">
        <v>313</v>
      </c>
      <c r="S814">
        <v>770</v>
      </c>
      <c r="T814">
        <v>906.59999999999945</v>
      </c>
      <c r="U814">
        <v>971.34999999999945</v>
      </c>
      <c r="V814">
        <v>906.60000000000036</v>
      </c>
      <c r="W814">
        <v>-1359.5500000000002</v>
      </c>
      <c r="X814">
        <v>2215.9499999999994</v>
      </c>
      <c r="Y814">
        <v>2445.1999999999998</v>
      </c>
    </row>
    <row r="815" spans="1:25" x14ac:dyDescent="0.35">
      <c r="A815">
        <v>771</v>
      </c>
      <c r="B815">
        <v>906.59999999999945</v>
      </c>
      <c r="C815">
        <v>1003.7249999999995</v>
      </c>
      <c r="D815">
        <v>906.60000000000036</v>
      </c>
      <c r="E815">
        <v>-1204.1500000000005</v>
      </c>
      <c r="F815">
        <v>-595.5</v>
      </c>
      <c r="G815">
        <v>-2227.2000000000007</v>
      </c>
      <c r="J815">
        <v>771</v>
      </c>
      <c r="K815">
        <v>0</v>
      </c>
      <c r="L815">
        <v>0</v>
      </c>
      <c r="M815">
        <v>0</v>
      </c>
      <c r="N815">
        <v>245</v>
      </c>
      <c r="O815">
        <v>178</v>
      </c>
      <c r="P815">
        <v>324</v>
      </c>
      <c r="S815">
        <v>771</v>
      </c>
      <c r="T815">
        <v>906.59999999999945</v>
      </c>
      <c r="U815">
        <v>977.82499999999982</v>
      </c>
      <c r="V815">
        <v>906.60000000000036</v>
      </c>
      <c r="W815">
        <v>2265.1999999999998</v>
      </c>
      <c r="X815">
        <v>2251.9499999999994</v>
      </c>
      <c r="Y815">
        <v>1867.5927207614486</v>
      </c>
    </row>
    <row r="816" spans="1:25" x14ac:dyDescent="0.35">
      <c r="A816">
        <v>772</v>
      </c>
      <c r="B816">
        <v>906.59999999999945</v>
      </c>
      <c r="C816">
        <v>990.77499999999964</v>
      </c>
      <c r="D816">
        <v>906.59999999999945</v>
      </c>
      <c r="E816">
        <v>-1230.0500000000002</v>
      </c>
      <c r="F816">
        <v>-381.82500000000073</v>
      </c>
      <c r="G816">
        <v>-2162.4500000000007</v>
      </c>
      <c r="J816">
        <v>772</v>
      </c>
      <c r="K816">
        <v>0</v>
      </c>
      <c r="L816">
        <v>0</v>
      </c>
      <c r="M816">
        <v>0</v>
      </c>
      <c r="N816">
        <v>236</v>
      </c>
      <c r="O816">
        <v>191</v>
      </c>
      <c r="P816">
        <v>326</v>
      </c>
      <c r="S816">
        <v>772</v>
      </c>
      <c r="T816">
        <v>906.59999999999945</v>
      </c>
      <c r="U816">
        <v>964.875</v>
      </c>
      <c r="V816">
        <v>906.59999999999945</v>
      </c>
      <c r="W816">
        <v>2178.5817694259772</v>
      </c>
      <c r="X816">
        <v>2264.4249999999993</v>
      </c>
      <c r="Y816">
        <v>-98.099615868974524</v>
      </c>
    </row>
    <row r="817" spans="1:25" x14ac:dyDescent="0.35">
      <c r="A817">
        <v>773</v>
      </c>
      <c r="B817">
        <v>906.59999999999945</v>
      </c>
      <c r="C817">
        <v>977.82499999999982</v>
      </c>
      <c r="D817">
        <v>906.59999999999945</v>
      </c>
      <c r="E817">
        <v>-1346.6000000000004</v>
      </c>
      <c r="F817">
        <v>-297.65000000000055</v>
      </c>
      <c r="G817">
        <v>-2408.5</v>
      </c>
      <c r="J817">
        <v>773</v>
      </c>
      <c r="K817">
        <v>0</v>
      </c>
      <c r="L817">
        <v>0</v>
      </c>
      <c r="M817">
        <v>0</v>
      </c>
      <c r="N817">
        <v>235</v>
      </c>
      <c r="O817">
        <v>197</v>
      </c>
      <c r="P817">
        <v>319</v>
      </c>
      <c r="S817">
        <v>773</v>
      </c>
      <c r="T817">
        <v>906.59999999999945</v>
      </c>
      <c r="U817">
        <v>964.87499999999909</v>
      </c>
      <c r="V817">
        <v>906.59999999999945</v>
      </c>
      <c r="W817">
        <v>2251.1999999999994</v>
      </c>
      <c r="X817">
        <v>1463.5646724414325</v>
      </c>
      <c r="Y817">
        <v>2443.1999999999998</v>
      </c>
    </row>
    <row r="818" spans="1:25" x14ac:dyDescent="0.35">
      <c r="A818">
        <v>774</v>
      </c>
      <c r="B818">
        <v>906.59999999999945</v>
      </c>
      <c r="C818">
        <v>997.24999999999909</v>
      </c>
      <c r="D818">
        <v>906.59999999999945</v>
      </c>
      <c r="E818">
        <v>-996.95000000000073</v>
      </c>
      <c r="F818">
        <v>-491.90000000000055</v>
      </c>
      <c r="G818">
        <v>-2291.9499999999998</v>
      </c>
      <c r="J818">
        <v>774</v>
      </c>
      <c r="K818">
        <v>0</v>
      </c>
      <c r="L818">
        <v>0</v>
      </c>
      <c r="M818">
        <v>0</v>
      </c>
      <c r="N818">
        <v>254</v>
      </c>
      <c r="O818">
        <v>177</v>
      </c>
      <c r="P818">
        <v>334</v>
      </c>
      <c r="S818">
        <v>774</v>
      </c>
      <c r="T818">
        <v>906.59999999999945</v>
      </c>
      <c r="U818">
        <v>997.24999999999909</v>
      </c>
      <c r="V818">
        <v>906.59999999999945</v>
      </c>
      <c r="W818">
        <v>2217.1999999999989</v>
      </c>
      <c r="X818">
        <v>2221.4750000000004</v>
      </c>
      <c r="Y818">
        <v>2479.1999999999989</v>
      </c>
    </row>
    <row r="819" spans="1:25" x14ac:dyDescent="0.35">
      <c r="A819">
        <v>775</v>
      </c>
      <c r="B819">
        <v>906.59999999999945</v>
      </c>
      <c r="C819">
        <v>1003.7250000000004</v>
      </c>
      <c r="D819">
        <v>906.59999999999945</v>
      </c>
      <c r="E819">
        <v>-1126.4500000000007</v>
      </c>
      <c r="F819">
        <v>-647.30000000000018</v>
      </c>
      <c r="G819">
        <v>-2512.1000000000004</v>
      </c>
      <c r="J819">
        <v>775</v>
      </c>
      <c r="K819">
        <v>0</v>
      </c>
      <c r="L819">
        <v>0</v>
      </c>
      <c r="M819">
        <v>0</v>
      </c>
      <c r="N819">
        <v>248</v>
      </c>
      <c r="O819">
        <v>174</v>
      </c>
      <c r="P819">
        <v>313</v>
      </c>
      <c r="S819">
        <v>775</v>
      </c>
      <c r="T819">
        <v>906.59999999999945</v>
      </c>
      <c r="U819">
        <v>1010.1999999999989</v>
      </c>
      <c r="V819">
        <v>919.55000000000018</v>
      </c>
      <c r="W819">
        <v>2279.1999999999994</v>
      </c>
      <c r="X819">
        <v>2191.0999999999995</v>
      </c>
      <c r="Y819">
        <v>2463.1999999999998</v>
      </c>
    </row>
    <row r="820" spans="1:25" x14ac:dyDescent="0.35">
      <c r="A820">
        <v>776</v>
      </c>
      <c r="B820">
        <v>906.59999999999945</v>
      </c>
      <c r="C820">
        <v>990.77499999999964</v>
      </c>
      <c r="D820">
        <v>906.59999999999945</v>
      </c>
      <c r="E820">
        <v>-932.20000000000073</v>
      </c>
      <c r="F820">
        <v>-666.72500000000036</v>
      </c>
      <c r="G820">
        <v>-2007.0500000000002</v>
      </c>
      <c r="J820">
        <v>776</v>
      </c>
      <c r="K820">
        <v>0</v>
      </c>
      <c r="L820">
        <v>0</v>
      </c>
      <c r="M820">
        <v>0</v>
      </c>
      <c r="N820">
        <v>213</v>
      </c>
      <c r="O820">
        <v>174</v>
      </c>
      <c r="P820">
        <v>326</v>
      </c>
      <c r="S820">
        <v>776</v>
      </c>
      <c r="T820">
        <v>906.59999999999945</v>
      </c>
      <c r="U820">
        <v>951.92499999999927</v>
      </c>
      <c r="V820">
        <v>906.60000000000036</v>
      </c>
      <c r="W820">
        <v>-491.40018156578515</v>
      </c>
      <c r="X820">
        <v>2263.4749999999995</v>
      </c>
      <c r="Y820">
        <v>2435.1999999999998</v>
      </c>
    </row>
    <row r="821" spans="1:25" x14ac:dyDescent="0.35">
      <c r="A821">
        <v>777</v>
      </c>
      <c r="B821">
        <v>906.59999999999945</v>
      </c>
      <c r="C821">
        <v>964.87499999999909</v>
      </c>
      <c r="D821">
        <v>906.60000000000036</v>
      </c>
      <c r="E821">
        <v>-945.15000000000055</v>
      </c>
      <c r="F821">
        <v>-355.92500000000109</v>
      </c>
      <c r="G821">
        <v>-2486.1999999999998</v>
      </c>
      <c r="J821">
        <v>777</v>
      </c>
      <c r="K821">
        <v>0</v>
      </c>
      <c r="L821">
        <v>0</v>
      </c>
      <c r="M821">
        <v>0</v>
      </c>
      <c r="N821">
        <v>226</v>
      </c>
      <c r="O821">
        <v>200</v>
      </c>
      <c r="P821">
        <v>322</v>
      </c>
      <c r="S821">
        <v>777</v>
      </c>
      <c r="T821">
        <v>906.59999999999945</v>
      </c>
      <c r="U821">
        <v>971.34999999999854</v>
      </c>
      <c r="V821">
        <v>906.60000000000036</v>
      </c>
      <c r="W821">
        <v>2259.1999999999994</v>
      </c>
      <c r="X821">
        <v>2280.4249999999988</v>
      </c>
      <c r="Y821">
        <v>2445.1999999999998</v>
      </c>
    </row>
    <row r="822" spans="1:25" x14ac:dyDescent="0.35">
      <c r="A822">
        <v>778</v>
      </c>
      <c r="B822">
        <v>906.59999999999945</v>
      </c>
      <c r="C822">
        <v>964.875</v>
      </c>
      <c r="D822">
        <v>906.59999999999945</v>
      </c>
      <c r="E822">
        <v>-621.40000000000055</v>
      </c>
      <c r="F822">
        <v>-394.77500000000055</v>
      </c>
      <c r="G822">
        <v>-2395.5500000000002</v>
      </c>
      <c r="J822">
        <v>778</v>
      </c>
      <c r="K822">
        <v>0</v>
      </c>
      <c r="L822">
        <v>0</v>
      </c>
      <c r="M822">
        <v>0</v>
      </c>
      <c r="N822">
        <v>207</v>
      </c>
      <c r="O822">
        <v>173</v>
      </c>
      <c r="P822">
        <v>323</v>
      </c>
      <c r="S822">
        <v>778</v>
      </c>
      <c r="T822">
        <v>906.59999999999945</v>
      </c>
      <c r="U822">
        <v>964.875</v>
      </c>
      <c r="V822">
        <v>919.55000000000018</v>
      </c>
      <c r="W822">
        <v>2273.1999999999998</v>
      </c>
      <c r="X822">
        <v>2236.4250000000002</v>
      </c>
      <c r="Y822">
        <v>2008.3433443583936</v>
      </c>
    </row>
    <row r="823" spans="1:25" x14ac:dyDescent="0.35">
      <c r="A823">
        <v>779</v>
      </c>
      <c r="B823">
        <v>906.59999999999945</v>
      </c>
      <c r="C823">
        <v>964.875</v>
      </c>
      <c r="D823">
        <v>841.84999999999945</v>
      </c>
      <c r="E823">
        <v>-841.55000000000018</v>
      </c>
      <c r="F823">
        <v>-867.45000000000073</v>
      </c>
      <c r="G823">
        <v>-2343.75</v>
      </c>
      <c r="J823">
        <v>779</v>
      </c>
      <c r="K823">
        <v>0</v>
      </c>
      <c r="L823">
        <v>0</v>
      </c>
      <c r="M823">
        <v>0</v>
      </c>
      <c r="N823">
        <v>241</v>
      </c>
      <c r="O823">
        <v>187</v>
      </c>
      <c r="P823">
        <v>327</v>
      </c>
      <c r="S823">
        <v>779</v>
      </c>
      <c r="T823">
        <v>906.59999999999945</v>
      </c>
      <c r="U823">
        <v>1003.7249999999985</v>
      </c>
      <c r="V823">
        <v>906.59999999999945</v>
      </c>
      <c r="W823">
        <v>2261.1999999999994</v>
      </c>
      <c r="X823">
        <v>-796.22500000000036</v>
      </c>
      <c r="Y823">
        <v>2457.1999999999998</v>
      </c>
    </row>
    <row r="824" spans="1:25" x14ac:dyDescent="0.35">
      <c r="A824">
        <v>780</v>
      </c>
      <c r="B824">
        <v>906.59999999999945</v>
      </c>
      <c r="C824">
        <v>951.92499999999927</v>
      </c>
      <c r="D824">
        <v>906.59999999999945</v>
      </c>
      <c r="E824">
        <v>-1074.6500000000005</v>
      </c>
      <c r="F824">
        <v>-330.02499999999964</v>
      </c>
      <c r="G824">
        <v>-2408.5</v>
      </c>
      <c r="J824">
        <v>780</v>
      </c>
      <c r="K824">
        <v>0</v>
      </c>
      <c r="L824">
        <v>0</v>
      </c>
      <c r="M824">
        <v>0</v>
      </c>
      <c r="N824">
        <v>202</v>
      </c>
      <c r="O824">
        <v>203</v>
      </c>
      <c r="P824">
        <v>302</v>
      </c>
      <c r="S824">
        <v>780</v>
      </c>
      <c r="T824">
        <v>906.59999999999945</v>
      </c>
      <c r="U824">
        <v>990.77499999999964</v>
      </c>
      <c r="V824">
        <v>906.59999999999945</v>
      </c>
      <c r="W824">
        <v>2277.1999999999989</v>
      </c>
      <c r="X824">
        <v>113.43143609005278</v>
      </c>
      <c r="Y824">
        <v>2207.4506884629527</v>
      </c>
    </row>
    <row r="825" spans="1:25" x14ac:dyDescent="0.35">
      <c r="A825">
        <v>781</v>
      </c>
      <c r="B825">
        <v>906.59999999999945</v>
      </c>
      <c r="C825">
        <v>951.92499999999927</v>
      </c>
      <c r="D825">
        <v>906.59999999999945</v>
      </c>
      <c r="E825">
        <v>-1281.8500000000004</v>
      </c>
      <c r="F825">
        <v>-375.35000000000036</v>
      </c>
      <c r="G825">
        <v>-2291.9499999999998</v>
      </c>
      <c r="J825">
        <v>781</v>
      </c>
      <c r="K825">
        <v>0</v>
      </c>
      <c r="L825">
        <v>0</v>
      </c>
      <c r="M825">
        <v>0</v>
      </c>
      <c r="N825">
        <v>243</v>
      </c>
      <c r="O825">
        <v>164</v>
      </c>
      <c r="P825">
        <v>328</v>
      </c>
      <c r="S825">
        <v>781</v>
      </c>
      <c r="T825">
        <v>906.59999999999945</v>
      </c>
      <c r="U825">
        <v>964.875</v>
      </c>
      <c r="V825">
        <v>906.59999999999945</v>
      </c>
      <c r="W825">
        <v>2136.9183655713841</v>
      </c>
      <c r="X825">
        <v>-368.875</v>
      </c>
      <c r="Y825">
        <v>-1396.8600299198429</v>
      </c>
    </row>
    <row r="826" spans="1:25" x14ac:dyDescent="0.35">
      <c r="A826">
        <v>782</v>
      </c>
      <c r="B826">
        <v>906.59999999999945</v>
      </c>
      <c r="C826">
        <v>971.34999999999945</v>
      </c>
      <c r="D826">
        <v>906.59999999999945</v>
      </c>
      <c r="E826">
        <v>-1165.3000000000002</v>
      </c>
      <c r="F826">
        <v>-537.22500000000036</v>
      </c>
      <c r="G826">
        <v>-2628.6500000000005</v>
      </c>
      <c r="J826">
        <v>782</v>
      </c>
      <c r="K826">
        <v>0</v>
      </c>
      <c r="L826">
        <v>0</v>
      </c>
      <c r="M826">
        <v>0</v>
      </c>
      <c r="N826">
        <v>231</v>
      </c>
      <c r="O826">
        <v>171</v>
      </c>
      <c r="P826">
        <v>335</v>
      </c>
      <c r="S826">
        <v>782</v>
      </c>
      <c r="T826">
        <v>906.59999999999945</v>
      </c>
      <c r="U826">
        <v>951.92499999999927</v>
      </c>
      <c r="V826">
        <v>906.60000000000036</v>
      </c>
      <c r="W826">
        <v>2227.1999999999989</v>
      </c>
      <c r="X826">
        <v>2247.9499999999998</v>
      </c>
      <c r="Y826">
        <v>2435.8742699910399</v>
      </c>
    </row>
    <row r="827" spans="1:25" x14ac:dyDescent="0.35">
      <c r="A827">
        <v>783</v>
      </c>
      <c r="B827">
        <v>906.59999999999945</v>
      </c>
      <c r="C827">
        <v>964.875</v>
      </c>
      <c r="D827">
        <v>906.60000000000036</v>
      </c>
      <c r="E827">
        <v>-1139.4000000000005</v>
      </c>
      <c r="F827">
        <v>-219.95000000000073</v>
      </c>
      <c r="G827">
        <v>-2538</v>
      </c>
      <c r="J827">
        <v>783</v>
      </c>
      <c r="K827">
        <v>0</v>
      </c>
      <c r="L827">
        <v>0</v>
      </c>
      <c r="M827">
        <v>0</v>
      </c>
      <c r="N827">
        <v>199</v>
      </c>
      <c r="O827">
        <v>164</v>
      </c>
      <c r="P827">
        <v>325</v>
      </c>
      <c r="S827">
        <v>783</v>
      </c>
      <c r="T827">
        <v>906.59999999999945</v>
      </c>
      <c r="U827">
        <v>997.25</v>
      </c>
      <c r="V827">
        <v>906.59999999999945</v>
      </c>
      <c r="W827">
        <v>2273.1999999999998</v>
      </c>
      <c r="X827">
        <v>2273.3749999999995</v>
      </c>
      <c r="Y827">
        <v>2459.1999999999989</v>
      </c>
    </row>
    <row r="828" spans="1:25" x14ac:dyDescent="0.35">
      <c r="A828">
        <v>784</v>
      </c>
      <c r="B828">
        <v>906.59999999999945</v>
      </c>
      <c r="C828">
        <v>964.87499999999909</v>
      </c>
      <c r="D828">
        <v>906.60000000000036</v>
      </c>
      <c r="E828">
        <v>-1152.3500000000004</v>
      </c>
      <c r="F828">
        <v>-420.67500000000109</v>
      </c>
      <c r="G828">
        <v>-2745.2</v>
      </c>
      <c r="J828">
        <v>784</v>
      </c>
      <c r="K828">
        <v>0</v>
      </c>
      <c r="L828">
        <v>0</v>
      </c>
      <c r="M828">
        <v>0</v>
      </c>
      <c r="N828">
        <v>216</v>
      </c>
      <c r="O828">
        <v>175</v>
      </c>
      <c r="P828">
        <v>312</v>
      </c>
      <c r="S828">
        <v>784</v>
      </c>
      <c r="T828">
        <v>906.59999999999945</v>
      </c>
      <c r="U828">
        <v>958.39999999999873</v>
      </c>
      <c r="V828">
        <v>906.59999999999945</v>
      </c>
      <c r="W828">
        <v>2261.1999999999994</v>
      </c>
      <c r="X828">
        <v>-440.10000000000036</v>
      </c>
      <c r="Y828">
        <v>2463.1999999999998</v>
      </c>
    </row>
    <row r="829" spans="1:25" x14ac:dyDescent="0.35">
      <c r="A829">
        <v>785</v>
      </c>
      <c r="B829">
        <v>906.59999999999945</v>
      </c>
      <c r="C829">
        <v>1003.7249999999995</v>
      </c>
      <c r="D829">
        <v>906.60000000000036</v>
      </c>
      <c r="E829">
        <v>-815.65000000000055</v>
      </c>
      <c r="F829">
        <v>-155.20000000000073</v>
      </c>
      <c r="G829">
        <v>-2525.0500000000002</v>
      </c>
      <c r="J829">
        <v>785</v>
      </c>
      <c r="K829">
        <v>0</v>
      </c>
      <c r="L829">
        <v>0</v>
      </c>
      <c r="M829">
        <v>9</v>
      </c>
      <c r="N829">
        <v>216</v>
      </c>
      <c r="O829">
        <v>178</v>
      </c>
      <c r="P829">
        <v>332</v>
      </c>
      <c r="S829">
        <v>785</v>
      </c>
      <c r="T829">
        <v>906.59999999999945</v>
      </c>
      <c r="U829">
        <v>971.35000000000036</v>
      </c>
      <c r="V829">
        <v>906.60000000000036</v>
      </c>
      <c r="W829">
        <v>1955.6661736964907</v>
      </c>
      <c r="X829">
        <v>2231.4750000000004</v>
      </c>
      <c r="Y829">
        <v>2505.1999999999998</v>
      </c>
    </row>
    <row r="830" spans="1:25" x14ac:dyDescent="0.35">
      <c r="A830">
        <v>786</v>
      </c>
      <c r="B830">
        <v>906.59999999999945</v>
      </c>
      <c r="C830">
        <v>971.34999999999854</v>
      </c>
      <c r="D830">
        <v>906.60000000000036</v>
      </c>
      <c r="E830">
        <v>-1217.1000000000004</v>
      </c>
      <c r="F830">
        <v>-433.625</v>
      </c>
      <c r="G830">
        <v>-2304.9000000000005</v>
      </c>
      <c r="J830">
        <v>786</v>
      </c>
      <c r="K830">
        <v>0</v>
      </c>
      <c r="L830">
        <v>0</v>
      </c>
      <c r="M830">
        <v>0</v>
      </c>
      <c r="N830">
        <v>229</v>
      </c>
      <c r="O830">
        <v>203</v>
      </c>
      <c r="P830">
        <v>317</v>
      </c>
      <c r="S830">
        <v>786</v>
      </c>
      <c r="T830">
        <v>906.59999999999945</v>
      </c>
      <c r="U830">
        <v>971.34999999999945</v>
      </c>
      <c r="V830">
        <v>906.59999999999945</v>
      </c>
      <c r="W830">
        <v>1925.6563671146778</v>
      </c>
      <c r="X830">
        <v>2248.8999999999992</v>
      </c>
      <c r="Y830">
        <v>2439.1999999999989</v>
      </c>
    </row>
    <row r="831" spans="1:25" x14ac:dyDescent="0.35">
      <c r="A831">
        <v>787</v>
      </c>
      <c r="B831">
        <v>906.59999999999945</v>
      </c>
      <c r="C831">
        <v>951.92499999999927</v>
      </c>
      <c r="D831">
        <v>906.59999999999945</v>
      </c>
      <c r="E831">
        <v>-802.70000000000073</v>
      </c>
      <c r="F831">
        <v>-407.72500000000036</v>
      </c>
      <c r="G831">
        <v>-2434.4000000000005</v>
      </c>
      <c r="J831">
        <v>787</v>
      </c>
      <c r="K831">
        <v>0</v>
      </c>
      <c r="L831">
        <v>0</v>
      </c>
      <c r="M831">
        <v>0</v>
      </c>
      <c r="N831">
        <v>218</v>
      </c>
      <c r="O831">
        <v>162</v>
      </c>
      <c r="P831">
        <v>319</v>
      </c>
      <c r="S831">
        <v>787</v>
      </c>
      <c r="T831">
        <v>906.59999999999945</v>
      </c>
      <c r="U831">
        <v>964.875</v>
      </c>
      <c r="V831">
        <v>906.59999999999945</v>
      </c>
      <c r="W831">
        <v>2251.1999999999994</v>
      </c>
      <c r="X831">
        <v>1577.9761678125335</v>
      </c>
      <c r="Y831">
        <v>1758.8904538719671</v>
      </c>
    </row>
    <row r="832" spans="1:25" x14ac:dyDescent="0.35">
      <c r="A832">
        <v>788</v>
      </c>
      <c r="B832">
        <v>906.59999999999945</v>
      </c>
      <c r="C832">
        <v>958.39999999999964</v>
      </c>
      <c r="D832">
        <v>906.59999999999945</v>
      </c>
      <c r="E832">
        <v>-1100.5500000000002</v>
      </c>
      <c r="F832">
        <v>-601.97500000000036</v>
      </c>
      <c r="G832">
        <v>-2032.9500000000007</v>
      </c>
      <c r="J832">
        <v>788</v>
      </c>
      <c r="K832">
        <v>0</v>
      </c>
      <c r="L832">
        <v>0</v>
      </c>
      <c r="M832">
        <v>0</v>
      </c>
      <c r="N832">
        <v>220</v>
      </c>
      <c r="O832">
        <v>186</v>
      </c>
      <c r="P832">
        <v>333</v>
      </c>
      <c r="S832">
        <v>788</v>
      </c>
      <c r="T832">
        <v>906.59999999999945</v>
      </c>
      <c r="U832">
        <v>932.5</v>
      </c>
      <c r="V832">
        <v>906.60000000000036</v>
      </c>
      <c r="W832">
        <v>2243.1999999999998</v>
      </c>
      <c r="X832">
        <v>2250.4249999999988</v>
      </c>
      <c r="Y832">
        <v>2469.1999999999989</v>
      </c>
    </row>
    <row r="833" spans="1:25" x14ac:dyDescent="0.35">
      <c r="A833">
        <v>789</v>
      </c>
      <c r="B833">
        <v>906.59999999999945</v>
      </c>
      <c r="C833">
        <v>984.29999999999927</v>
      </c>
      <c r="D833">
        <v>906.60000000000036</v>
      </c>
      <c r="E833">
        <v>-1139.4000000000005</v>
      </c>
      <c r="F833">
        <v>-440.10000000000036</v>
      </c>
      <c r="G833">
        <v>-2486.1999999999998</v>
      </c>
      <c r="J833">
        <v>789</v>
      </c>
      <c r="K833">
        <v>0</v>
      </c>
      <c r="L833">
        <v>0</v>
      </c>
      <c r="M833">
        <v>0</v>
      </c>
      <c r="N833">
        <v>242</v>
      </c>
      <c r="O833">
        <v>180</v>
      </c>
      <c r="P833">
        <v>314</v>
      </c>
      <c r="S833">
        <v>789</v>
      </c>
      <c r="T833">
        <v>906.59999999999945</v>
      </c>
      <c r="U833">
        <v>1010.1999999999989</v>
      </c>
      <c r="V833">
        <v>906.60000000000036</v>
      </c>
      <c r="W833">
        <v>1467.9079116139301</v>
      </c>
      <c r="X833">
        <v>2286.3249999999994</v>
      </c>
      <c r="Y833">
        <v>2485.1999999999998</v>
      </c>
    </row>
    <row r="834" spans="1:25" x14ac:dyDescent="0.35">
      <c r="A834">
        <v>790</v>
      </c>
      <c r="B834">
        <v>906.59999999999945</v>
      </c>
      <c r="C834">
        <v>938.97499999999945</v>
      </c>
      <c r="D834">
        <v>906.59999999999945</v>
      </c>
      <c r="E834">
        <v>-958.10000000000036</v>
      </c>
      <c r="F834">
        <v>-466</v>
      </c>
      <c r="G834">
        <v>-2538</v>
      </c>
      <c r="J834">
        <v>790</v>
      </c>
      <c r="K834">
        <v>0</v>
      </c>
      <c r="L834">
        <v>0</v>
      </c>
      <c r="M834">
        <v>0</v>
      </c>
      <c r="N834">
        <v>231</v>
      </c>
      <c r="O834">
        <v>177</v>
      </c>
      <c r="P834">
        <v>331</v>
      </c>
      <c r="S834">
        <v>790</v>
      </c>
      <c r="T834">
        <v>906.59999999999945</v>
      </c>
      <c r="U834">
        <v>951.92499999999927</v>
      </c>
      <c r="V834">
        <v>906.59999999999945</v>
      </c>
      <c r="W834">
        <v>-79.511891015725269</v>
      </c>
      <c r="X834">
        <v>2241.9499999999994</v>
      </c>
      <c r="Y834">
        <v>2411.1999999999998</v>
      </c>
    </row>
    <row r="835" spans="1:25" x14ac:dyDescent="0.35">
      <c r="A835">
        <v>791</v>
      </c>
      <c r="B835">
        <v>906.59999999999945</v>
      </c>
      <c r="C835">
        <v>958.39999999999964</v>
      </c>
      <c r="D835">
        <v>906.60000000000036</v>
      </c>
      <c r="E835">
        <v>-1204.1500000000005</v>
      </c>
      <c r="F835">
        <v>-517.80000000000109</v>
      </c>
      <c r="G835">
        <v>-2317.8500000000004</v>
      </c>
      <c r="J835">
        <v>791</v>
      </c>
      <c r="K835">
        <v>0</v>
      </c>
      <c r="L835">
        <v>0</v>
      </c>
      <c r="M835">
        <v>0</v>
      </c>
      <c r="N835">
        <v>236</v>
      </c>
      <c r="O835">
        <v>172</v>
      </c>
      <c r="P835">
        <v>303</v>
      </c>
      <c r="S835">
        <v>791</v>
      </c>
      <c r="T835">
        <v>906.59999999999945</v>
      </c>
      <c r="U835">
        <v>964.875</v>
      </c>
      <c r="V835">
        <v>906.59999999999945</v>
      </c>
      <c r="W835">
        <v>905.90643110983774</v>
      </c>
      <c r="X835">
        <v>2243.8500000000004</v>
      </c>
      <c r="Y835">
        <v>2451.1999999999998</v>
      </c>
    </row>
    <row r="836" spans="1:25" x14ac:dyDescent="0.35">
      <c r="A836">
        <v>792</v>
      </c>
      <c r="B836">
        <v>906.59999999999945</v>
      </c>
      <c r="C836">
        <v>951.92499999999927</v>
      </c>
      <c r="D836">
        <v>906.60000000000036</v>
      </c>
      <c r="E836">
        <v>-1022.8500000000004</v>
      </c>
      <c r="F836">
        <v>-213.47500000000036</v>
      </c>
      <c r="G836">
        <v>-2563.9000000000005</v>
      </c>
      <c r="J836">
        <v>792</v>
      </c>
      <c r="K836">
        <v>0</v>
      </c>
      <c r="L836">
        <v>0</v>
      </c>
      <c r="M836">
        <v>0</v>
      </c>
      <c r="N836">
        <v>254</v>
      </c>
      <c r="O836">
        <v>172</v>
      </c>
      <c r="P836">
        <v>331</v>
      </c>
      <c r="S836">
        <v>792</v>
      </c>
      <c r="T836">
        <v>906.59999999999945</v>
      </c>
      <c r="U836">
        <v>958.39999999999964</v>
      </c>
      <c r="V836">
        <v>906.60000000000036</v>
      </c>
      <c r="W836">
        <v>2261.1999999999994</v>
      </c>
      <c r="X836">
        <v>2202.9999999999995</v>
      </c>
      <c r="Y836">
        <v>2451.1999999999998</v>
      </c>
    </row>
    <row r="837" spans="1:25" x14ac:dyDescent="0.35">
      <c r="A837">
        <v>793</v>
      </c>
      <c r="B837">
        <v>906.59999999999945</v>
      </c>
      <c r="C837">
        <v>997.25</v>
      </c>
      <c r="D837">
        <v>906.59999999999945</v>
      </c>
      <c r="E837">
        <v>-1009.9000000000005</v>
      </c>
      <c r="F837">
        <v>-679.67500000000018</v>
      </c>
      <c r="G837">
        <v>-2291.9499999999998</v>
      </c>
      <c r="J837">
        <v>793</v>
      </c>
      <c r="K837">
        <v>0</v>
      </c>
      <c r="L837">
        <v>0</v>
      </c>
      <c r="M837">
        <v>0</v>
      </c>
      <c r="N837">
        <v>244</v>
      </c>
      <c r="O837">
        <v>167</v>
      </c>
      <c r="P837">
        <v>330</v>
      </c>
      <c r="S837">
        <v>793</v>
      </c>
      <c r="T837">
        <v>906.59999999999945</v>
      </c>
      <c r="U837">
        <v>977.82499999999982</v>
      </c>
      <c r="V837">
        <v>906.59999999999945</v>
      </c>
      <c r="W837">
        <v>2305.1999999999998</v>
      </c>
      <c r="X837">
        <v>2260.3249999999998</v>
      </c>
      <c r="Y837">
        <v>1222.492985706886</v>
      </c>
    </row>
    <row r="838" spans="1:25" x14ac:dyDescent="0.35">
      <c r="A838">
        <v>794</v>
      </c>
      <c r="B838">
        <v>906.59999999999945</v>
      </c>
      <c r="C838">
        <v>990.77499999999964</v>
      </c>
      <c r="D838">
        <v>906.59999999999945</v>
      </c>
      <c r="E838">
        <v>-1113.5</v>
      </c>
      <c r="F838">
        <v>-420.67500000000018</v>
      </c>
      <c r="G838">
        <v>-2369.6500000000005</v>
      </c>
      <c r="J838">
        <v>794</v>
      </c>
      <c r="K838">
        <v>0</v>
      </c>
      <c r="L838">
        <v>0</v>
      </c>
      <c r="M838">
        <v>0</v>
      </c>
      <c r="N838">
        <v>212</v>
      </c>
      <c r="O838">
        <v>175</v>
      </c>
      <c r="P838">
        <v>317</v>
      </c>
      <c r="S838">
        <v>794</v>
      </c>
      <c r="T838">
        <v>906.59999999999945</v>
      </c>
      <c r="U838">
        <v>984.29999999999927</v>
      </c>
      <c r="V838">
        <v>906.59999999999945</v>
      </c>
      <c r="W838">
        <v>-776.36505094737549</v>
      </c>
      <c r="X838">
        <v>2271.849999999999</v>
      </c>
      <c r="Y838">
        <v>2455.1999999999998</v>
      </c>
    </row>
    <row r="839" spans="1:25" x14ac:dyDescent="0.35">
      <c r="A839">
        <v>795</v>
      </c>
      <c r="B839">
        <v>906.59999999999945</v>
      </c>
      <c r="C839">
        <v>964.875</v>
      </c>
      <c r="D839">
        <v>906.60000000000036</v>
      </c>
      <c r="E839">
        <v>-1191.2000000000007</v>
      </c>
      <c r="F839">
        <v>-601.97500000000036</v>
      </c>
      <c r="G839">
        <v>-2369.6500000000005</v>
      </c>
      <c r="J839">
        <v>795</v>
      </c>
      <c r="K839">
        <v>0</v>
      </c>
      <c r="L839">
        <v>0</v>
      </c>
      <c r="M839">
        <v>0</v>
      </c>
      <c r="N839">
        <v>203</v>
      </c>
      <c r="O839">
        <v>182</v>
      </c>
      <c r="P839">
        <v>322</v>
      </c>
      <c r="S839">
        <v>795</v>
      </c>
      <c r="T839">
        <v>906.59999999999945</v>
      </c>
      <c r="U839">
        <v>984.29999999999927</v>
      </c>
      <c r="V839">
        <v>906.60000000000036</v>
      </c>
      <c r="W839">
        <v>2297.1999999999989</v>
      </c>
      <c r="X839">
        <v>2270.3249999999998</v>
      </c>
      <c r="Y839">
        <v>2413.1999999999998</v>
      </c>
    </row>
    <row r="840" spans="1:25" x14ac:dyDescent="0.35">
      <c r="A840">
        <v>796</v>
      </c>
      <c r="B840">
        <v>906.59999999999945</v>
      </c>
      <c r="C840">
        <v>997.25</v>
      </c>
      <c r="D840">
        <v>906.59999999999945</v>
      </c>
      <c r="E840">
        <v>-971.05000000000018</v>
      </c>
      <c r="F840">
        <v>-362.39999999999964</v>
      </c>
      <c r="G840">
        <v>-2538</v>
      </c>
      <c r="J840">
        <v>796</v>
      </c>
      <c r="K840">
        <v>0</v>
      </c>
      <c r="L840">
        <v>0</v>
      </c>
      <c r="M840">
        <v>0</v>
      </c>
      <c r="N840">
        <v>244</v>
      </c>
      <c r="O840">
        <v>190</v>
      </c>
      <c r="P840">
        <v>325</v>
      </c>
      <c r="S840">
        <v>796</v>
      </c>
      <c r="T840">
        <v>906.59999999999945</v>
      </c>
      <c r="U840">
        <v>958.39999999999873</v>
      </c>
      <c r="V840">
        <v>906.60000000000036</v>
      </c>
      <c r="W840">
        <v>2221.1999999999994</v>
      </c>
      <c r="X840">
        <v>2291.3749999999991</v>
      </c>
      <c r="Y840">
        <v>-650.57104499798129</v>
      </c>
    </row>
    <row r="841" spans="1:25" x14ac:dyDescent="0.35">
      <c r="A841">
        <v>797</v>
      </c>
      <c r="B841">
        <v>906.59999999999945</v>
      </c>
      <c r="C841">
        <v>990.77499999999964</v>
      </c>
      <c r="D841">
        <v>906.59999999999945</v>
      </c>
      <c r="E841">
        <v>-1100.5500000000002</v>
      </c>
      <c r="F841">
        <v>-226.42500000000018</v>
      </c>
      <c r="G841">
        <v>-2317.8500000000004</v>
      </c>
      <c r="J841">
        <v>797</v>
      </c>
      <c r="K841">
        <v>0</v>
      </c>
      <c r="L841">
        <v>0</v>
      </c>
      <c r="M841">
        <v>0</v>
      </c>
      <c r="N841">
        <v>206</v>
      </c>
      <c r="O841">
        <v>188</v>
      </c>
      <c r="P841">
        <v>313</v>
      </c>
      <c r="S841">
        <v>797</v>
      </c>
      <c r="T841">
        <v>906.59999999999945</v>
      </c>
      <c r="U841">
        <v>951.92499999999927</v>
      </c>
      <c r="V841">
        <v>906.60000000000036</v>
      </c>
      <c r="W841">
        <v>2257.1999999999989</v>
      </c>
      <c r="X841">
        <v>-342.97500000000036</v>
      </c>
      <c r="Y841">
        <v>2455.1999999999998</v>
      </c>
    </row>
    <row r="842" spans="1:25" x14ac:dyDescent="0.35">
      <c r="A842">
        <v>798</v>
      </c>
      <c r="B842">
        <v>906.59999999999945</v>
      </c>
      <c r="C842">
        <v>984.29999999999927</v>
      </c>
      <c r="D842">
        <v>906.59999999999945</v>
      </c>
      <c r="E842">
        <v>-919.25</v>
      </c>
      <c r="F842">
        <v>-381.82500000000073</v>
      </c>
      <c r="G842">
        <v>-2602.75</v>
      </c>
      <c r="J842">
        <v>798</v>
      </c>
      <c r="K842">
        <v>0</v>
      </c>
      <c r="L842">
        <v>0</v>
      </c>
      <c r="M842">
        <v>0</v>
      </c>
      <c r="N842">
        <v>251</v>
      </c>
      <c r="O842">
        <v>160</v>
      </c>
      <c r="P842">
        <v>337</v>
      </c>
      <c r="S842">
        <v>798</v>
      </c>
      <c r="T842">
        <v>906.59999999999945</v>
      </c>
      <c r="U842">
        <v>997.25</v>
      </c>
      <c r="V842">
        <v>906.59999999999945</v>
      </c>
      <c r="W842">
        <v>2221.1999999999994</v>
      </c>
      <c r="X842">
        <v>2225</v>
      </c>
      <c r="Y842">
        <v>-0.43380300170065311</v>
      </c>
    </row>
    <row r="843" spans="1:25" x14ac:dyDescent="0.35">
      <c r="A843">
        <v>799</v>
      </c>
      <c r="B843">
        <v>906.59999999999945</v>
      </c>
      <c r="C843">
        <v>984.29999999999927</v>
      </c>
      <c r="D843">
        <v>906.59999999999945</v>
      </c>
      <c r="E843">
        <v>-906.30000000000018</v>
      </c>
      <c r="F843">
        <v>-550.17500000000109</v>
      </c>
      <c r="G843">
        <v>-2408.5</v>
      </c>
      <c r="J843">
        <v>799</v>
      </c>
      <c r="K843">
        <v>0</v>
      </c>
      <c r="L843">
        <v>0</v>
      </c>
      <c r="M843">
        <v>0</v>
      </c>
      <c r="N843">
        <v>206</v>
      </c>
      <c r="O843">
        <v>188</v>
      </c>
      <c r="P843">
        <v>319</v>
      </c>
      <c r="S843">
        <v>799</v>
      </c>
      <c r="T843">
        <v>906.59999999999945</v>
      </c>
      <c r="U843">
        <v>964.87499999999909</v>
      </c>
      <c r="V843">
        <v>906.60000000000036</v>
      </c>
      <c r="W843">
        <v>2233.1999999999998</v>
      </c>
      <c r="X843">
        <v>2245.9499999999994</v>
      </c>
      <c r="Y843">
        <v>-228.49314702490892</v>
      </c>
    </row>
    <row r="844" spans="1:25" x14ac:dyDescent="0.35">
      <c r="A844">
        <v>800</v>
      </c>
      <c r="B844">
        <v>906.59999999999945</v>
      </c>
      <c r="C844">
        <v>971.34999999999945</v>
      </c>
      <c r="D844">
        <v>906.59999999999945</v>
      </c>
      <c r="E844">
        <v>-1087.6000000000004</v>
      </c>
      <c r="F844">
        <v>-530.75</v>
      </c>
      <c r="G844">
        <v>-2434.4000000000005</v>
      </c>
      <c r="J844">
        <v>800</v>
      </c>
      <c r="K844">
        <v>0</v>
      </c>
      <c r="L844">
        <v>0</v>
      </c>
      <c r="M844">
        <v>0</v>
      </c>
      <c r="N844">
        <v>212</v>
      </c>
      <c r="O844">
        <v>192</v>
      </c>
      <c r="P844">
        <v>346</v>
      </c>
      <c r="S844">
        <v>800</v>
      </c>
      <c r="T844">
        <v>906.59999999999945</v>
      </c>
      <c r="U844">
        <v>951.92499999999927</v>
      </c>
      <c r="V844">
        <v>906.59999999999945</v>
      </c>
      <c r="W844">
        <v>2201.1999999999994</v>
      </c>
      <c r="X844">
        <v>2261.4750000000004</v>
      </c>
      <c r="Y844">
        <v>2467.1999999999998</v>
      </c>
    </row>
    <row r="845" spans="1:25" x14ac:dyDescent="0.35">
      <c r="A845">
        <v>801</v>
      </c>
      <c r="B845">
        <v>906.59999999999945</v>
      </c>
      <c r="C845">
        <v>1010.1999999999998</v>
      </c>
      <c r="D845">
        <v>906.59999999999945</v>
      </c>
      <c r="E845">
        <v>-867.45000000000073</v>
      </c>
      <c r="F845">
        <v>-420.67500000000018</v>
      </c>
      <c r="G845">
        <v>-2538</v>
      </c>
      <c r="J845">
        <v>801</v>
      </c>
      <c r="K845">
        <v>0</v>
      </c>
      <c r="L845">
        <v>0</v>
      </c>
      <c r="M845">
        <v>0</v>
      </c>
      <c r="N845">
        <v>215</v>
      </c>
      <c r="O845">
        <v>208</v>
      </c>
      <c r="P845">
        <v>296</v>
      </c>
      <c r="S845">
        <v>801</v>
      </c>
      <c r="T845">
        <v>906.59999999999945</v>
      </c>
      <c r="U845">
        <v>977.82499999999982</v>
      </c>
      <c r="V845">
        <v>906.60000000000036</v>
      </c>
      <c r="W845">
        <v>2285.1999999999998</v>
      </c>
      <c r="X845">
        <v>2250.7999999999997</v>
      </c>
      <c r="Y845">
        <v>2446.9700733021382</v>
      </c>
    </row>
    <row r="846" spans="1:25" x14ac:dyDescent="0.35">
      <c r="A846">
        <v>802</v>
      </c>
      <c r="B846">
        <v>906.59999999999945</v>
      </c>
      <c r="C846">
        <v>964.87499999999909</v>
      </c>
      <c r="D846">
        <v>906.60000000000036</v>
      </c>
      <c r="E846">
        <v>-1592.6500000000005</v>
      </c>
      <c r="F846">
        <v>-342.97500000000036</v>
      </c>
      <c r="G846">
        <v>-2227.2000000000007</v>
      </c>
      <c r="J846">
        <v>802</v>
      </c>
      <c r="K846">
        <v>0</v>
      </c>
      <c r="L846">
        <v>0</v>
      </c>
      <c r="M846">
        <v>0</v>
      </c>
      <c r="N846">
        <v>203</v>
      </c>
      <c r="O846">
        <v>222</v>
      </c>
      <c r="P846">
        <v>337</v>
      </c>
      <c r="S846">
        <v>802</v>
      </c>
      <c r="T846">
        <v>906.59999999999945</v>
      </c>
      <c r="U846">
        <v>971.34999999999945</v>
      </c>
      <c r="V846">
        <v>906.60000000000036</v>
      </c>
      <c r="W846">
        <v>2295.1999999999998</v>
      </c>
      <c r="X846">
        <v>2276.8999999999992</v>
      </c>
      <c r="Y846">
        <v>864.87175432422146</v>
      </c>
    </row>
    <row r="847" spans="1:25" x14ac:dyDescent="0.35">
      <c r="A847">
        <v>803</v>
      </c>
      <c r="B847">
        <v>906.59999999999945</v>
      </c>
      <c r="C847">
        <v>984.29999999999927</v>
      </c>
      <c r="D847">
        <v>906.59999999999945</v>
      </c>
      <c r="E847">
        <v>-1126.4500000000007</v>
      </c>
      <c r="F847">
        <v>-666.72500000000036</v>
      </c>
      <c r="G847">
        <v>-2395.5500000000002</v>
      </c>
      <c r="J847">
        <v>803</v>
      </c>
      <c r="K847">
        <v>0</v>
      </c>
      <c r="L847">
        <v>0</v>
      </c>
      <c r="M847">
        <v>0</v>
      </c>
      <c r="N847">
        <v>219</v>
      </c>
      <c r="O847">
        <v>193</v>
      </c>
      <c r="P847">
        <v>300</v>
      </c>
      <c r="S847">
        <v>803</v>
      </c>
      <c r="T847">
        <v>906.59999999999945</v>
      </c>
      <c r="U847">
        <v>977.82499999999982</v>
      </c>
      <c r="V847">
        <v>906.59999999999945</v>
      </c>
      <c r="W847">
        <v>1863.8634929124155</v>
      </c>
      <c r="X847">
        <v>2233.4749999999995</v>
      </c>
      <c r="Y847">
        <v>118.13244411506957</v>
      </c>
    </row>
    <row r="848" spans="1:25" x14ac:dyDescent="0.35">
      <c r="A848">
        <v>804</v>
      </c>
      <c r="B848">
        <v>906.59999999999945</v>
      </c>
      <c r="C848">
        <v>977.82499999999982</v>
      </c>
      <c r="D848">
        <v>906.59999999999945</v>
      </c>
      <c r="E848">
        <v>-841.55000000000018</v>
      </c>
      <c r="F848">
        <v>-459.52500000000055</v>
      </c>
      <c r="G848">
        <v>-2253.1000000000004</v>
      </c>
      <c r="J848">
        <v>804</v>
      </c>
      <c r="K848">
        <v>0</v>
      </c>
      <c r="L848">
        <v>0</v>
      </c>
      <c r="M848">
        <v>0</v>
      </c>
      <c r="N848">
        <v>226</v>
      </c>
      <c r="O848">
        <v>169</v>
      </c>
      <c r="P848">
        <v>321</v>
      </c>
      <c r="S848">
        <v>804</v>
      </c>
      <c r="T848">
        <v>906.59999999999945</v>
      </c>
      <c r="U848">
        <v>984.29999999999927</v>
      </c>
      <c r="V848">
        <v>906.59999999999945</v>
      </c>
      <c r="W848">
        <v>2243.1999999999998</v>
      </c>
      <c r="X848">
        <v>2283.3749999999995</v>
      </c>
      <c r="Y848">
        <v>2421.1999999999998</v>
      </c>
    </row>
    <row r="849" spans="1:25" x14ac:dyDescent="0.35">
      <c r="A849">
        <v>805</v>
      </c>
      <c r="B849">
        <v>906.59999999999945</v>
      </c>
      <c r="C849">
        <v>977.82499999999891</v>
      </c>
      <c r="D849">
        <v>906.60000000000036</v>
      </c>
      <c r="E849">
        <v>-1204.1500000000005</v>
      </c>
      <c r="F849">
        <v>-576.07500000000073</v>
      </c>
      <c r="G849">
        <v>-2654.55</v>
      </c>
      <c r="J849">
        <v>805</v>
      </c>
      <c r="K849">
        <v>0</v>
      </c>
      <c r="L849">
        <v>0</v>
      </c>
      <c r="M849">
        <v>0</v>
      </c>
      <c r="N849">
        <v>216</v>
      </c>
      <c r="O849">
        <v>191</v>
      </c>
      <c r="P849">
        <v>317</v>
      </c>
      <c r="S849">
        <v>805</v>
      </c>
      <c r="T849">
        <v>906.59999999999945</v>
      </c>
      <c r="U849">
        <v>984.29999999999927</v>
      </c>
      <c r="V849">
        <v>906.59999999999945</v>
      </c>
      <c r="W849">
        <v>1883.1239601625593</v>
      </c>
      <c r="X849">
        <v>2220.0499999999997</v>
      </c>
      <c r="Y849">
        <v>1943.6120863889364</v>
      </c>
    </row>
    <row r="850" spans="1:25" x14ac:dyDescent="0.35">
      <c r="A850">
        <v>806</v>
      </c>
      <c r="B850">
        <v>906.59999999999945</v>
      </c>
      <c r="C850">
        <v>971.34999999999854</v>
      </c>
      <c r="D850">
        <v>906.59999999999945</v>
      </c>
      <c r="E850">
        <v>-1424.3000000000002</v>
      </c>
      <c r="F850">
        <v>-381.82500000000073</v>
      </c>
      <c r="G850">
        <v>-2395.5500000000002</v>
      </c>
      <c r="J850">
        <v>806</v>
      </c>
      <c r="K850">
        <v>0</v>
      </c>
      <c r="L850">
        <v>0</v>
      </c>
      <c r="M850">
        <v>2</v>
      </c>
      <c r="N850">
        <v>212</v>
      </c>
      <c r="O850">
        <v>196</v>
      </c>
      <c r="P850">
        <v>308</v>
      </c>
      <c r="S850">
        <v>806</v>
      </c>
      <c r="T850">
        <v>906.59999999999945</v>
      </c>
      <c r="U850">
        <v>971.34999999999854</v>
      </c>
      <c r="V850">
        <v>906.60000000000036</v>
      </c>
      <c r="W850">
        <v>1564.1716888454816</v>
      </c>
      <c r="X850">
        <v>2227.4749999999999</v>
      </c>
      <c r="Y850">
        <v>-11.208338327203819</v>
      </c>
    </row>
    <row r="851" spans="1:25" x14ac:dyDescent="0.35">
      <c r="A851">
        <v>807</v>
      </c>
      <c r="B851">
        <v>906.59999999999945</v>
      </c>
      <c r="C851">
        <v>990.77499999999964</v>
      </c>
      <c r="D851">
        <v>906.59999999999945</v>
      </c>
      <c r="E851">
        <v>-893.35000000000036</v>
      </c>
      <c r="F851">
        <v>-563.125</v>
      </c>
      <c r="G851">
        <v>-1942.3000000000002</v>
      </c>
      <c r="J851">
        <v>807</v>
      </c>
      <c r="K851">
        <v>0</v>
      </c>
      <c r="L851">
        <v>0</v>
      </c>
      <c r="M851">
        <v>0</v>
      </c>
      <c r="N851">
        <v>232</v>
      </c>
      <c r="O851">
        <v>197</v>
      </c>
      <c r="P851">
        <v>318</v>
      </c>
      <c r="S851">
        <v>807</v>
      </c>
      <c r="T851">
        <v>906.59999999999945</v>
      </c>
      <c r="U851">
        <v>1010.1999999999998</v>
      </c>
      <c r="V851">
        <v>906.59999999999945</v>
      </c>
      <c r="W851">
        <v>2257.1999999999989</v>
      </c>
      <c r="X851">
        <v>2210.9999999999995</v>
      </c>
      <c r="Y851">
        <v>-2499.1500000000005</v>
      </c>
    </row>
    <row r="852" spans="1:25" x14ac:dyDescent="0.35">
      <c r="A852">
        <v>808</v>
      </c>
      <c r="B852">
        <v>906.59999999999945</v>
      </c>
      <c r="C852">
        <v>1016.6750000000002</v>
      </c>
      <c r="D852">
        <v>906.60000000000036</v>
      </c>
      <c r="E852">
        <v>-1074.6500000000005</v>
      </c>
      <c r="F852">
        <v>-601.97500000000036</v>
      </c>
      <c r="G852">
        <v>-2188.3500000000004</v>
      </c>
      <c r="J852">
        <v>808</v>
      </c>
      <c r="K852">
        <v>0</v>
      </c>
      <c r="L852">
        <v>0</v>
      </c>
      <c r="M852">
        <v>0</v>
      </c>
      <c r="N852">
        <v>224</v>
      </c>
      <c r="O852">
        <v>180</v>
      </c>
      <c r="P852">
        <v>302</v>
      </c>
      <c r="S852">
        <v>808</v>
      </c>
      <c r="T852">
        <v>906.59999999999945</v>
      </c>
      <c r="U852">
        <v>964.87499999999909</v>
      </c>
      <c r="V852">
        <v>906.60000000000036</v>
      </c>
      <c r="W852">
        <v>2311.1999999999994</v>
      </c>
      <c r="X852">
        <v>2215.9499999999994</v>
      </c>
      <c r="Y852">
        <v>2435.1999999999998</v>
      </c>
    </row>
    <row r="853" spans="1:25" x14ac:dyDescent="0.35">
      <c r="A853">
        <v>809</v>
      </c>
      <c r="B853">
        <v>906.59999999999945</v>
      </c>
      <c r="C853">
        <v>971.34999999999945</v>
      </c>
      <c r="D853">
        <v>906.59999999999945</v>
      </c>
      <c r="E853">
        <v>-1307.75</v>
      </c>
      <c r="F853">
        <v>-355.92500000000109</v>
      </c>
      <c r="G853">
        <v>-2602.75</v>
      </c>
      <c r="J853">
        <v>809</v>
      </c>
      <c r="K853">
        <v>0</v>
      </c>
      <c r="L853">
        <v>0</v>
      </c>
      <c r="M853">
        <v>0</v>
      </c>
      <c r="N853">
        <v>243</v>
      </c>
      <c r="O853">
        <v>194</v>
      </c>
      <c r="P853">
        <v>323</v>
      </c>
      <c r="S853">
        <v>809</v>
      </c>
      <c r="T853">
        <v>906.59999999999945</v>
      </c>
      <c r="U853">
        <v>958.39999999999873</v>
      </c>
      <c r="V853">
        <v>906.59999999999945</v>
      </c>
      <c r="W853">
        <v>2259.1999999999994</v>
      </c>
      <c r="X853">
        <v>2192.9999999999995</v>
      </c>
      <c r="Y853">
        <v>1100.9156447350497</v>
      </c>
    </row>
    <row r="854" spans="1:25" x14ac:dyDescent="0.35">
      <c r="A854">
        <v>810</v>
      </c>
      <c r="B854">
        <v>906.59999999999945</v>
      </c>
      <c r="C854">
        <v>990.77499999999964</v>
      </c>
      <c r="D854">
        <v>906.60000000000036</v>
      </c>
      <c r="E854">
        <v>-1243</v>
      </c>
      <c r="F854">
        <v>-427.14999999999964</v>
      </c>
      <c r="G854">
        <v>-2317.8500000000004</v>
      </c>
      <c r="J854">
        <v>810</v>
      </c>
      <c r="K854">
        <v>0</v>
      </c>
      <c r="L854">
        <v>0</v>
      </c>
      <c r="M854">
        <v>0</v>
      </c>
      <c r="N854">
        <v>229</v>
      </c>
      <c r="O854">
        <v>161</v>
      </c>
      <c r="P854">
        <v>326</v>
      </c>
      <c r="S854">
        <v>810</v>
      </c>
      <c r="T854">
        <v>906.59999999999945</v>
      </c>
      <c r="U854">
        <v>977.82499999999982</v>
      </c>
      <c r="V854">
        <v>906.59999999999945</v>
      </c>
      <c r="W854">
        <v>1376.870651501843</v>
      </c>
      <c r="X854">
        <v>2274.7999999999997</v>
      </c>
      <c r="Y854">
        <v>1318.2146396102812</v>
      </c>
    </row>
    <row r="855" spans="1:25" x14ac:dyDescent="0.35">
      <c r="A855">
        <v>811</v>
      </c>
      <c r="B855">
        <v>906.59999999999945</v>
      </c>
      <c r="C855">
        <v>951.92499999999927</v>
      </c>
      <c r="D855">
        <v>906.59999999999945</v>
      </c>
      <c r="E855">
        <v>-1230.0500000000002</v>
      </c>
      <c r="F855">
        <v>-453.05000000000018</v>
      </c>
      <c r="G855">
        <v>-2291.9499999999998</v>
      </c>
      <c r="J855">
        <v>811</v>
      </c>
      <c r="K855">
        <v>0</v>
      </c>
      <c r="L855">
        <v>0</v>
      </c>
      <c r="M855">
        <v>0</v>
      </c>
      <c r="N855">
        <v>206</v>
      </c>
      <c r="O855">
        <v>200</v>
      </c>
      <c r="P855">
        <v>322</v>
      </c>
      <c r="S855">
        <v>811</v>
      </c>
      <c r="T855">
        <v>906.59999999999945</v>
      </c>
      <c r="U855">
        <v>964.875</v>
      </c>
      <c r="V855">
        <v>906.59999999999945</v>
      </c>
      <c r="W855">
        <v>2265.1999999999998</v>
      </c>
      <c r="X855">
        <v>-291.17500000000018</v>
      </c>
      <c r="Y855">
        <v>2499.1999999999989</v>
      </c>
    </row>
    <row r="856" spans="1:25" x14ac:dyDescent="0.35">
      <c r="A856">
        <v>812</v>
      </c>
      <c r="B856">
        <v>906.59999999999945</v>
      </c>
      <c r="C856">
        <v>984.30000000000018</v>
      </c>
      <c r="D856">
        <v>906.59999999999945</v>
      </c>
      <c r="E856">
        <v>-919.25</v>
      </c>
      <c r="F856">
        <v>-569.60000000000036</v>
      </c>
      <c r="G856">
        <v>-2253.1000000000004</v>
      </c>
      <c r="J856">
        <v>812</v>
      </c>
      <c r="K856">
        <v>0</v>
      </c>
      <c r="L856">
        <v>0</v>
      </c>
      <c r="M856">
        <v>0</v>
      </c>
      <c r="N856">
        <v>208</v>
      </c>
      <c r="O856">
        <v>159</v>
      </c>
      <c r="P856">
        <v>303</v>
      </c>
      <c r="S856">
        <v>812</v>
      </c>
      <c r="T856">
        <v>906.59999999999945</v>
      </c>
      <c r="U856">
        <v>938.97499999999945</v>
      </c>
      <c r="V856">
        <v>906.60000000000036</v>
      </c>
      <c r="W856">
        <v>-1126.4500000000007</v>
      </c>
      <c r="X856">
        <v>2250.3249999999998</v>
      </c>
      <c r="Y856">
        <v>2423.1999999999998</v>
      </c>
    </row>
    <row r="857" spans="1:25" x14ac:dyDescent="0.35">
      <c r="A857">
        <v>813</v>
      </c>
      <c r="B857">
        <v>906.59999999999945</v>
      </c>
      <c r="C857">
        <v>990.77499999999964</v>
      </c>
      <c r="D857">
        <v>906.60000000000036</v>
      </c>
      <c r="E857">
        <v>-841.55000000000018</v>
      </c>
      <c r="F857">
        <v>-466</v>
      </c>
      <c r="G857">
        <v>-2097.7000000000007</v>
      </c>
      <c r="J857">
        <v>813</v>
      </c>
      <c r="K857">
        <v>0</v>
      </c>
      <c r="L857">
        <v>0</v>
      </c>
      <c r="M857">
        <v>0</v>
      </c>
      <c r="N857">
        <v>218</v>
      </c>
      <c r="O857">
        <v>181</v>
      </c>
      <c r="P857">
        <v>306</v>
      </c>
      <c r="S857">
        <v>813</v>
      </c>
      <c r="T857">
        <v>906.59999999999945</v>
      </c>
      <c r="U857">
        <v>990.77499999999964</v>
      </c>
      <c r="V857">
        <v>906.59999999999945</v>
      </c>
      <c r="W857">
        <v>351.61070851116779</v>
      </c>
      <c r="X857">
        <v>2227.9499999999998</v>
      </c>
      <c r="Y857">
        <v>2415.1999999999998</v>
      </c>
    </row>
    <row r="858" spans="1:25" x14ac:dyDescent="0.35">
      <c r="A858">
        <v>814</v>
      </c>
      <c r="B858">
        <v>906.59999999999945</v>
      </c>
      <c r="C858">
        <v>971.34999999999854</v>
      </c>
      <c r="D858">
        <v>919.55000000000018</v>
      </c>
      <c r="E858">
        <v>-919.25</v>
      </c>
      <c r="F858">
        <v>-576.07500000000073</v>
      </c>
      <c r="G858">
        <v>-2304.9000000000005</v>
      </c>
      <c r="J858">
        <v>814</v>
      </c>
      <c r="K858">
        <v>0</v>
      </c>
      <c r="L858">
        <v>0</v>
      </c>
      <c r="M858">
        <v>0</v>
      </c>
      <c r="N858">
        <v>235</v>
      </c>
      <c r="O858">
        <v>192</v>
      </c>
      <c r="P858">
        <v>320</v>
      </c>
      <c r="S858">
        <v>814</v>
      </c>
      <c r="T858">
        <v>906.59999999999945</v>
      </c>
      <c r="U858">
        <v>971.34999999999945</v>
      </c>
      <c r="V858">
        <v>906.59999999999945</v>
      </c>
      <c r="W858">
        <v>8.2316733383797782</v>
      </c>
      <c r="X858">
        <v>-368.49089517195728</v>
      </c>
      <c r="Y858">
        <v>2449.1999999999989</v>
      </c>
    </row>
    <row r="859" spans="1:25" x14ac:dyDescent="0.35">
      <c r="A859">
        <v>815</v>
      </c>
      <c r="B859">
        <v>906.59999999999945</v>
      </c>
      <c r="C859">
        <v>964.87499999999909</v>
      </c>
      <c r="D859">
        <v>880.69999999999982</v>
      </c>
      <c r="E859">
        <v>-1048.75</v>
      </c>
      <c r="F859">
        <v>-453.05000000000018</v>
      </c>
      <c r="G859">
        <v>-2162.4500000000007</v>
      </c>
      <c r="J859">
        <v>815</v>
      </c>
      <c r="K859">
        <v>0</v>
      </c>
      <c r="L859">
        <v>0</v>
      </c>
      <c r="M859">
        <v>0</v>
      </c>
      <c r="N859">
        <v>235</v>
      </c>
      <c r="O859">
        <v>186</v>
      </c>
      <c r="P859">
        <v>321</v>
      </c>
      <c r="S859">
        <v>815</v>
      </c>
      <c r="T859">
        <v>906.59999999999945</v>
      </c>
      <c r="U859">
        <v>1016.6749999999993</v>
      </c>
      <c r="V859">
        <v>906.59999999999945</v>
      </c>
      <c r="W859">
        <v>2271.1999999999994</v>
      </c>
      <c r="X859">
        <v>2236.0499999999993</v>
      </c>
      <c r="Y859">
        <v>2513.1999999999998</v>
      </c>
    </row>
    <row r="860" spans="1:25" x14ac:dyDescent="0.35">
      <c r="A860">
        <v>816</v>
      </c>
      <c r="B860">
        <v>906.59999999999945</v>
      </c>
      <c r="C860">
        <v>997.24999999999909</v>
      </c>
      <c r="D860">
        <v>906.59999999999945</v>
      </c>
      <c r="E860">
        <v>-1048.75</v>
      </c>
      <c r="F860">
        <v>-485.42500000000018</v>
      </c>
      <c r="G860">
        <v>-2538</v>
      </c>
      <c r="J860">
        <v>816</v>
      </c>
      <c r="K860">
        <v>0</v>
      </c>
      <c r="L860">
        <v>0</v>
      </c>
      <c r="M860">
        <v>0</v>
      </c>
      <c r="N860">
        <v>206</v>
      </c>
      <c r="O860">
        <v>185</v>
      </c>
      <c r="P860">
        <v>316</v>
      </c>
      <c r="S860">
        <v>816</v>
      </c>
      <c r="T860">
        <v>906.59999999999945</v>
      </c>
      <c r="U860">
        <v>932.5</v>
      </c>
      <c r="V860">
        <v>906.59999999999945</v>
      </c>
      <c r="W860">
        <v>1781.7555366604242</v>
      </c>
      <c r="X860">
        <v>2214.9</v>
      </c>
      <c r="Y860">
        <v>2439.1999999999989</v>
      </c>
    </row>
    <row r="861" spans="1:25" x14ac:dyDescent="0.35">
      <c r="A861">
        <v>817</v>
      </c>
      <c r="B861">
        <v>906.59999999999945</v>
      </c>
      <c r="C861">
        <v>958.39999999999964</v>
      </c>
      <c r="D861">
        <v>906.60000000000036</v>
      </c>
      <c r="E861">
        <v>-893.35000000000036</v>
      </c>
      <c r="F861">
        <v>-239.375</v>
      </c>
      <c r="G861">
        <v>-2266.0500000000002</v>
      </c>
      <c r="J861">
        <v>817</v>
      </c>
      <c r="K861">
        <v>0</v>
      </c>
      <c r="L861">
        <v>0</v>
      </c>
      <c r="M861">
        <v>0</v>
      </c>
      <c r="N861">
        <v>205</v>
      </c>
      <c r="O861">
        <v>170</v>
      </c>
      <c r="P861">
        <v>332</v>
      </c>
      <c r="S861">
        <v>817</v>
      </c>
      <c r="T861">
        <v>906.59999999999945</v>
      </c>
      <c r="U861">
        <v>971.34999999999945</v>
      </c>
      <c r="V861">
        <v>906.59999999999945</v>
      </c>
      <c r="W861">
        <v>2321.1999999999994</v>
      </c>
      <c r="X861">
        <v>2270.3249999999998</v>
      </c>
      <c r="Y861">
        <v>-730.9380538995897</v>
      </c>
    </row>
    <row r="862" spans="1:25" x14ac:dyDescent="0.35">
      <c r="A862">
        <v>818</v>
      </c>
      <c r="B862">
        <v>906.59999999999945</v>
      </c>
      <c r="C862">
        <v>977.82499999999891</v>
      </c>
      <c r="D862">
        <v>906.59999999999945</v>
      </c>
      <c r="E862">
        <v>-1346.6000000000004</v>
      </c>
      <c r="F862">
        <v>-621.40000000000055</v>
      </c>
      <c r="G862">
        <v>-2408.5</v>
      </c>
      <c r="J862">
        <v>818</v>
      </c>
      <c r="K862">
        <v>0</v>
      </c>
      <c r="L862">
        <v>0</v>
      </c>
      <c r="M862">
        <v>0</v>
      </c>
      <c r="N862">
        <v>218</v>
      </c>
      <c r="O862">
        <v>190</v>
      </c>
      <c r="P862">
        <v>334</v>
      </c>
      <c r="S862">
        <v>818</v>
      </c>
      <c r="T862">
        <v>906.59999999999945</v>
      </c>
      <c r="U862">
        <v>932.5</v>
      </c>
      <c r="V862">
        <v>906.59999999999945</v>
      </c>
      <c r="W862">
        <v>2239.1999999999994</v>
      </c>
      <c r="X862">
        <v>-348.83248132740528</v>
      </c>
      <c r="Y862">
        <v>2479.1999999999989</v>
      </c>
    </row>
    <row r="863" spans="1:25" x14ac:dyDescent="0.35">
      <c r="A863">
        <v>819</v>
      </c>
      <c r="B863">
        <v>906.59999999999945</v>
      </c>
      <c r="C863">
        <v>971.34999999999945</v>
      </c>
      <c r="D863">
        <v>906.60000000000036</v>
      </c>
      <c r="E863">
        <v>-1126.4500000000007</v>
      </c>
      <c r="F863">
        <v>-388.30000000000018</v>
      </c>
      <c r="G863">
        <v>-1942.3000000000002</v>
      </c>
      <c r="J863">
        <v>819</v>
      </c>
      <c r="K863">
        <v>0</v>
      </c>
      <c r="L863">
        <v>0</v>
      </c>
      <c r="M863">
        <v>0</v>
      </c>
      <c r="N863">
        <v>228</v>
      </c>
      <c r="O863">
        <v>188</v>
      </c>
      <c r="P863">
        <v>333</v>
      </c>
      <c r="S863">
        <v>819</v>
      </c>
      <c r="T863">
        <v>906.59999999999945</v>
      </c>
      <c r="U863">
        <v>1003.7249999999995</v>
      </c>
      <c r="V863">
        <v>906.59999999999945</v>
      </c>
      <c r="W863">
        <v>2217.1999999999989</v>
      </c>
      <c r="X863">
        <v>2299.85</v>
      </c>
      <c r="Y863">
        <v>1381.4785718939011</v>
      </c>
    </row>
    <row r="864" spans="1:25" x14ac:dyDescent="0.35">
      <c r="A864">
        <v>820</v>
      </c>
      <c r="B864">
        <v>906.59999999999945</v>
      </c>
      <c r="C864">
        <v>964.87499999999909</v>
      </c>
      <c r="D864">
        <v>906.60000000000036</v>
      </c>
      <c r="E864">
        <v>-1230.0500000000002</v>
      </c>
      <c r="F864">
        <v>-420.67500000000018</v>
      </c>
      <c r="G864">
        <v>-2201.3000000000002</v>
      </c>
      <c r="J864">
        <v>820</v>
      </c>
      <c r="K864">
        <v>0</v>
      </c>
      <c r="L864">
        <v>0</v>
      </c>
      <c r="M864">
        <v>0</v>
      </c>
      <c r="N864">
        <v>233</v>
      </c>
      <c r="O864">
        <v>183</v>
      </c>
      <c r="P864">
        <v>319</v>
      </c>
      <c r="S864">
        <v>820</v>
      </c>
      <c r="T864">
        <v>906.59999999999945</v>
      </c>
      <c r="U864">
        <v>984.29999999999927</v>
      </c>
      <c r="V864">
        <v>906.59999999999945</v>
      </c>
      <c r="W864">
        <v>2118.2041656936299</v>
      </c>
      <c r="X864">
        <v>2282.3249999999998</v>
      </c>
      <c r="Y864">
        <v>2427.1999999999989</v>
      </c>
    </row>
    <row r="865" spans="1:25" x14ac:dyDescent="0.35">
      <c r="A865">
        <v>821</v>
      </c>
      <c r="B865">
        <v>906.59999999999945</v>
      </c>
      <c r="C865">
        <v>971.34999999999945</v>
      </c>
      <c r="D865">
        <v>906.59999999999945</v>
      </c>
      <c r="E865">
        <v>-958.10000000000036</v>
      </c>
      <c r="F865">
        <v>-563.125</v>
      </c>
      <c r="G865">
        <v>-2317.8500000000004</v>
      </c>
      <c r="J865">
        <v>821</v>
      </c>
      <c r="K865">
        <v>0</v>
      </c>
      <c r="L865">
        <v>0</v>
      </c>
      <c r="M865">
        <v>0</v>
      </c>
      <c r="N865">
        <v>247</v>
      </c>
      <c r="O865">
        <v>165</v>
      </c>
      <c r="P865">
        <v>327</v>
      </c>
      <c r="S865">
        <v>821</v>
      </c>
      <c r="T865">
        <v>906.59999999999945</v>
      </c>
      <c r="U865">
        <v>958.39999999999964</v>
      </c>
      <c r="V865">
        <v>906.60000000000036</v>
      </c>
      <c r="W865">
        <v>1459.9797157226808</v>
      </c>
      <c r="X865">
        <v>1945.5010433980342</v>
      </c>
      <c r="Y865">
        <v>2435.1999999999998</v>
      </c>
    </row>
    <row r="866" spans="1:25" x14ac:dyDescent="0.35">
      <c r="A866">
        <v>822</v>
      </c>
      <c r="B866">
        <v>906.59999999999945</v>
      </c>
      <c r="C866">
        <v>932.5</v>
      </c>
      <c r="D866">
        <v>906.59999999999945</v>
      </c>
      <c r="E866">
        <v>-1113.5</v>
      </c>
      <c r="F866">
        <v>-569.60000000000036</v>
      </c>
      <c r="G866">
        <v>-2486.1999999999998</v>
      </c>
      <c r="J866">
        <v>822</v>
      </c>
      <c r="K866">
        <v>0</v>
      </c>
      <c r="L866">
        <v>0</v>
      </c>
      <c r="M866">
        <v>0</v>
      </c>
      <c r="N866">
        <v>217</v>
      </c>
      <c r="O866">
        <v>194</v>
      </c>
      <c r="P866">
        <v>309</v>
      </c>
      <c r="S866">
        <v>822</v>
      </c>
      <c r="T866">
        <v>906.59999999999945</v>
      </c>
      <c r="U866">
        <v>964.875</v>
      </c>
      <c r="V866">
        <v>906.60000000000036</v>
      </c>
      <c r="W866">
        <v>-643.48361979902597</v>
      </c>
      <c r="X866">
        <v>2203.9499999999994</v>
      </c>
      <c r="Y866">
        <v>2443.1999999999998</v>
      </c>
    </row>
    <row r="867" spans="1:25" x14ac:dyDescent="0.35">
      <c r="A867">
        <v>823</v>
      </c>
      <c r="B867">
        <v>906.59999999999945</v>
      </c>
      <c r="C867">
        <v>984.29999999999927</v>
      </c>
      <c r="D867">
        <v>906.59999999999945</v>
      </c>
      <c r="E867">
        <v>-932.20000000000073</v>
      </c>
      <c r="F867">
        <v>-375.35000000000036</v>
      </c>
      <c r="G867">
        <v>-2136.5500000000002</v>
      </c>
      <c r="J867">
        <v>823</v>
      </c>
      <c r="K867">
        <v>0</v>
      </c>
      <c r="L867">
        <v>0</v>
      </c>
      <c r="M867">
        <v>0</v>
      </c>
      <c r="N867">
        <v>206</v>
      </c>
      <c r="O867">
        <v>170</v>
      </c>
      <c r="P867">
        <v>319</v>
      </c>
      <c r="S867">
        <v>823</v>
      </c>
      <c r="T867">
        <v>906.59999999999945</v>
      </c>
      <c r="U867">
        <v>990.77499999999964</v>
      </c>
      <c r="V867">
        <v>906.59999999999945</v>
      </c>
      <c r="W867">
        <v>1668.2565958537843</v>
      </c>
      <c r="X867">
        <v>2224.4249999999993</v>
      </c>
      <c r="Y867">
        <v>2479.1999999999989</v>
      </c>
    </row>
    <row r="868" spans="1:25" x14ac:dyDescent="0.35">
      <c r="A868">
        <v>824</v>
      </c>
      <c r="B868">
        <v>906.59999999999945</v>
      </c>
      <c r="C868">
        <v>984.29999999999927</v>
      </c>
      <c r="D868">
        <v>906.60000000000036</v>
      </c>
      <c r="E868">
        <v>-1100.5500000000002</v>
      </c>
      <c r="F868">
        <v>-686.15000000000055</v>
      </c>
      <c r="G868">
        <v>-2369.6500000000005</v>
      </c>
      <c r="J868">
        <v>824</v>
      </c>
      <c r="K868">
        <v>0</v>
      </c>
      <c r="L868">
        <v>0</v>
      </c>
      <c r="M868">
        <v>0</v>
      </c>
      <c r="N868">
        <v>227</v>
      </c>
      <c r="O868">
        <v>208</v>
      </c>
      <c r="P868">
        <v>328</v>
      </c>
      <c r="S868">
        <v>824</v>
      </c>
      <c r="T868">
        <v>906.59999999999945</v>
      </c>
      <c r="U868">
        <v>977.82499999999982</v>
      </c>
      <c r="V868">
        <v>906.59999999999945</v>
      </c>
      <c r="W868">
        <v>1869.7606064904385</v>
      </c>
      <c r="X868">
        <v>2198.9999999999995</v>
      </c>
      <c r="Y868">
        <v>2471.1999999999998</v>
      </c>
    </row>
    <row r="869" spans="1:25" x14ac:dyDescent="0.35">
      <c r="A869">
        <v>825</v>
      </c>
      <c r="B869">
        <v>906.59999999999945</v>
      </c>
      <c r="C869">
        <v>1003.7249999999995</v>
      </c>
      <c r="D869">
        <v>906.60000000000036</v>
      </c>
      <c r="E869">
        <v>-984</v>
      </c>
      <c r="F869">
        <v>-485.42500000000109</v>
      </c>
      <c r="G869">
        <v>-2266.0500000000002</v>
      </c>
      <c r="J869">
        <v>825</v>
      </c>
      <c r="K869">
        <v>0</v>
      </c>
      <c r="L869">
        <v>0</v>
      </c>
      <c r="M869">
        <v>0</v>
      </c>
      <c r="N869">
        <v>218</v>
      </c>
      <c r="O869">
        <v>185</v>
      </c>
      <c r="P869">
        <v>354</v>
      </c>
      <c r="S869">
        <v>825</v>
      </c>
      <c r="T869">
        <v>906.59999999999945</v>
      </c>
      <c r="U869">
        <v>938.97500000000036</v>
      </c>
      <c r="V869">
        <v>906.59999999999945</v>
      </c>
      <c r="W869">
        <v>2237.1999999999989</v>
      </c>
      <c r="X869">
        <v>2246.8999999999992</v>
      </c>
      <c r="Y869">
        <v>2465.1999999999998</v>
      </c>
    </row>
    <row r="870" spans="1:25" x14ac:dyDescent="0.35">
      <c r="A870">
        <v>826</v>
      </c>
      <c r="B870">
        <v>906.59999999999945</v>
      </c>
      <c r="C870">
        <v>1010.1999999999989</v>
      </c>
      <c r="D870">
        <v>906.60000000000036</v>
      </c>
      <c r="E870">
        <v>-1022.8500000000004</v>
      </c>
      <c r="F870">
        <v>-232.90000000000055</v>
      </c>
      <c r="G870">
        <v>-2214.25</v>
      </c>
      <c r="J870">
        <v>826</v>
      </c>
      <c r="K870">
        <v>0</v>
      </c>
      <c r="L870">
        <v>0</v>
      </c>
      <c r="M870">
        <v>0</v>
      </c>
      <c r="N870">
        <v>220</v>
      </c>
      <c r="O870">
        <v>187</v>
      </c>
      <c r="P870">
        <v>318</v>
      </c>
      <c r="S870">
        <v>826</v>
      </c>
      <c r="T870">
        <v>906.59999999999945</v>
      </c>
      <c r="U870">
        <v>971.34999999999945</v>
      </c>
      <c r="V870">
        <v>906.59999999999945</v>
      </c>
      <c r="W870">
        <v>2223.1999999999998</v>
      </c>
      <c r="X870">
        <v>-81.163098506109577</v>
      </c>
      <c r="Y870">
        <v>-1009.9783165905601</v>
      </c>
    </row>
    <row r="871" spans="1:25" x14ac:dyDescent="0.35">
      <c r="A871">
        <v>827</v>
      </c>
      <c r="B871">
        <v>906.59999999999945</v>
      </c>
      <c r="C871">
        <v>1003.7250000000004</v>
      </c>
      <c r="D871">
        <v>906.59999999999945</v>
      </c>
      <c r="E871">
        <v>-1165.3000000000002</v>
      </c>
      <c r="F871">
        <v>-485.42500000000109</v>
      </c>
      <c r="G871">
        <v>-1916.4000000000005</v>
      </c>
      <c r="J871">
        <v>827</v>
      </c>
      <c r="K871">
        <v>0</v>
      </c>
      <c r="L871">
        <v>0</v>
      </c>
      <c r="M871">
        <v>0</v>
      </c>
      <c r="N871">
        <v>227</v>
      </c>
      <c r="O871">
        <v>175</v>
      </c>
      <c r="P871">
        <v>304</v>
      </c>
      <c r="S871">
        <v>827</v>
      </c>
      <c r="T871">
        <v>906.59999999999945</v>
      </c>
      <c r="U871">
        <v>984.29999999999927</v>
      </c>
      <c r="V871">
        <v>906.60000000000036</v>
      </c>
      <c r="W871">
        <v>2291.1999999999994</v>
      </c>
      <c r="X871">
        <v>2202.5250000000001</v>
      </c>
      <c r="Y871">
        <v>613.18246522247591</v>
      </c>
    </row>
    <row r="872" spans="1:25" x14ac:dyDescent="0.35">
      <c r="A872">
        <v>828</v>
      </c>
      <c r="B872">
        <v>906.59999999999945</v>
      </c>
      <c r="C872">
        <v>964.87499999999909</v>
      </c>
      <c r="D872">
        <v>906.59999999999945</v>
      </c>
      <c r="E872">
        <v>-1294.8000000000002</v>
      </c>
      <c r="F872">
        <v>-459.52500000000055</v>
      </c>
      <c r="G872">
        <v>-2317.8500000000004</v>
      </c>
      <c r="J872">
        <v>828</v>
      </c>
      <c r="K872">
        <v>0</v>
      </c>
      <c r="L872">
        <v>0</v>
      </c>
      <c r="M872">
        <v>0</v>
      </c>
      <c r="N872">
        <v>217</v>
      </c>
      <c r="O872">
        <v>184</v>
      </c>
      <c r="P872">
        <v>311</v>
      </c>
      <c r="S872">
        <v>828</v>
      </c>
      <c r="T872">
        <v>906.59999999999945</v>
      </c>
      <c r="U872">
        <v>997.25</v>
      </c>
      <c r="V872">
        <v>916.59999999999945</v>
      </c>
      <c r="W872">
        <v>2241.1999999999994</v>
      </c>
      <c r="X872">
        <v>1863.0832199996694</v>
      </c>
      <c r="Y872">
        <v>2413.1999999999998</v>
      </c>
    </row>
    <row r="873" spans="1:25" x14ac:dyDescent="0.35">
      <c r="A873">
        <v>829</v>
      </c>
      <c r="B873">
        <v>906.59999999999945</v>
      </c>
      <c r="C873">
        <v>997.25</v>
      </c>
      <c r="D873">
        <v>906.59999999999945</v>
      </c>
      <c r="E873">
        <v>-1398.4000000000005</v>
      </c>
      <c r="F873">
        <v>-245.85000000000036</v>
      </c>
      <c r="G873">
        <v>-2162.4500000000007</v>
      </c>
      <c r="J873">
        <v>829</v>
      </c>
      <c r="K873">
        <v>0</v>
      </c>
      <c r="L873">
        <v>0</v>
      </c>
      <c r="M873">
        <v>0</v>
      </c>
      <c r="N873">
        <v>226</v>
      </c>
      <c r="O873">
        <v>183</v>
      </c>
      <c r="P873">
        <v>333</v>
      </c>
      <c r="S873">
        <v>829</v>
      </c>
      <c r="T873">
        <v>906.59999999999945</v>
      </c>
      <c r="U873">
        <v>1003.7249999999985</v>
      </c>
      <c r="V873">
        <v>906.60000000000036</v>
      </c>
      <c r="W873">
        <v>2261.1999999999994</v>
      </c>
      <c r="X873">
        <v>2258.8999999999992</v>
      </c>
      <c r="Y873">
        <v>287.36563172352317</v>
      </c>
    </row>
    <row r="874" spans="1:25" x14ac:dyDescent="0.35">
      <c r="A874">
        <v>830</v>
      </c>
      <c r="B874">
        <v>906.59999999999945</v>
      </c>
      <c r="C874">
        <v>958.39999999999964</v>
      </c>
      <c r="D874">
        <v>841.84999999999945</v>
      </c>
      <c r="E874">
        <v>-841.55000000000018</v>
      </c>
      <c r="F874">
        <v>-336.5</v>
      </c>
      <c r="G874">
        <v>-1981.1500000000005</v>
      </c>
      <c r="J874">
        <v>830</v>
      </c>
      <c r="K874">
        <v>0</v>
      </c>
      <c r="L874">
        <v>0</v>
      </c>
      <c r="M874">
        <v>0</v>
      </c>
      <c r="N874">
        <v>249</v>
      </c>
      <c r="O874">
        <v>182</v>
      </c>
      <c r="P874">
        <v>348</v>
      </c>
      <c r="S874">
        <v>830</v>
      </c>
      <c r="T874">
        <v>906.59999999999945</v>
      </c>
      <c r="U874">
        <v>990.77499999999964</v>
      </c>
      <c r="V874">
        <v>906.59999999999945</v>
      </c>
      <c r="W874">
        <v>1923.0147860986635</v>
      </c>
      <c r="X874">
        <v>2297.375</v>
      </c>
      <c r="Y874">
        <v>1913.8794761229356</v>
      </c>
    </row>
    <row r="875" spans="1:25" x14ac:dyDescent="0.35">
      <c r="A875">
        <v>831</v>
      </c>
      <c r="B875">
        <v>906.59999999999945</v>
      </c>
      <c r="C875">
        <v>977.82499999999982</v>
      </c>
      <c r="D875">
        <v>906.60000000000036</v>
      </c>
      <c r="E875">
        <v>-1113.5</v>
      </c>
      <c r="F875">
        <v>-258.80000000000018</v>
      </c>
      <c r="G875">
        <v>-2434.4000000000005</v>
      </c>
      <c r="J875">
        <v>831</v>
      </c>
      <c r="K875">
        <v>0</v>
      </c>
      <c r="L875">
        <v>0</v>
      </c>
      <c r="M875">
        <v>0</v>
      </c>
      <c r="N875">
        <v>236</v>
      </c>
      <c r="O875">
        <v>186</v>
      </c>
      <c r="P875">
        <v>297</v>
      </c>
      <c r="S875">
        <v>831</v>
      </c>
      <c r="T875">
        <v>906.59999999999945</v>
      </c>
      <c r="U875">
        <v>945.44999999999891</v>
      </c>
      <c r="V875">
        <v>906.59999999999945</v>
      </c>
      <c r="W875">
        <v>-992.84188194146736</v>
      </c>
      <c r="X875">
        <v>2219.474999999999</v>
      </c>
      <c r="Y875">
        <v>1299.007446378253</v>
      </c>
    </row>
    <row r="876" spans="1:25" x14ac:dyDescent="0.35">
      <c r="A876">
        <v>832</v>
      </c>
      <c r="B876">
        <v>906.59999999999945</v>
      </c>
      <c r="C876">
        <v>971.34999999999945</v>
      </c>
      <c r="D876">
        <v>906.59999999999945</v>
      </c>
      <c r="E876">
        <v>-1022.8500000000004</v>
      </c>
      <c r="F876">
        <v>-420.67500000000109</v>
      </c>
      <c r="G876">
        <v>-2291.9499999999998</v>
      </c>
      <c r="J876">
        <v>832</v>
      </c>
      <c r="K876">
        <v>0</v>
      </c>
      <c r="L876">
        <v>0</v>
      </c>
      <c r="M876">
        <v>0</v>
      </c>
      <c r="N876">
        <v>229</v>
      </c>
      <c r="O876">
        <v>186</v>
      </c>
      <c r="P876">
        <v>321</v>
      </c>
      <c r="S876">
        <v>832</v>
      </c>
      <c r="T876">
        <v>906.59999999999945</v>
      </c>
      <c r="U876">
        <v>964.875</v>
      </c>
      <c r="V876">
        <v>906.59999999999945</v>
      </c>
      <c r="W876">
        <v>2293.1999999999998</v>
      </c>
      <c r="X876">
        <v>2183.4749999999995</v>
      </c>
      <c r="Y876">
        <v>2465.1999999999998</v>
      </c>
    </row>
    <row r="877" spans="1:25" x14ac:dyDescent="0.35">
      <c r="A877">
        <v>833</v>
      </c>
      <c r="B877">
        <v>906.59999999999945</v>
      </c>
      <c r="C877">
        <v>990.77499999999873</v>
      </c>
      <c r="D877">
        <v>906.60000000000036</v>
      </c>
      <c r="E877">
        <v>-1255.9500000000007</v>
      </c>
      <c r="F877">
        <v>-135.77499999999964</v>
      </c>
      <c r="G877">
        <v>-2563.9000000000005</v>
      </c>
      <c r="J877">
        <v>833</v>
      </c>
      <c r="K877">
        <v>0</v>
      </c>
      <c r="L877">
        <v>0</v>
      </c>
      <c r="M877">
        <v>0</v>
      </c>
      <c r="N877">
        <v>225</v>
      </c>
      <c r="O877">
        <v>172</v>
      </c>
      <c r="P877">
        <v>325</v>
      </c>
      <c r="S877">
        <v>833</v>
      </c>
      <c r="T877">
        <v>906.59999999999945</v>
      </c>
      <c r="U877">
        <v>984.29999999999927</v>
      </c>
      <c r="V877">
        <v>906.59999999999945</v>
      </c>
      <c r="W877">
        <v>2253.1999999999998</v>
      </c>
      <c r="X877">
        <v>2254.5249999999992</v>
      </c>
      <c r="Y877">
        <v>2465.1999999999998</v>
      </c>
    </row>
    <row r="878" spans="1:25" x14ac:dyDescent="0.35">
      <c r="A878">
        <v>834</v>
      </c>
      <c r="B878">
        <v>906.59999999999945</v>
      </c>
      <c r="C878">
        <v>990.77499999999964</v>
      </c>
      <c r="D878">
        <v>906.59999999999945</v>
      </c>
      <c r="E878">
        <v>-971.05000000000018</v>
      </c>
      <c r="F878">
        <v>-673.20000000000073</v>
      </c>
      <c r="G878">
        <v>-2667.5</v>
      </c>
      <c r="J878">
        <v>834</v>
      </c>
      <c r="K878">
        <v>0</v>
      </c>
      <c r="L878">
        <v>0</v>
      </c>
      <c r="M878">
        <v>0</v>
      </c>
      <c r="N878">
        <v>209</v>
      </c>
      <c r="O878">
        <v>177</v>
      </c>
      <c r="P878">
        <v>318</v>
      </c>
      <c r="S878">
        <v>834</v>
      </c>
      <c r="T878">
        <v>906.59999999999945</v>
      </c>
      <c r="U878">
        <v>958.39999999999964</v>
      </c>
      <c r="V878">
        <v>906.60000000000036</v>
      </c>
      <c r="W878">
        <v>2273.1999999999998</v>
      </c>
      <c r="X878">
        <v>443.66532005218164</v>
      </c>
      <c r="Y878">
        <v>-549.0297978722208</v>
      </c>
    </row>
    <row r="879" spans="1:25" x14ac:dyDescent="0.35">
      <c r="A879">
        <v>835</v>
      </c>
      <c r="B879">
        <v>906.59999999999945</v>
      </c>
      <c r="C879">
        <v>1003.7249999999995</v>
      </c>
      <c r="D879">
        <v>906.59999999999945</v>
      </c>
      <c r="E879">
        <v>-1243</v>
      </c>
      <c r="F879">
        <v>-712.05000000000018</v>
      </c>
      <c r="G879">
        <v>-2356.6999999999998</v>
      </c>
      <c r="J879">
        <v>835</v>
      </c>
      <c r="K879">
        <v>0</v>
      </c>
      <c r="L879">
        <v>0</v>
      </c>
      <c r="M879">
        <v>0</v>
      </c>
      <c r="N879">
        <v>239</v>
      </c>
      <c r="O879">
        <v>178</v>
      </c>
      <c r="P879">
        <v>325</v>
      </c>
      <c r="S879">
        <v>835</v>
      </c>
      <c r="T879">
        <v>906.59999999999945</v>
      </c>
      <c r="U879">
        <v>997.25</v>
      </c>
      <c r="V879">
        <v>906.59999999999945</v>
      </c>
      <c r="W879">
        <v>1605.5469448640697</v>
      </c>
      <c r="X879">
        <v>1473.8824780646739</v>
      </c>
      <c r="Y879">
        <v>2465.1999999999998</v>
      </c>
    </row>
    <row r="880" spans="1:25" x14ac:dyDescent="0.35">
      <c r="A880">
        <v>836</v>
      </c>
      <c r="B880">
        <v>906.59999999999945</v>
      </c>
      <c r="C880">
        <v>964.875</v>
      </c>
      <c r="D880">
        <v>906.59999999999945</v>
      </c>
      <c r="E880">
        <v>-1061.7000000000007</v>
      </c>
      <c r="F880">
        <v>-478.95000000000073</v>
      </c>
      <c r="G880">
        <v>-2253.1000000000004</v>
      </c>
      <c r="J880">
        <v>836</v>
      </c>
      <c r="K880">
        <v>0</v>
      </c>
      <c r="L880">
        <v>0</v>
      </c>
      <c r="M880">
        <v>0</v>
      </c>
      <c r="N880">
        <v>246</v>
      </c>
      <c r="O880">
        <v>194</v>
      </c>
      <c r="P880">
        <v>360</v>
      </c>
      <c r="S880">
        <v>836</v>
      </c>
      <c r="T880">
        <v>906.59999999999945</v>
      </c>
      <c r="U880">
        <v>971.35000000000036</v>
      </c>
      <c r="V880">
        <v>906.59999999999945</v>
      </c>
      <c r="W880">
        <v>2271.1999999999994</v>
      </c>
      <c r="X880">
        <v>783.63503879068003</v>
      </c>
      <c r="Y880">
        <v>742.79656919078934</v>
      </c>
    </row>
    <row r="881" spans="1:25" x14ac:dyDescent="0.35">
      <c r="A881">
        <v>837</v>
      </c>
      <c r="B881">
        <v>906.59999999999945</v>
      </c>
      <c r="C881">
        <v>977.82499999999982</v>
      </c>
      <c r="D881">
        <v>906.59999999999945</v>
      </c>
      <c r="E881">
        <v>-971.05000000000018</v>
      </c>
      <c r="F881">
        <v>-498.375</v>
      </c>
      <c r="G881">
        <v>-2304.9000000000005</v>
      </c>
      <c r="J881">
        <v>837</v>
      </c>
      <c r="K881">
        <v>0</v>
      </c>
      <c r="L881">
        <v>0</v>
      </c>
      <c r="M881">
        <v>0</v>
      </c>
      <c r="N881">
        <v>220</v>
      </c>
      <c r="O881">
        <v>155</v>
      </c>
      <c r="P881">
        <v>310</v>
      </c>
      <c r="S881">
        <v>837</v>
      </c>
      <c r="T881">
        <v>906.59999999999945</v>
      </c>
      <c r="U881">
        <v>997.25</v>
      </c>
      <c r="V881">
        <v>906.59999999999945</v>
      </c>
      <c r="W881">
        <v>2223.1999999999998</v>
      </c>
      <c r="X881">
        <v>2242.4249999999997</v>
      </c>
      <c r="Y881">
        <v>323.17309718799879</v>
      </c>
    </row>
    <row r="882" spans="1:25" x14ac:dyDescent="0.35">
      <c r="A882">
        <v>838</v>
      </c>
      <c r="B882">
        <v>906.59999999999945</v>
      </c>
      <c r="C882">
        <v>990.77499999999964</v>
      </c>
      <c r="D882">
        <v>906.59999999999945</v>
      </c>
      <c r="E882">
        <v>-971.05000000000018</v>
      </c>
      <c r="F882">
        <v>-25.700000000000728</v>
      </c>
      <c r="G882">
        <v>-2421.4499999999998</v>
      </c>
      <c r="J882">
        <v>838</v>
      </c>
      <c r="K882">
        <v>0</v>
      </c>
      <c r="L882">
        <v>0</v>
      </c>
      <c r="M882">
        <v>0</v>
      </c>
      <c r="N882">
        <v>231</v>
      </c>
      <c r="O882">
        <v>169</v>
      </c>
      <c r="P882">
        <v>311</v>
      </c>
      <c r="S882">
        <v>838</v>
      </c>
      <c r="T882">
        <v>906.59999999999945</v>
      </c>
      <c r="U882">
        <v>964.87499999999909</v>
      </c>
      <c r="V882">
        <v>906.60000000000036</v>
      </c>
      <c r="W882">
        <v>2277.1999999999989</v>
      </c>
      <c r="X882">
        <v>2185.5749999999998</v>
      </c>
      <c r="Y882">
        <v>2473.1999999999998</v>
      </c>
    </row>
    <row r="883" spans="1:25" x14ac:dyDescent="0.35">
      <c r="A883">
        <v>839</v>
      </c>
      <c r="B883">
        <v>906.59999999999945</v>
      </c>
      <c r="C883">
        <v>997.24999999999909</v>
      </c>
      <c r="D883">
        <v>906.59999999999945</v>
      </c>
      <c r="E883">
        <v>-854.5</v>
      </c>
      <c r="F883">
        <v>-304.125</v>
      </c>
      <c r="G883">
        <v>-2266.0500000000002</v>
      </c>
      <c r="J883">
        <v>839</v>
      </c>
      <c r="K883">
        <v>0</v>
      </c>
      <c r="L883">
        <v>0</v>
      </c>
      <c r="M883">
        <v>0</v>
      </c>
      <c r="N883">
        <v>228</v>
      </c>
      <c r="O883">
        <v>192</v>
      </c>
      <c r="P883">
        <v>309</v>
      </c>
      <c r="S883">
        <v>839</v>
      </c>
      <c r="T883">
        <v>906.59999999999945</v>
      </c>
      <c r="U883">
        <v>984.29999999999927</v>
      </c>
      <c r="V883">
        <v>906.60000000000036</v>
      </c>
      <c r="W883">
        <v>2279.1999999999994</v>
      </c>
      <c r="X883">
        <v>2251.4750000000004</v>
      </c>
      <c r="Y883">
        <v>2471.1999999999998</v>
      </c>
    </row>
    <row r="884" spans="1:25" x14ac:dyDescent="0.35">
      <c r="A884">
        <v>840</v>
      </c>
      <c r="B884">
        <v>906.59999999999945</v>
      </c>
      <c r="C884">
        <v>964.875</v>
      </c>
      <c r="D884">
        <v>867.75</v>
      </c>
      <c r="E884">
        <v>-725</v>
      </c>
      <c r="F884">
        <v>-407.72500000000036</v>
      </c>
      <c r="G884">
        <v>-2356.6999999999998</v>
      </c>
      <c r="J884">
        <v>840</v>
      </c>
      <c r="K884">
        <v>0</v>
      </c>
      <c r="L884">
        <v>0</v>
      </c>
      <c r="M884">
        <v>0</v>
      </c>
      <c r="N884">
        <v>225</v>
      </c>
      <c r="O884">
        <v>193</v>
      </c>
      <c r="P884">
        <v>317</v>
      </c>
      <c r="S884">
        <v>840</v>
      </c>
      <c r="T884">
        <v>906.59999999999945</v>
      </c>
      <c r="U884">
        <v>977.82499999999891</v>
      </c>
      <c r="V884">
        <v>906.59999999999945</v>
      </c>
      <c r="W884">
        <v>2237.1999999999989</v>
      </c>
      <c r="X884">
        <v>2271.4750000000004</v>
      </c>
      <c r="Y884">
        <v>2471.1999999999998</v>
      </c>
    </row>
    <row r="885" spans="1:25" x14ac:dyDescent="0.35">
      <c r="A885">
        <v>841</v>
      </c>
      <c r="B885">
        <v>906.59999999999945</v>
      </c>
      <c r="C885">
        <v>964.87499999999909</v>
      </c>
      <c r="D885">
        <v>906.59999999999945</v>
      </c>
      <c r="E885">
        <v>-1035.8000000000002</v>
      </c>
      <c r="F885">
        <v>-440.10000000000036</v>
      </c>
      <c r="G885">
        <v>-2356.6999999999998</v>
      </c>
      <c r="J885">
        <v>841</v>
      </c>
      <c r="K885">
        <v>0</v>
      </c>
      <c r="L885">
        <v>0</v>
      </c>
      <c r="M885">
        <v>0</v>
      </c>
      <c r="N885">
        <v>221</v>
      </c>
      <c r="O885">
        <v>163</v>
      </c>
      <c r="P885">
        <v>331</v>
      </c>
      <c r="S885">
        <v>841</v>
      </c>
      <c r="T885">
        <v>906.59999999999945</v>
      </c>
      <c r="U885">
        <v>958.39999999999964</v>
      </c>
      <c r="V885">
        <v>906.59999999999945</v>
      </c>
      <c r="W885">
        <v>2267.1999999999989</v>
      </c>
      <c r="X885">
        <v>2230.9999999999995</v>
      </c>
      <c r="Y885">
        <v>2479.1999999999989</v>
      </c>
    </row>
    <row r="886" spans="1:25" x14ac:dyDescent="0.35">
      <c r="A886">
        <v>842</v>
      </c>
      <c r="B886">
        <v>906.59999999999945</v>
      </c>
      <c r="C886">
        <v>977.82499999999891</v>
      </c>
      <c r="D886">
        <v>906.59999999999945</v>
      </c>
      <c r="E886">
        <v>-932.20000000000073</v>
      </c>
      <c r="F886">
        <v>-330.02499999999964</v>
      </c>
      <c r="G886">
        <v>-2136.5500000000002</v>
      </c>
      <c r="J886">
        <v>842</v>
      </c>
      <c r="K886">
        <v>0</v>
      </c>
      <c r="L886">
        <v>0</v>
      </c>
      <c r="M886">
        <v>0</v>
      </c>
      <c r="N886">
        <v>220</v>
      </c>
      <c r="O886">
        <v>166</v>
      </c>
      <c r="P886">
        <v>291</v>
      </c>
      <c r="S886">
        <v>842</v>
      </c>
      <c r="T886">
        <v>906.59999999999945</v>
      </c>
      <c r="U886">
        <v>984.29999999999927</v>
      </c>
      <c r="V886">
        <v>906.60000000000036</v>
      </c>
      <c r="W886">
        <v>-1022.8500000000004</v>
      </c>
      <c r="X886">
        <v>2283.2749999999996</v>
      </c>
      <c r="Y886">
        <v>2419.1999999999989</v>
      </c>
    </row>
    <row r="887" spans="1:25" x14ac:dyDescent="0.35">
      <c r="A887">
        <v>843</v>
      </c>
      <c r="B887">
        <v>906.59999999999945</v>
      </c>
      <c r="C887">
        <v>984.29999999999927</v>
      </c>
      <c r="D887">
        <v>906.59999999999945</v>
      </c>
      <c r="E887">
        <v>-1385.4500000000007</v>
      </c>
      <c r="F887">
        <v>-446.57500000000073</v>
      </c>
      <c r="G887">
        <v>-2693.4000000000005</v>
      </c>
      <c r="J887">
        <v>843</v>
      </c>
      <c r="K887">
        <v>0</v>
      </c>
      <c r="L887">
        <v>0</v>
      </c>
      <c r="M887">
        <v>0</v>
      </c>
      <c r="N887">
        <v>205</v>
      </c>
      <c r="O887">
        <v>189</v>
      </c>
      <c r="P887">
        <v>337</v>
      </c>
      <c r="S887">
        <v>843</v>
      </c>
      <c r="T887">
        <v>906.59999999999945</v>
      </c>
      <c r="U887">
        <v>997.25</v>
      </c>
      <c r="V887">
        <v>906.59999999999945</v>
      </c>
      <c r="W887">
        <v>2249.1999999999994</v>
      </c>
      <c r="X887">
        <v>942.9892726772382</v>
      </c>
      <c r="Y887">
        <v>950.74407402496627</v>
      </c>
    </row>
    <row r="888" spans="1:25" x14ac:dyDescent="0.35">
      <c r="A888">
        <v>844</v>
      </c>
      <c r="B888">
        <v>906.59999999999945</v>
      </c>
      <c r="C888">
        <v>945.44999999999891</v>
      </c>
      <c r="D888">
        <v>906.59999999999945</v>
      </c>
      <c r="E888">
        <v>-971.05000000000018</v>
      </c>
      <c r="F888">
        <v>-466</v>
      </c>
      <c r="G888">
        <v>-2136.5500000000002</v>
      </c>
      <c r="J888">
        <v>844</v>
      </c>
      <c r="K888">
        <v>0</v>
      </c>
      <c r="L888">
        <v>0</v>
      </c>
      <c r="M888">
        <v>0</v>
      </c>
      <c r="N888">
        <v>217</v>
      </c>
      <c r="O888">
        <v>172</v>
      </c>
      <c r="P888">
        <v>320</v>
      </c>
      <c r="S888">
        <v>844</v>
      </c>
      <c r="T888">
        <v>906.59999999999945</v>
      </c>
      <c r="U888">
        <v>971.34999999999945</v>
      </c>
      <c r="V888">
        <v>906.59999999999945</v>
      </c>
      <c r="W888">
        <v>2241.1999999999994</v>
      </c>
      <c r="X888">
        <v>2215.1</v>
      </c>
      <c r="Y888">
        <v>-1417.5977803917544</v>
      </c>
    </row>
    <row r="889" spans="1:25" x14ac:dyDescent="0.35">
      <c r="A889">
        <v>845</v>
      </c>
      <c r="B889">
        <v>906.59999999999945</v>
      </c>
      <c r="C889">
        <v>977.82499999999891</v>
      </c>
      <c r="D889">
        <v>906.60000000000036</v>
      </c>
      <c r="E889">
        <v>-1294.8000000000002</v>
      </c>
      <c r="F889">
        <v>-485.42500000000018</v>
      </c>
      <c r="G889">
        <v>-2291.9499999999998</v>
      </c>
      <c r="J889">
        <v>845</v>
      </c>
      <c r="K889">
        <v>0</v>
      </c>
      <c r="L889">
        <v>0</v>
      </c>
      <c r="M889">
        <v>0</v>
      </c>
      <c r="N889">
        <v>217</v>
      </c>
      <c r="O889">
        <v>173</v>
      </c>
      <c r="P889">
        <v>312</v>
      </c>
      <c r="S889">
        <v>845</v>
      </c>
      <c r="T889">
        <v>906.59999999999945</v>
      </c>
      <c r="U889">
        <v>951.92499999999927</v>
      </c>
      <c r="V889">
        <v>906.60000000000036</v>
      </c>
      <c r="W889">
        <v>2225.1999999999998</v>
      </c>
      <c r="X889">
        <v>-252.32500000000073</v>
      </c>
      <c r="Y889">
        <v>2431.1999999999998</v>
      </c>
    </row>
    <row r="890" spans="1:25" x14ac:dyDescent="0.35">
      <c r="A890">
        <v>846</v>
      </c>
      <c r="B890">
        <v>906.59999999999945</v>
      </c>
      <c r="C890">
        <v>990.77499999999873</v>
      </c>
      <c r="D890">
        <v>906.59999999999945</v>
      </c>
      <c r="E890">
        <v>-958.10000000000036</v>
      </c>
      <c r="F890">
        <v>-608.45000000000073</v>
      </c>
      <c r="G890">
        <v>-2162.4500000000007</v>
      </c>
      <c r="J890">
        <v>846</v>
      </c>
      <c r="K890">
        <v>0</v>
      </c>
      <c r="L890">
        <v>0</v>
      </c>
      <c r="M890">
        <v>4</v>
      </c>
      <c r="N890">
        <v>216</v>
      </c>
      <c r="O890">
        <v>186</v>
      </c>
      <c r="P890">
        <v>322</v>
      </c>
      <c r="S890">
        <v>846</v>
      </c>
      <c r="T890">
        <v>906.59999999999945</v>
      </c>
      <c r="U890">
        <v>1003.7250000000004</v>
      </c>
      <c r="V890">
        <v>906.60000000000036</v>
      </c>
      <c r="W890">
        <v>2329.1999999999994</v>
      </c>
      <c r="X890">
        <v>2182.0499999999993</v>
      </c>
      <c r="Y890">
        <v>2419.1999999999989</v>
      </c>
    </row>
    <row r="891" spans="1:25" x14ac:dyDescent="0.35">
      <c r="A891">
        <v>847</v>
      </c>
      <c r="B891">
        <v>906.59999999999945</v>
      </c>
      <c r="C891">
        <v>964.875</v>
      </c>
      <c r="D891">
        <v>906.59999999999945</v>
      </c>
      <c r="E891">
        <v>-1243</v>
      </c>
      <c r="F891">
        <v>-699.10000000000036</v>
      </c>
      <c r="G891">
        <v>-2421.4499999999998</v>
      </c>
      <c r="J891">
        <v>847</v>
      </c>
      <c r="K891">
        <v>0</v>
      </c>
      <c r="L891">
        <v>0</v>
      </c>
      <c r="M891">
        <v>0</v>
      </c>
      <c r="N891">
        <v>251</v>
      </c>
      <c r="O891">
        <v>190</v>
      </c>
      <c r="P891">
        <v>324</v>
      </c>
      <c r="S891">
        <v>847</v>
      </c>
      <c r="T891">
        <v>906.59999999999945</v>
      </c>
      <c r="U891">
        <v>958.39999999999964</v>
      </c>
      <c r="V891">
        <v>906.59999999999945</v>
      </c>
      <c r="W891">
        <v>2293.1999999999998</v>
      </c>
      <c r="X891">
        <v>2230.9999999999995</v>
      </c>
      <c r="Y891">
        <v>2427.1999999999989</v>
      </c>
    </row>
    <row r="892" spans="1:25" x14ac:dyDescent="0.35">
      <c r="A892">
        <v>848</v>
      </c>
      <c r="B892">
        <v>906.59999999999945</v>
      </c>
      <c r="C892">
        <v>1003.7249999999995</v>
      </c>
      <c r="D892">
        <v>854.80000000000018</v>
      </c>
      <c r="E892">
        <v>-1100.5500000000002</v>
      </c>
      <c r="F892">
        <v>-666.72500000000036</v>
      </c>
      <c r="G892">
        <v>-2110.6500000000005</v>
      </c>
      <c r="J892">
        <v>848</v>
      </c>
      <c r="K892">
        <v>0</v>
      </c>
      <c r="L892">
        <v>0</v>
      </c>
      <c r="M892">
        <v>0</v>
      </c>
      <c r="N892">
        <v>245</v>
      </c>
      <c r="O892">
        <v>178</v>
      </c>
      <c r="P892">
        <v>316</v>
      </c>
      <c r="S892">
        <v>848</v>
      </c>
      <c r="T892">
        <v>906.59999999999945</v>
      </c>
      <c r="U892">
        <v>990.77499999999964</v>
      </c>
      <c r="V892">
        <v>906.60000000000036</v>
      </c>
      <c r="W892">
        <v>2245.1999999999998</v>
      </c>
      <c r="X892">
        <v>2253.3749999999995</v>
      </c>
      <c r="Y892">
        <v>2461.1999999999998</v>
      </c>
    </row>
    <row r="893" spans="1:25" x14ac:dyDescent="0.35">
      <c r="A893">
        <v>849</v>
      </c>
      <c r="B893">
        <v>906.59999999999945</v>
      </c>
      <c r="C893">
        <v>958.39999999999964</v>
      </c>
      <c r="D893">
        <v>906.59999999999945</v>
      </c>
      <c r="E893">
        <v>-1087.6000000000004</v>
      </c>
      <c r="F893">
        <v>-446.57500000000073</v>
      </c>
      <c r="G893">
        <v>-2538</v>
      </c>
      <c r="J893">
        <v>849</v>
      </c>
      <c r="K893">
        <v>0</v>
      </c>
      <c r="L893">
        <v>0</v>
      </c>
      <c r="M893">
        <v>0</v>
      </c>
      <c r="N893">
        <v>231</v>
      </c>
      <c r="O893">
        <v>186</v>
      </c>
      <c r="P893">
        <v>285</v>
      </c>
      <c r="S893">
        <v>849</v>
      </c>
      <c r="T893">
        <v>906.59999999999945</v>
      </c>
      <c r="U893">
        <v>984.30000000000018</v>
      </c>
      <c r="V893">
        <v>906.60000000000036</v>
      </c>
      <c r="W893">
        <v>1712.1170103376867</v>
      </c>
      <c r="X893">
        <v>1905.3099352791969</v>
      </c>
      <c r="Y893">
        <v>443.72753207456526</v>
      </c>
    </row>
    <row r="894" spans="1:25" x14ac:dyDescent="0.35">
      <c r="A894">
        <v>850</v>
      </c>
      <c r="B894">
        <v>906.59999999999945</v>
      </c>
      <c r="C894">
        <v>971.35000000000036</v>
      </c>
      <c r="D894">
        <v>906.59999999999945</v>
      </c>
      <c r="E894">
        <v>-1217.1000000000004</v>
      </c>
      <c r="F894">
        <v>-550.17500000000109</v>
      </c>
      <c r="G894">
        <v>-2719.3</v>
      </c>
      <c r="J894">
        <v>850</v>
      </c>
      <c r="K894">
        <v>0</v>
      </c>
      <c r="L894">
        <v>0</v>
      </c>
      <c r="M894">
        <v>0</v>
      </c>
      <c r="N894">
        <v>224</v>
      </c>
      <c r="O894">
        <v>207</v>
      </c>
      <c r="P894">
        <v>338</v>
      </c>
      <c r="S894">
        <v>850</v>
      </c>
      <c r="T894">
        <v>906.59999999999945</v>
      </c>
      <c r="U894">
        <v>958.39999999999964</v>
      </c>
      <c r="V894">
        <v>906.60000000000036</v>
      </c>
      <c r="W894">
        <v>2271.1999999999994</v>
      </c>
      <c r="X894">
        <v>2251.3749999999995</v>
      </c>
      <c r="Y894">
        <v>2140.6340180598236</v>
      </c>
    </row>
    <row r="895" spans="1:25" x14ac:dyDescent="0.35">
      <c r="A895">
        <v>851</v>
      </c>
      <c r="B895">
        <v>906.59999999999945</v>
      </c>
      <c r="C895">
        <v>1003.7249999999995</v>
      </c>
      <c r="D895">
        <v>906.59999999999945</v>
      </c>
      <c r="E895">
        <v>-815.65000000000055</v>
      </c>
      <c r="F895">
        <v>-647.30000000000109</v>
      </c>
      <c r="G895">
        <v>-2266.0500000000002</v>
      </c>
      <c r="J895">
        <v>851</v>
      </c>
      <c r="K895">
        <v>0</v>
      </c>
      <c r="L895">
        <v>0</v>
      </c>
      <c r="M895">
        <v>0</v>
      </c>
      <c r="N895">
        <v>209</v>
      </c>
      <c r="O895">
        <v>158</v>
      </c>
      <c r="P895">
        <v>319</v>
      </c>
      <c r="S895">
        <v>851</v>
      </c>
      <c r="T895">
        <v>906.59999999999945</v>
      </c>
      <c r="U895">
        <v>990.77499999999964</v>
      </c>
      <c r="V895">
        <v>906.60000000000036</v>
      </c>
      <c r="W895">
        <v>2235.1999999999998</v>
      </c>
      <c r="X895">
        <v>602.87193537485655</v>
      </c>
      <c r="Y895">
        <v>2439.1999999999989</v>
      </c>
    </row>
    <row r="896" spans="1:25" x14ac:dyDescent="0.35">
      <c r="A896">
        <v>852</v>
      </c>
      <c r="B896">
        <v>906.59999999999945</v>
      </c>
      <c r="C896">
        <v>977.82499999999982</v>
      </c>
      <c r="D896">
        <v>906.59999999999945</v>
      </c>
      <c r="E896">
        <v>-1191.2000000000007</v>
      </c>
      <c r="F896">
        <v>-336.5</v>
      </c>
      <c r="G896">
        <v>-2369.6500000000005</v>
      </c>
      <c r="J896">
        <v>852</v>
      </c>
      <c r="K896">
        <v>0</v>
      </c>
      <c r="L896">
        <v>0</v>
      </c>
      <c r="M896">
        <v>0</v>
      </c>
      <c r="N896">
        <v>238</v>
      </c>
      <c r="O896">
        <v>188</v>
      </c>
      <c r="P896">
        <v>327</v>
      </c>
      <c r="S896">
        <v>852</v>
      </c>
      <c r="T896">
        <v>906.59999999999945</v>
      </c>
      <c r="U896">
        <v>964.875</v>
      </c>
      <c r="V896">
        <v>906.59999999999945</v>
      </c>
      <c r="W896">
        <v>2251.1999999999994</v>
      </c>
      <c r="X896">
        <v>2279.3749999999991</v>
      </c>
      <c r="Y896">
        <v>2437.1999999999989</v>
      </c>
    </row>
    <row r="897" spans="1:25" x14ac:dyDescent="0.35">
      <c r="A897">
        <v>853</v>
      </c>
      <c r="B897">
        <v>906.59999999999945</v>
      </c>
      <c r="C897">
        <v>997.25</v>
      </c>
      <c r="D897">
        <v>906.60000000000036</v>
      </c>
      <c r="E897">
        <v>-1087.6000000000004</v>
      </c>
      <c r="F897">
        <v>-614.92500000000109</v>
      </c>
      <c r="G897">
        <v>-2369.6500000000005</v>
      </c>
      <c r="J897">
        <v>853</v>
      </c>
      <c r="K897">
        <v>0</v>
      </c>
      <c r="L897">
        <v>0</v>
      </c>
      <c r="M897">
        <v>0</v>
      </c>
      <c r="N897">
        <v>222</v>
      </c>
      <c r="O897">
        <v>178</v>
      </c>
      <c r="P897">
        <v>301</v>
      </c>
      <c r="S897">
        <v>853</v>
      </c>
      <c r="T897">
        <v>906.59999999999945</v>
      </c>
      <c r="U897">
        <v>1010.1999999999989</v>
      </c>
      <c r="V897">
        <v>906.60000000000036</v>
      </c>
      <c r="W897">
        <v>2317.1999999999989</v>
      </c>
      <c r="X897">
        <v>2218.0499999999988</v>
      </c>
      <c r="Y897">
        <v>2425.1999999999998</v>
      </c>
    </row>
    <row r="898" spans="1:25" x14ac:dyDescent="0.35">
      <c r="A898">
        <v>854</v>
      </c>
      <c r="B898">
        <v>906.59999999999945</v>
      </c>
      <c r="C898">
        <v>938.97499999999945</v>
      </c>
      <c r="D898">
        <v>906.59999999999945</v>
      </c>
      <c r="E898">
        <v>-880.40000000000055</v>
      </c>
      <c r="F898">
        <v>-537.22500000000036</v>
      </c>
      <c r="G898">
        <v>-2291.9499999999998</v>
      </c>
      <c r="J898">
        <v>854</v>
      </c>
      <c r="K898">
        <v>0</v>
      </c>
      <c r="L898">
        <v>0</v>
      </c>
      <c r="M898">
        <v>0</v>
      </c>
      <c r="N898">
        <v>221</v>
      </c>
      <c r="O898">
        <v>151</v>
      </c>
      <c r="P898">
        <v>339</v>
      </c>
      <c r="S898">
        <v>854</v>
      </c>
      <c r="T898">
        <v>906.59999999999945</v>
      </c>
      <c r="U898">
        <v>990.77499999999964</v>
      </c>
      <c r="V898">
        <v>906.59999999999945</v>
      </c>
      <c r="W898">
        <v>2249.1999999999994</v>
      </c>
      <c r="X898">
        <v>2222.9999999999995</v>
      </c>
      <c r="Y898">
        <v>1728.1665312001128</v>
      </c>
    </row>
    <row r="899" spans="1:25" x14ac:dyDescent="0.35">
      <c r="A899">
        <v>855</v>
      </c>
      <c r="B899">
        <v>906.59999999999945</v>
      </c>
      <c r="C899">
        <v>958.39999999999964</v>
      </c>
      <c r="D899">
        <v>906.60000000000036</v>
      </c>
      <c r="E899">
        <v>-1035.8000000000002</v>
      </c>
      <c r="F899">
        <v>-673.20000000000073</v>
      </c>
      <c r="G899">
        <v>-2097.7000000000007</v>
      </c>
      <c r="J899">
        <v>855</v>
      </c>
      <c r="K899">
        <v>0</v>
      </c>
      <c r="L899">
        <v>0</v>
      </c>
      <c r="M899">
        <v>0</v>
      </c>
      <c r="N899">
        <v>209</v>
      </c>
      <c r="O899">
        <v>224</v>
      </c>
      <c r="P899">
        <v>329</v>
      </c>
      <c r="S899">
        <v>855</v>
      </c>
      <c r="T899">
        <v>906.59999999999945</v>
      </c>
      <c r="U899">
        <v>977.82499999999982</v>
      </c>
      <c r="V899">
        <v>906.60000000000036</v>
      </c>
      <c r="W899">
        <v>2271.1999999999994</v>
      </c>
      <c r="X899">
        <v>2215.474999999999</v>
      </c>
      <c r="Y899">
        <v>-275.93626538253375</v>
      </c>
    </row>
    <row r="900" spans="1:25" x14ac:dyDescent="0.35">
      <c r="A900">
        <v>856</v>
      </c>
      <c r="B900">
        <v>906.59999999999945</v>
      </c>
      <c r="C900">
        <v>945.44999999999891</v>
      </c>
      <c r="D900">
        <v>906.59999999999945</v>
      </c>
      <c r="E900">
        <v>-841.55000000000018</v>
      </c>
      <c r="F900">
        <v>-556.64999999999964</v>
      </c>
      <c r="G900">
        <v>-2408.5</v>
      </c>
      <c r="J900">
        <v>856</v>
      </c>
      <c r="K900">
        <v>0</v>
      </c>
      <c r="L900">
        <v>0</v>
      </c>
      <c r="M900">
        <v>0</v>
      </c>
      <c r="N900">
        <v>221</v>
      </c>
      <c r="O900">
        <v>198</v>
      </c>
      <c r="P900">
        <v>336</v>
      </c>
      <c r="S900">
        <v>856</v>
      </c>
      <c r="T900">
        <v>906.59999999999945</v>
      </c>
      <c r="U900">
        <v>958.39999999999964</v>
      </c>
      <c r="V900">
        <v>906.60000000000036</v>
      </c>
      <c r="W900">
        <v>2223.1999999999998</v>
      </c>
      <c r="X900">
        <v>2017.547742104905</v>
      </c>
      <c r="Y900">
        <v>-354.41356953852664</v>
      </c>
    </row>
    <row r="901" spans="1:25" x14ac:dyDescent="0.35">
      <c r="A901">
        <v>857</v>
      </c>
      <c r="B901">
        <v>906.59999999999945</v>
      </c>
      <c r="C901">
        <v>964.87499999999909</v>
      </c>
      <c r="D901">
        <v>906.60000000000036</v>
      </c>
      <c r="E901">
        <v>-1372.5</v>
      </c>
      <c r="F901">
        <v>-453.05000000000018</v>
      </c>
      <c r="G901">
        <v>-2227.2000000000007</v>
      </c>
      <c r="J901">
        <v>857</v>
      </c>
      <c r="K901">
        <v>0</v>
      </c>
      <c r="L901">
        <v>0</v>
      </c>
      <c r="M901">
        <v>0</v>
      </c>
      <c r="N901">
        <v>237</v>
      </c>
      <c r="O901">
        <v>193</v>
      </c>
      <c r="P901">
        <v>323</v>
      </c>
      <c r="S901">
        <v>857</v>
      </c>
      <c r="T901">
        <v>906.59999999999945</v>
      </c>
      <c r="U901">
        <v>971.34999999999945</v>
      </c>
      <c r="V901">
        <v>906.60000000000036</v>
      </c>
      <c r="W901">
        <v>2289.1999999999994</v>
      </c>
      <c r="X901">
        <v>2204.5249999999992</v>
      </c>
      <c r="Y901">
        <v>653.12825114129055</v>
      </c>
    </row>
    <row r="902" spans="1:25" x14ac:dyDescent="0.35">
      <c r="A902">
        <v>858</v>
      </c>
      <c r="B902">
        <v>906.59999999999945</v>
      </c>
      <c r="C902">
        <v>984.30000000000018</v>
      </c>
      <c r="D902">
        <v>906.59999999999945</v>
      </c>
      <c r="E902">
        <v>-1048.75</v>
      </c>
      <c r="F902">
        <v>-718.52500000000055</v>
      </c>
      <c r="G902">
        <v>-2291.9499999999998</v>
      </c>
      <c r="J902">
        <v>858</v>
      </c>
      <c r="K902">
        <v>0</v>
      </c>
      <c r="L902">
        <v>0</v>
      </c>
      <c r="M902">
        <v>0</v>
      </c>
      <c r="N902">
        <v>226</v>
      </c>
      <c r="O902">
        <v>204</v>
      </c>
      <c r="P902">
        <v>314</v>
      </c>
      <c r="S902">
        <v>858</v>
      </c>
      <c r="T902">
        <v>906.59999999999945</v>
      </c>
      <c r="U902">
        <v>990.77499999999964</v>
      </c>
      <c r="V902">
        <v>919.54999999999927</v>
      </c>
      <c r="W902">
        <v>2319.1999999999994</v>
      </c>
      <c r="X902">
        <v>2275.8499999999995</v>
      </c>
      <c r="Y902">
        <v>2477.1999999999998</v>
      </c>
    </row>
    <row r="903" spans="1:25" x14ac:dyDescent="0.35">
      <c r="A903">
        <v>859</v>
      </c>
      <c r="B903">
        <v>906.59999999999945</v>
      </c>
      <c r="C903">
        <v>990.77499999999964</v>
      </c>
      <c r="D903">
        <v>906.60000000000036</v>
      </c>
      <c r="E903">
        <v>-971.05000000000018</v>
      </c>
      <c r="F903">
        <v>-381.82500000000073</v>
      </c>
      <c r="G903">
        <v>-2538</v>
      </c>
      <c r="J903">
        <v>859</v>
      </c>
      <c r="K903">
        <v>0</v>
      </c>
      <c r="L903">
        <v>0</v>
      </c>
      <c r="M903">
        <v>6</v>
      </c>
      <c r="N903">
        <v>228</v>
      </c>
      <c r="O903">
        <v>188</v>
      </c>
      <c r="P903">
        <v>265</v>
      </c>
      <c r="S903">
        <v>859</v>
      </c>
      <c r="T903">
        <v>906.59999999999945</v>
      </c>
      <c r="U903">
        <v>926.02499999999964</v>
      </c>
      <c r="V903">
        <v>906.59999999999945</v>
      </c>
      <c r="W903">
        <v>2227.1999999999989</v>
      </c>
      <c r="X903">
        <v>2083.4159462875277</v>
      </c>
      <c r="Y903">
        <v>2481.1999999999998</v>
      </c>
    </row>
    <row r="904" spans="1:25" x14ac:dyDescent="0.35">
      <c r="A904">
        <v>860</v>
      </c>
      <c r="B904">
        <v>906.59999999999945</v>
      </c>
      <c r="C904">
        <v>1010.1999999999989</v>
      </c>
      <c r="D904">
        <v>906.60000000000036</v>
      </c>
      <c r="E904">
        <v>-984</v>
      </c>
      <c r="F904">
        <v>-317.07500000000073</v>
      </c>
      <c r="G904">
        <v>-2473.25</v>
      </c>
      <c r="J904">
        <v>860</v>
      </c>
      <c r="K904">
        <v>0</v>
      </c>
      <c r="L904">
        <v>0</v>
      </c>
      <c r="M904">
        <v>0</v>
      </c>
      <c r="N904">
        <v>264</v>
      </c>
      <c r="O904">
        <v>171</v>
      </c>
      <c r="P904">
        <v>315</v>
      </c>
      <c r="S904">
        <v>860</v>
      </c>
      <c r="T904">
        <v>906.59999999999945</v>
      </c>
      <c r="U904">
        <v>977.82499999999891</v>
      </c>
      <c r="V904">
        <v>906.59999999999945</v>
      </c>
      <c r="W904">
        <v>2245.1999999999998</v>
      </c>
      <c r="X904">
        <v>728.65106963996618</v>
      </c>
      <c r="Y904">
        <v>2449.1999999999989</v>
      </c>
    </row>
    <row r="905" spans="1:25" x14ac:dyDescent="0.35">
      <c r="A905">
        <v>861</v>
      </c>
      <c r="B905">
        <v>906.59999999999945</v>
      </c>
      <c r="C905">
        <v>1010.1999999999998</v>
      </c>
      <c r="D905">
        <v>893.64999999999964</v>
      </c>
      <c r="E905">
        <v>-1061.7000000000007</v>
      </c>
      <c r="F905">
        <v>-252.32500000000073</v>
      </c>
      <c r="G905">
        <v>-2227.2000000000007</v>
      </c>
      <c r="J905">
        <v>861</v>
      </c>
      <c r="K905">
        <v>0</v>
      </c>
      <c r="L905">
        <v>0</v>
      </c>
      <c r="M905">
        <v>0</v>
      </c>
      <c r="N905">
        <v>220</v>
      </c>
      <c r="O905">
        <v>200</v>
      </c>
      <c r="P905">
        <v>320</v>
      </c>
      <c r="S905">
        <v>861</v>
      </c>
      <c r="T905">
        <v>906.59999999999945</v>
      </c>
      <c r="U905">
        <v>977.82499999999982</v>
      </c>
      <c r="V905">
        <v>906.59999999999945</v>
      </c>
      <c r="W905">
        <v>2257.1999999999989</v>
      </c>
      <c r="X905">
        <v>2243.9499999999994</v>
      </c>
      <c r="Y905">
        <v>2427.1999999999989</v>
      </c>
    </row>
    <row r="906" spans="1:25" x14ac:dyDescent="0.35">
      <c r="A906">
        <v>862</v>
      </c>
      <c r="B906">
        <v>906.59999999999945</v>
      </c>
      <c r="C906">
        <v>984.30000000000018</v>
      </c>
      <c r="D906">
        <v>906.59999999999945</v>
      </c>
      <c r="E906">
        <v>-1243</v>
      </c>
      <c r="F906">
        <v>-375.35000000000036</v>
      </c>
      <c r="G906">
        <v>-2589.8000000000002</v>
      </c>
      <c r="J906">
        <v>862</v>
      </c>
      <c r="K906">
        <v>0</v>
      </c>
      <c r="L906">
        <v>0</v>
      </c>
      <c r="M906">
        <v>0</v>
      </c>
      <c r="N906">
        <v>238</v>
      </c>
      <c r="O906">
        <v>199</v>
      </c>
      <c r="P906">
        <v>307</v>
      </c>
      <c r="S906">
        <v>862</v>
      </c>
      <c r="T906">
        <v>906.59999999999945</v>
      </c>
      <c r="U906">
        <v>932.5</v>
      </c>
      <c r="V906">
        <v>906.59999999999945</v>
      </c>
      <c r="W906">
        <v>2239.9520224437606</v>
      </c>
      <c r="X906">
        <v>2223.3749999999995</v>
      </c>
      <c r="Y906">
        <v>2265.2731250608422</v>
      </c>
    </row>
    <row r="907" spans="1:25" x14ac:dyDescent="0.35">
      <c r="A907">
        <v>863</v>
      </c>
      <c r="B907">
        <v>906.59999999999945</v>
      </c>
      <c r="C907">
        <v>990.77499999999873</v>
      </c>
      <c r="D907">
        <v>906.59999999999945</v>
      </c>
      <c r="E907">
        <v>-1294.8000000000002</v>
      </c>
      <c r="F907">
        <v>-453.05000000000109</v>
      </c>
      <c r="G907">
        <v>-2395.5500000000002</v>
      </c>
      <c r="J907">
        <v>863</v>
      </c>
      <c r="K907">
        <v>0</v>
      </c>
      <c r="L907">
        <v>0</v>
      </c>
      <c r="M907">
        <v>0</v>
      </c>
      <c r="N907">
        <v>221</v>
      </c>
      <c r="O907">
        <v>191</v>
      </c>
      <c r="P907">
        <v>321</v>
      </c>
      <c r="S907">
        <v>863</v>
      </c>
      <c r="T907">
        <v>906.59999999999945</v>
      </c>
      <c r="U907">
        <v>958.39999999999964</v>
      </c>
      <c r="V907">
        <v>906.59999999999945</v>
      </c>
      <c r="W907">
        <v>2253.1999999999998</v>
      </c>
      <c r="X907">
        <v>2202.0499999999993</v>
      </c>
      <c r="Y907">
        <v>2477.1999999999998</v>
      </c>
    </row>
    <row r="908" spans="1:25" x14ac:dyDescent="0.35">
      <c r="A908">
        <v>864</v>
      </c>
      <c r="B908">
        <v>906.59999999999945</v>
      </c>
      <c r="C908">
        <v>984.29999999999927</v>
      </c>
      <c r="D908">
        <v>906.60000000000036</v>
      </c>
      <c r="E908">
        <v>-1022.8500000000004</v>
      </c>
      <c r="F908">
        <v>-718.52499999999964</v>
      </c>
      <c r="G908">
        <v>-2291.9499999999998</v>
      </c>
      <c r="J908">
        <v>864</v>
      </c>
      <c r="K908">
        <v>0</v>
      </c>
      <c r="L908">
        <v>0</v>
      </c>
      <c r="M908">
        <v>0</v>
      </c>
      <c r="N908">
        <v>225</v>
      </c>
      <c r="O908">
        <v>184</v>
      </c>
      <c r="P908">
        <v>325</v>
      </c>
      <c r="S908">
        <v>864</v>
      </c>
      <c r="T908">
        <v>906.59999999999945</v>
      </c>
      <c r="U908">
        <v>958.39999999999964</v>
      </c>
      <c r="V908">
        <v>906.59999999999945</v>
      </c>
      <c r="W908">
        <v>2209.1999999999994</v>
      </c>
      <c r="X908">
        <v>2248.0499999999988</v>
      </c>
      <c r="Y908">
        <v>2429.1999999999989</v>
      </c>
    </row>
    <row r="909" spans="1:25" x14ac:dyDescent="0.35">
      <c r="A909">
        <v>865</v>
      </c>
      <c r="B909">
        <v>906.59999999999945</v>
      </c>
      <c r="C909">
        <v>938.97500000000036</v>
      </c>
      <c r="D909">
        <v>906.60000000000036</v>
      </c>
      <c r="E909">
        <v>-958.10000000000036</v>
      </c>
      <c r="F909">
        <v>-245.85000000000036</v>
      </c>
      <c r="G909">
        <v>-2538</v>
      </c>
      <c r="J909">
        <v>865</v>
      </c>
      <c r="K909">
        <v>0</v>
      </c>
      <c r="L909">
        <v>0</v>
      </c>
      <c r="M909">
        <v>0</v>
      </c>
      <c r="N909">
        <v>201</v>
      </c>
      <c r="O909">
        <v>176</v>
      </c>
      <c r="P909">
        <v>316</v>
      </c>
      <c r="S909">
        <v>865</v>
      </c>
      <c r="T909">
        <v>906.59999999999945</v>
      </c>
      <c r="U909">
        <v>977.82499999999982</v>
      </c>
      <c r="V909">
        <v>906.59999999999945</v>
      </c>
      <c r="W909">
        <v>7.7509666774481047</v>
      </c>
      <c r="X909">
        <v>2255.8499999999995</v>
      </c>
      <c r="Y909">
        <v>2485.1999999999998</v>
      </c>
    </row>
    <row r="910" spans="1:25" x14ac:dyDescent="0.35">
      <c r="A910">
        <v>866</v>
      </c>
      <c r="B910">
        <v>906.59999999999945</v>
      </c>
      <c r="C910">
        <v>964.87499999999909</v>
      </c>
      <c r="D910">
        <v>906.59999999999945</v>
      </c>
      <c r="E910">
        <v>-712.05000000000018</v>
      </c>
      <c r="F910">
        <v>-478.95000000000073</v>
      </c>
      <c r="G910">
        <v>-2641.6000000000004</v>
      </c>
      <c r="J910">
        <v>866</v>
      </c>
      <c r="K910">
        <v>0</v>
      </c>
      <c r="L910">
        <v>0</v>
      </c>
      <c r="M910">
        <v>0</v>
      </c>
      <c r="N910">
        <v>227</v>
      </c>
      <c r="O910">
        <v>175</v>
      </c>
      <c r="P910">
        <v>302</v>
      </c>
      <c r="S910">
        <v>866</v>
      </c>
      <c r="T910">
        <v>906.59999999999945</v>
      </c>
      <c r="U910">
        <v>958.39999999999964</v>
      </c>
      <c r="V910">
        <v>906.60000000000036</v>
      </c>
      <c r="W910">
        <v>2275.1999999999998</v>
      </c>
      <c r="X910">
        <v>2194.5249999999992</v>
      </c>
      <c r="Y910">
        <v>2443.1999999999998</v>
      </c>
    </row>
    <row r="911" spans="1:25" x14ac:dyDescent="0.35">
      <c r="A911">
        <v>867</v>
      </c>
      <c r="B911">
        <v>906.59999999999945</v>
      </c>
      <c r="C911">
        <v>984.29999999999927</v>
      </c>
      <c r="D911">
        <v>906.59999999999945</v>
      </c>
      <c r="E911">
        <v>-1243</v>
      </c>
      <c r="F911">
        <v>-142.25</v>
      </c>
      <c r="G911">
        <v>-1981.1500000000005</v>
      </c>
      <c r="J911">
        <v>867</v>
      </c>
      <c r="K911">
        <v>0</v>
      </c>
      <c r="L911">
        <v>0</v>
      </c>
      <c r="M911">
        <v>0</v>
      </c>
      <c r="N911">
        <v>210</v>
      </c>
      <c r="O911">
        <v>204</v>
      </c>
      <c r="P911">
        <v>314</v>
      </c>
      <c r="S911">
        <v>867</v>
      </c>
      <c r="T911">
        <v>906.59999999999945</v>
      </c>
      <c r="U911">
        <v>971.34999999999945</v>
      </c>
      <c r="V911">
        <v>916.59999999999945</v>
      </c>
      <c r="W911">
        <v>2283.1999999999998</v>
      </c>
      <c r="X911">
        <v>2259.9499999999998</v>
      </c>
      <c r="Y911">
        <v>-360.70945309001422</v>
      </c>
    </row>
    <row r="912" spans="1:25" x14ac:dyDescent="0.35">
      <c r="A912">
        <v>868</v>
      </c>
      <c r="B912">
        <v>906.59999999999945</v>
      </c>
      <c r="C912">
        <v>964.87499999999909</v>
      </c>
      <c r="D912">
        <v>906.59999999999945</v>
      </c>
      <c r="E912">
        <v>-841.55000000000018</v>
      </c>
      <c r="F912">
        <v>-498.375</v>
      </c>
      <c r="G912">
        <v>-2279</v>
      </c>
      <c r="J912">
        <v>868</v>
      </c>
      <c r="K912">
        <v>0</v>
      </c>
      <c r="L912">
        <v>0</v>
      </c>
      <c r="M912">
        <v>0</v>
      </c>
      <c r="N912">
        <v>216</v>
      </c>
      <c r="O912">
        <v>179</v>
      </c>
      <c r="P912">
        <v>317</v>
      </c>
      <c r="S912">
        <v>868</v>
      </c>
      <c r="T912">
        <v>906.59999999999945</v>
      </c>
      <c r="U912">
        <v>945.44999999999982</v>
      </c>
      <c r="V912">
        <v>906.60000000000036</v>
      </c>
      <c r="W912">
        <v>2249.1999999999994</v>
      </c>
      <c r="X912">
        <v>1344.6351654925852</v>
      </c>
      <c r="Y912">
        <v>2469.1999999999989</v>
      </c>
    </row>
    <row r="913" spans="1:25" x14ac:dyDescent="0.35">
      <c r="A913">
        <v>869</v>
      </c>
      <c r="B913">
        <v>906.59999999999945</v>
      </c>
      <c r="C913">
        <v>938.97500000000036</v>
      </c>
      <c r="D913">
        <v>906.59999999999945</v>
      </c>
      <c r="E913">
        <v>-763.85000000000036</v>
      </c>
      <c r="F913">
        <v>-673.20000000000073</v>
      </c>
      <c r="G913">
        <v>-2654.55</v>
      </c>
      <c r="J913">
        <v>869</v>
      </c>
      <c r="K913">
        <v>0</v>
      </c>
      <c r="L913">
        <v>0</v>
      </c>
      <c r="M913">
        <v>0</v>
      </c>
      <c r="N913">
        <v>220</v>
      </c>
      <c r="O913">
        <v>170</v>
      </c>
      <c r="P913">
        <v>337</v>
      </c>
      <c r="S913">
        <v>869</v>
      </c>
      <c r="T913">
        <v>906.59999999999945</v>
      </c>
      <c r="U913">
        <v>958.39999999999964</v>
      </c>
      <c r="V913">
        <v>906.59999999999945</v>
      </c>
      <c r="W913">
        <v>-642.11777807061685</v>
      </c>
      <c r="X913">
        <v>2263.3749999999995</v>
      </c>
      <c r="Y913">
        <v>2411.1999999999998</v>
      </c>
    </row>
    <row r="914" spans="1:25" x14ac:dyDescent="0.35">
      <c r="A914">
        <v>870</v>
      </c>
      <c r="B914">
        <v>906.59999999999945</v>
      </c>
      <c r="C914">
        <v>945.44999999999891</v>
      </c>
      <c r="D914">
        <v>906.60000000000036</v>
      </c>
      <c r="E914">
        <v>-1022.8500000000004</v>
      </c>
      <c r="F914">
        <v>-381.82500000000073</v>
      </c>
      <c r="G914">
        <v>-2175.4000000000005</v>
      </c>
      <c r="J914">
        <v>870</v>
      </c>
      <c r="K914">
        <v>0</v>
      </c>
      <c r="L914">
        <v>0</v>
      </c>
      <c r="M914">
        <v>0</v>
      </c>
      <c r="N914">
        <v>226</v>
      </c>
      <c r="O914">
        <v>177</v>
      </c>
      <c r="P914">
        <v>346</v>
      </c>
      <c r="S914">
        <v>870</v>
      </c>
      <c r="T914">
        <v>906.59999999999945</v>
      </c>
      <c r="U914">
        <v>958.39999999999964</v>
      </c>
      <c r="V914">
        <v>906.59999999999945</v>
      </c>
      <c r="W914">
        <v>2269.1999999999994</v>
      </c>
      <c r="X914">
        <v>2281.3749999999991</v>
      </c>
      <c r="Y914">
        <v>2456.1499999999996</v>
      </c>
    </row>
    <row r="915" spans="1:25" x14ac:dyDescent="0.35">
      <c r="A915">
        <v>871</v>
      </c>
      <c r="B915">
        <v>906.59999999999945</v>
      </c>
      <c r="C915">
        <v>971.34999999999854</v>
      </c>
      <c r="D915">
        <v>906.59999999999945</v>
      </c>
      <c r="E915">
        <v>-1100.5500000000002</v>
      </c>
      <c r="F915">
        <v>-478.95000000000073</v>
      </c>
      <c r="G915">
        <v>-2317.8500000000004</v>
      </c>
      <c r="J915">
        <v>871</v>
      </c>
      <c r="K915">
        <v>0</v>
      </c>
      <c r="L915">
        <v>0</v>
      </c>
      <c r="M915">
        <v>0</v>
      </c>
      <c r="N915">
        <v>224</v>
      </c>
      <c r="O915">
        <v>168</v>
      </c>
      <c r="P915">
        <v>292</v>
      </c>
      <c r="S915">
        <v>871</v>
      </c>
      <c r="T915">
        <v>906.59999999999945</v>
      </c>
      <c r="U915">
        <v>971.34999999999945</v>
      </c>
      <c r="V915">
        <v>906.60000000000036</v>
      </c>
      <c r="W915">
        <v>2257.1999999999989</v>
      </c>
      <c r="X915">
        <v>2261.849999999999</v>
      </c>
      <c r="Y915">
        <v>2503.1999999999998</v>
      </c>
    </row>
    <row r="916" spans="1:25" x14ac:dyDescent="0.35">
      <c r="A916">
        <v>872</v>
      </c>
      <c r="B916">
        <v>906.59999999999945</v>
      </c>
      <c r="C916">
        <v>926.02499999999964</v>
      </c>
      <c r="D916">
        <v>906.59999999999945</v>
      </c>
      <c r="E916">
        <v>-1035.8000000000002</v>
      </c>
      <c r="F916">
        <v>-381.82500000000073</v>
      </c>
      <c r="G916">
        <v>-2512.1000000000004</v>
      </c>
      <c r="J916">
        <v>872</v>
      </c>
      <c r="K916">
        <v>0</v>
      </c>
      <c r="L916">
        <v>0</v>
      </c>
      <c r="M916">
        <v>0</v>
      </c>
      <c r="N916">
        <v>207</v>
      </c>
      <c r="O916">
        <v>172</v>
      </c>
      <c r="P916">
        <v>337</v>
      </c>
      <c r="S916">
        <v>872</v>
      </c>
      <c r="T916">
        <v>906.59999999999945</v>
      </c>
      <c r="U916">
        <v>977.82499999999982</v>
      </c>
      <c r="V916">
        <v>906.60000000000036</v>
      </c>
      <c r="W916">
        <v>2229.1999999999994</v>
      </c>
      <c r="X916">
        <v>2220.5249999999996</v>
      </c>
      <c r="Y916">
        <v>2491.1999999999998</v>
      </c>
    </row>
    <row r="917" spans="1:25" x14ac:dyDescent="0.35">
      <c r="A917">
        <v>873</v>
      </c>
      <c r="B917">
        <v>906.59999999999945</v>
      </c>
      <c r="C917">
        <v>951.92499999999927</v>
      </c>
      <c r="D917">
        <v>906.59999999999945</v>
      </c>
      <c r="E917">
        <v>-1165.3000000000002</v>
      </c>
      <c r="F917">
        <v>-763.85000000000036</v>
      </c>
      <c r="G917">
        <v>-2538</v>
      </c>
      <c r="J917">
        <v>873</v>
      </c>
      <c r="K917">
        <v>0</v>
      </c>
      <c r="L917">
        <v>0</v>
      </c>
      <c r="M917">
        <v>0</v>
      </c>
      <c r="N917">
        <v>232</v>
      </c>
      <c r="O917">
        <v>168</v>
      </c>
      <c r="P917">
        <v>310</v>
      </c>
      <c r="S917">
        <v>873</v>
      </c>
      <c r="T917">
        <v>906.59999999999945</v>
      </c>
      <c r="U917">
        <v>997.24999999999909</v>
      </c>
      <c r="V917">
        <v>906.59999999999945</v>
      </c>
      <c r="W917">
        <v>1290.9740659642284</v>
      </c>
      <c r="X917">
        <v>1620.8654677474235</v>
      </c>
      <c r="Y917">
        <v>2488.9238328288293</v>
      </c>
    </row>
    <row r="918" spans="1:25" x14ac:dyDescent="0.35">
      <c r="A918">
        <v>874</v>
      </c>
      <c r="B918">
        <v>906.59999999999945</v>
      </c>
      <c r="C918">
        <v>997.24999999999909</v>
      </c>
      <c r="D918">
        <v>919.54999999999927</v>
      </c>
      <c r="E918">
        <v>-919.25</v>
      </c>
      <c r="F918">
        <v>-466</v>
      </c>
      <c r="G918">
        <v>-2110.6500000000005</v>
      </c>
      <c r="J918">
        <v>874</v>
      </c>
      <c r="K918">
        <v>0</v>
      </c>
      <c r="L918">
        <v>0</v>
      </c>
      <c r="M918">
        <v>0</v>
      </c>
      <c r="N918">
        <v>222</v>
      </c>
      <c r="O918">
        <v>166</v>
      </c>
      <c r="P918">
        <v>312</v>
      </c>
      <c r="S918">
        <v>874</v>
      </c>
      <c r="T918">
        <v>906.59999999999945</v>
      </c>
      <c r="U918">
        <v>997.25</v>
      </c>
      <c r="V918">
        <v>906.59999999999945</v>
      </c>
      <c r="W918">
        <v>-828.60000000000036</v>
      </c>
      <c r="X918">
        <v>2299.85</v>
      </c>
      <c r="Y918">
        <v>2459.1999999999989</v>
      </c>
    </row>
    <row r="919" spans="1:25" x14ac:dyDescent="0.35">
      <c r="A919">
        <v>875</v>
      </c>
      <c r="B919">
        <v>906.59999999999945</v>
      </c>
      <c r="C919">
        <v>977.82499999999982</v>
      </c>
      <c r="D919">
        <v>906.59999999999945</v>
      </c>
      <c r="E919">
        <v>-893.35000000000036</v>
      </c>
      <c r="F919">
        <v>-394.77499999999964</v>
      </c>
      <c r="G919">
        <v>-2421.4499999999998</v>
      </c>
      <c r="J919">
        <v>875</v>
      </c>
      <c r="K919">
        <v>0</v>
      </c>
      <c r="L919">
        <v>0</v>
      </c>
      <c r="M919">
        <v>0</v>
      </c>
      <c r="N919">
        <v>225</v>
      </c>
      <c r="O919">
        <v>181</v>
      </c>
      <c r="P919">
        <v>310</v>
      </c>
      <c r="S919">
        <v>875</v>
      </c>
      <c r="T919">
        <v>906.59999999999945</v>
      </c>
      <c r="U919">
        <v>971.35000000000036</v>
      </c>
      <c r="V919">
        <v>906.60000000000036</v>
      </c>
      <c r="W919">
        <v>2229.1999999999994</v>
      </c>
      <c r="X919">
        <v>2225.4869265278298</v>
      </c>
      <c r="Y919">
        <v>-2214.25</v>
      </c>
    </row>
    <row r="920" spans="1:25" x14ac:dyDescent="0.35">
      <c r="A920">
        <v>876</v>
      </c>
      <c r="B920">
        <v>906.59999999999945</v>
      </c>
      <c r="C920">
        <v>951.92499999999927</v>
      </c>
      <c r="D920">
        <v>906.59999999999945</v>
      </c>
      <c r="E920">
        <v>-1152.3500000000004</v>
      </c>
      <c r="F920">
        <v>-550.17500000000109</v>
      </c>
      <c r="G920">
        <v>-2266.0500000000002</v>
      </c>
      <c r="J920">
        <v>876</v>
      </c>
      <c r="K920">
        <v>0</v>
      </c>
      <c r="L920">
        <v>0</v>
      </c>
      <c r="M920">
        <v>0</v>
      </c>
      <c r="N920">
        <v>232</v>
      </c>
      <c r="O920">
        <v>169</v>
      </c>
      <c r="P920">
        <v>335</v>
      </c>
      <c r="S920">
        <v>876</v>
      </c>
      <c r="T920">
        <v>906.59999999999945</v>
      </c>
      <c r="U920">
        <v>971.34999999999854</v>
      </c>
      <c r="V920">
        <v>906.59999999999945</v>
      </c>
      <c r="W920">
        <v>918.53411744255027</v>
      </c>
      <c r="X920">
        <v>2254.9</v>
      </c>
      <c r="Y920">
        <v>-974.90693331194416</v>
      </c>
    </row>
    <row r="921" spans="1:25" x14ac:dyDescent="0.35">
      <c r="A921">
        <v>877</v>
      </c>
      <c r="B921">
        <v>906.59999999999945</v>
      </c>
      <c r="C921">
        <v>997.25</v>
      </c>
      <c r="D921">
        <v>906.59999999999945</v>
      </c>
      <c r="E921">
        <v>-1009.9000000000005</v>
      </c>
      <c r="F921">
        <v>-478.95000000000073</v>
      </c>
      <c r="G921">
        <v>-2408.5</v>
      </c>
      <c r="J921">
        <v>877</v>
      </c>
      <c r="K921">
        <v>0</v>
      </c>
      <c r="L921">
        <v>0</v>
      </c>
      <c r="M921">
        <v>0</v>
      </c>
      <c r="N921">
        <v>228</v>
      </c>
      <c r="O921">
        <v>180</v>
      </c>
      <c r="P921">
        <v>304</v>
      </c>
      <c r="S921">
        <v>877</v>
      </c>
      <c r="T921">
        <v>906.59999999999945</v>
      </c>
      <c r="U921">
        <v>951.92499999999927</v>
      </c>
      <c r="V921">
        <v>906.60000000000036</v>
      </c>
      <c r="W921">
        <v>2235.1999999999998</v>
      </c>
      <c r="X921">
        <v>2230.3249999999998</v>
      </c>
      <c r="Y921">
        <v>2445.1999999999998</v>
      </c>
    </row>
    <row r="922" spans="1:25" x14ac:dyDescent="0.35">
      <c r="A922">
        <v>878</v>
      </c>
      <c r="B922">
        <v>906.59999999999945</v>
      </c>
      <c r="C922">
        <v>958.39999999999873</v>
      </c>
      <c r="D922">
        <v>906.59999999999945</v>
      </c>
      <c r="E922">
        <v>-1502</v>
      </c>
      <c r="F922">
        <v>-453.05000000000018</v>
      </c>
      <c r="G922">
        <v>-2007.0500000000002</v>
      </c>
      <c r="J922">
        <v>878</v>
      </c>
      <c r="K922">
        <v>0</v>
      </c>
      <c r="L922">
        <v>0</v>
      </c>
      <c r="M922">
        <v>8</v>
      </c>
      <c r="N922">
        <v>205</v>
      </c>
      <c r="O922">
        <v>186</v>
      </c>
      <c r="P922">
        <v>352</v>
      </c>
      <c r="S922">
        <v>878</v>
      </c>
      <c r="T922">
        <v>906.59999999999945</v>
      </c>
      <c r="U922">
        <v>964.875</v>
      </c>
      <c r="V922">
        <v>932.5</v>
      </c>
      <c r="W922">
        <v>2267.1999999999989</v>
      </c>
      <c r="X922">
        <v>2254.9</v>
      </c>
      <c r="Y922">
        <v>-242.02524599816343</v>
      </c>
    </row>
    <row r="923" spans="1:25" x14ac:dyDescent="0.35">
      <c r="A923">
        <v>879</v>
      </c>
      <c r="B923">
        <v>906.59999999999945</v>
      </c>
      <c r="C923">
        <v>964.875</v>
      </c>
      <c r="D923">
        <v>906.59999999999945</v>
      </c>
      <c r="E923">
        <v>-919.25</v>
      </c>
      <c r="F923">
        <v>-375.35000000000036</v>
      </c>
      <c r="G923">
        <v>-2201.3000000000002</v>
      </c>
      <c r="J923">
        <v>879</v>
      </c>
      <c r="K923">
        <v>0</v>
      </c>
      <c r="L923">
        <v>0</v>
      </c>
      <c r="M923">
        <v>0</v>
      </c>
      <c r="N923">
        <v>206</v>
      </c>
      <c r="O923">
        <v>180</v>
      </c>
      <c r="P923">
        <v>340</v>
      </c>
      <c r="S923">
        <v>879</v>
      </c>
      <c r="T923">
        <v>906.59999999999945</v>
      </c>
      <c r="U923">
        <v>1010.1999999999998</v>
      </c>
      <c r="V923">
        <v>906.59999999999945</v>
      </c>
      <c r="W923">
        <v>2247.1999999999989</v>
      </c>
      <c r="X923">
        <v>1166.1615848107251</v>
      </c>
      <c r="Y923">
        <v>-946.60028847588637</v>
      </c>
    </row>
    <row r="924" spans="1:25" x14ac:dyDescent="0.35">
      <c r="A924">
        <v>880</v>
      </c>
      <c r="B924">
        <v>906.59999999999945</v>
      </c>
      <c r="C924">
        <v>977.82499999999891</v>
      </c>
      <c r="D924">
        <v>854.80000000000018</v>
      </c>
      <c r="E924">
        <v>-1048.75</v>
      </c>
      <c r="F924">
        <v>-608.45000000000073</v>
      </c>
      <c r="G924">
        <v>-2240.1500000000005</v>
      </c>
      <c r="J924">
        <v>880</v>
      </c>
      <c r="K924">
        <v>0</v>
      </c>
      <c r="L924">
        <v>0</v>
      </c>
      <c r="M924">
        <v>0</v>
      </c>
      <c r="N924">
        <v>234</v>
      </c>
      <c r="O924">
        <v>209</v>
      </c>
      <c r="P924">
        <v>321</v>
      </c>
      <c r="S924">
        <v>880</v>
      </c>
      <c r="T924">
        <v>906.59999999999945</v>
      </c>
      <c r="U924">
        <v>990.77499999999964</v>
      </c>
      <c r="V924">
        <v>906.60000000000036</v>
      </c>
      <c r="W924">
        <v>2273.1999999999998</v>
      </c>
      <c r="X924">
        <v>2076.2028687086768</v>
      </c>
      <c r="Y924">
        <v>-182.34712233465871</v>
      </c>
    </row>
    <row r="925" spans="1:25" x14ac:dyDescent="0.35">
      <c r="A925">
        <v>881</v>
      </c>
      <c r="B925">
        <v>906.59999999999945</v>
      </c>
      <c r="C925">
        <v>1003.7249999999985</v>
      </c>
      <c r="D925">
        <v>906.59999999999945</v>
      </c>
      <c r="E925">
        <v>-1113.5</v>
      </c>
      <c r="F925">
        <v>-245.85000000000036</v>
      </c>
      <c r="G925">
        <v>-2356.6999999999998</v>
      </c>
      <c r="J925">
        <v>881</v>
      </c>
      <c r="K925">
        <v>0</v>
      </c>
      <c r="L925">
        <v>0</v>
      </c>
      <c r="M925">
        <v>0</v>
      </c>
      <c r="N925">
        <v>235</v>
      </c>
      <c r="O925">
        <v>180</v>
      </c>
      <c r="P925">
        <v>314</v>
      </c>
      <c r="S925">
        <v>881</v>
      </c>
      <c r="T925">
        <v>906.59999999999945</v>
      </c>
      <c r="U925">
        <v>958.39999999999964</v>
      </c>
      <c r="V925">
        <v>906.59999999999945</v>
      </c>
      <c r="W925">
        <v>2277.1999999999989</v>
      </c>
      <c r="X925">
        <v>2236.8999999999992</v>
      </c>
      <c r="Y925">
        <v>2435.1999999999998</v>
      </c>
    </row>
    <row r="926" spans="1:25" x14ac:dyDescent="0.35">
      <c r="A926">
        <v>882</v>
      </c>
      <c r="B926">
        <v>906.59999999999945</v>
      </c>
      <c r="C926">
        <v>1016.6750000000002</v>
      </c>
      <c r="D926">
        <v>906.60000000000036</v>
      </c>
      <c r="E926">
        <v>-1126.4500000000007</v>
      </c>
      <c r="F926">
        <v>-194.05000000000109</v>
      </c>
      <c r="G926">
        <v>-2266.0500000000002</v>
      </c>
      <c r="J926">
        <v>882</v>
      </c>
      <c r="K926">
        <v>0</v>
      </c>
      <c r="L926">
        <v>0</v>
      </c>
      <c r="M926">
        <v>0</v>
      </c>
      <c r="N926">
        <v>219</v>
      </c>
      <c r="O926">
        <v>179</v>
      </c>
      <c r="P926">
        <v>318</v>
      </c>
      <c r="S926">
        <v>882</v>
      </c>
      <c r="T926">
        <v>906.59999999999945</v>
      </c>
      <c r="U926">
        <v>958.39999999999964</v>
      </c>
      <c r="V926">
        <v>906.59999999999945</v>
      </c>
      <c r="W926">
        <v>1011.8854325403763</v>
      </c>
      <c r="X926">
        <v>1341.5275806135669</v>
      </c>
      <c r="Y926">
        <v>2471.1999999999998</v>
      </c>
    </row>
    <row r="927" spans="1:25" x14ac:dyDescent="0.35">
      <c r="A927">
        <v>883</v>
      </c>
      <c r="B927">
        <v>906.59999999999945</v>
      </c>
      <c r="C927">
        <v>971.34999999999945</v>
      </c>
      <c r="D927">
        <v>906.59999999999945</v>
      </c>
      <c r="E927">
        <v>-1152.3500000000004</v>
      </c>
      <c r="F927">
        <v>-427.15000000000055</v>
      </c>
      <c r="G927">
        <v>-2279</v>
      </c>
      <c r="J927">
        <v>883</v>
      </c>
      <c r="K927">
        <v>0</v>
      </c>
      <c r="L927">
        <v>0</v>
      </c>
      <c r="M927">
        <v>0</v>
      </c>
      <c r="N927">
        <v>224</v>
      </c>
      <c r="O927">
        <v>164</v>
      </c>
      <c r="P927">
        <v>344</v>
      </c>
      <c r="S927">
        <v>883</v>
      </c>
      <c r="T927">
        <v>906.59999999999945</v>
      </c>
      <c r="U927">
        <v>1003.7249999999995</v>
      </c>
      <c r="V927">
        <v>906.59999999999945</v>
      </c>
      <c r="W927">
        <v>1606.529783449037</v>
      </c>
      <c r="X927">
        <v>56.085325280359541</v>
      </c>
      <c r="Y927">
        <v>983.977293750238</v>
      </c>
    </row>
    <row r="928" spans="1:25" x14ac:dyDescent="0.35">
      <c r="A928">
        <v>884</v>
      </c>
      <c r="B928">
        <v>906.59999999999945</v>
      </c>
      <c r="C928">
        <v>951.92499999999927</v>
      </c>
      <c r="D928">
        <v>919.54999999999927</v>
      </c>
      <c r="E928">
        <v>-1333.6500000000005</v>
      </c>
      <c r="F928">
        <v>-349.45000000000073</v>
      </c>
      <c r="G928">
        <v>-2253.1000000000004</v>
      </c>
      <c r="J928">
        <v>884</v>
      </c>
      <c r="K928">
        <v>0</v>
      </c>
      <c r="L928">
        <v>0</v>
      </c>
      <c r="M928">
        <v>0</v>
      </c>
      <c r="N928">
        <v>232</v>
      </c>
      <c r="O928">
        <v>202</v>
      </c>
      <c r="P928">
        <v>315</v>
      </c>
      <c r="S928">
        <v>884</v>
      </c>
      <c r="T928">
        <v>906.59999999999945</v>
      </c>
      <c r="U928">
        <v>938.97499999999854</v>
      </c>
      <c r="V928">
        <v>919.54999999999927</v>
      </c>
      <c r="W928">
        <v>2291.1999999999994</v>
      </c>
      <c r="X928">
        <v>2172.5250000000001</v>
      </c>
      <c r="Y928">
        <v>2441.1999999999998</v>
      </c>
    </row>
    <row r="929" spans="1:25" x14ac:dyDescent="0.35">
      <c r="A929">
        <v>885</v>
      </c>
      <c r="B929">
        <v>906.59999999999945</v>
      </c>
      <c r="C929">
        <v>951.92499999999927</v>
      </c>
      <c r="D929">
        <v>906.60000000000036</v>
      </c>
      <c r="E929">
        <v>-971.05000000000018</v>
      </c>
      <c r="F929">
        <v>-686.15000000000055</v>
      </c>
      <c r="G929">
        <v>-2628.6500000000005</v>
      </c>
      <c r="J929">
        <v>885</v>
      </c>
      <c r="K929">
        <v>0</v>
      </c>
      <c r="L929">
        <v>0</v>
      </c>
      <c r="M929">
        <v>0</v>
      </c>
      <c r="N929">
        <v>225</v>
      </c>
      <c r="O929">
        <v>187</v>
      </c>
      <c r="P929">
        <v>337</v>
      </c>
      <c r="S929">
        <v>885</v>
      </c>
      <c r="T929">
        <v>906.59999999999945</v>
      </c>
      <c r="U929">
        <v>990.77499999999964</v>
      </c>
      <c r="V929">
        <v>906.59999999999945</v>
      </c>
      <c r="W929">
        <v>2233.1999999999998</v>
      </c>
      <c r="X929">
        <v>-673.20000000000073</v>
      </c>
      <c r="Y929">
        <v>2447.1999999999998</v>
      </c>
    </row>
    <row r="930" spans="1:25" x14ac:dyDescent="0.35">
      <c r="A930">
        <v>886</v>
      </c>
      <c r="B930">
        <v>906.59999999999945</v>
      </c>
      <c r="C930">
        <v>964.87499999999909</v>
      </c>
      <c r="D930">
        <v>906.59999999999945</v>
      </c>
      <c r="E930">
        <v>-1100.5500000000002</v>
      </c>
      <c r="F930">
        <v>-336.5</v>
      </c>
      <c r="G930">
        <v>-2641.6000000000004</v>
      </c>
      <c r="J930">
        <v>886</v>
      </c>
      <c r="K930">
        <v>0</v>
      </c>
      <c r="L930">
        <v>0</v>
      </c>
      <c r="M930">
        <v>0</v>
      </c>
      <c r="N930">
        <v>232</v>
      </c>
      <c r="O930">
        <v>185</v>
      </c>
      <c r="P930">
        <v>313</v>
      </c>
      <c r="S930">
        <v>886</v>
      </c>
      <c r="T930">
        <v>906.59999999999945</v>
      </c>
      <c r="U930">
        <v>984.29999999999927</v>
      </c>
      <c r="V930">
        <v>919.55000000000018</v>
      </c>
      <c r="W930">
        <v>2148.4192361364317</v>
      </c>
      <c r="X930">
        <v>2247.9499999999998</v>
      </c>
      <c r="Y930">
        <v>2453.1999999999998</v>
      </c>
    </row>
    <row r="931" spans="1:25" x14ac:dyDescent="0.35">
      <c r="A931">
        <v>887</v>
      </c>
      <c r="B931">
        <v>906.59999999999945</v>
      </c>
      <c r="C931">
        <v>926.02499999999964</v>
      </c>
      <c r="D931">
        <v>919.54999999999927</v>
      </c>
      <c r="E931">
        <v>-893.35000000000036</v>
      </c>
      <c r="F931">
        <v>-213.47500000000036</v>
      </c>
      <c r="G931">
        <v>-2149.5</v>
      </c>
      <c r="J931">
        <v>887</v>
      </c>
      <c r="K931">
        <v>0</v>
      </c>
      <c r="L931">
        <v>0</v>
      </c>
      <c r="M931">
        <v>0</v>
      </c>
      <c r="N931">
        <v>226</v>
      </c>
      <c r="O931">
        <v>187</v>
      </c>
      <c r="P931">
        <v>322</v>
      </c>
      <c r="S931">
        <v>887</v>
      </c>
      <c r="T931">
        <v>906.59999999999945</v>
      </c>
      <c r="U931">
        <v>971.34999999999945</v>
      </c>
      <c r="V931">
        <v>906.59999999999945</v>
      </c>
      <c r="W931">
        <v>2229.1999999999994</v>
      </c>
      <c r="X931">
        <v>2211.9499999999994</v>
      </c>
      <c r="Y931">
        <v>2395.1999999999998</v>
      </c>
    </row>
    <row r="932" spans="1:25" x14ac:dyDescent="0.35">
      <c r="A932">
        <v>888</v>
      </c>
      <c r="B932">
        <v>906.59999999999945</v>
      </c>
      <c r="C932">
        <v>971.34999999999854</v>
      </c>
      <c r="D932">
        <v>906.60000000000036</v>
      </c>
      <c r="E932">
        <v>-1126.4500000000007</v>
      </c>
      <c r="F932">
        <v>-621.40000000000055</v>
      </c>
      <c r="G932">
        <v>-2071.8000000000002</v>
      </c>
      <c r="J932">
        <v>888</v>
      </c>
      <c r="K932">
        <v>0</v>
      </c>
      <c r="L932">
        <v>0</v>
      </c>
      <c r="M932">
        <v>0</v>
      </c>
      <c r="N932">
        <v>230</v>
      </c>
      <c r="O932">
        <v>180</v>
      </c>
      <c r="P932">
        <v>335</v>
      </c>
      <c r="S932">
        <v>888</v>
      </c>
      <c r="T932">
        <v>906.59999999999945</v>
      </c>
      <c r="U932">
        <v>977.82499999999891</v>
      </c>
      <c r="V932">
        <v>906.59999999999945</v>
      </c>
      <c r="W932">
        <v>2255.1999999999998</v>
      </c>
      <c r="X932">
        <v>2239.85</v>
      </c>
      <c r="Y932">
        <v>-1157.3190365818359</v>
      </c>
    </row>
    <row r="933" spans="1:25" x14ac:dyDescent="0.35">
      <c r="A933">
        <v>889</v>
      </c>
      <c r="B933">
        <v>906.59999999999945</v>
      </c>
      <c r="C933">
        <v>971.34999999999854</v>
      </c>
      <c r="D933">
        <v>906.60000000000036</v>
      </c>
      <c r="E933">
        <v>-958.10000000000036</v>
      </c>
      <c r="F933">
        <v>-485.42500000000018</v>
      </c>
      <c r="G933">
        <v>-2214.25</v>
      </c>
      <c r="J933">
        <v>889</v>
      </c>
      <c r="K933">
        <v>0</v>
      </c>
      <c r="L933">
        <v>0</v>
      </c>
      <c r="M933">
        <v>0</v>
      </c>
      <c r="N933">
        <v>231</v>
      </c>
      <c r="O933">
        <v>198</v>
      </c>
      <c r="P933">
        <v>319</v>
      </c>
      <c r="S933">
        <v>889</v>
      </c>
      <c r="T933">
        <v>906.59999999999945</v>
      </c>
      <c r="U933">
        <v>977.82499999999982</v>
      </c>
      <c r="V933">
        <v>906.59999999999945</v>
      </c>
      <c r="W933">
        <v>2267.1999999999989</v>
      </c>
      <c r="X933">
        <v>2202.5250000000001</v>
      </c>
      <c r="Y933">
        <v>-2615.6999999999998</v>
      </c>
    </row>
    <row r="934" spans="1:25" x14ac:dyDescent="0.35">
      <c r="A934">
        <v>890</v>
      </c>
      <c r="B934">
        <v>906.59999999999945</v>
      </c>
      <c r="C934">
        <v>964.87499999999909</v>
      </c>
      <c r="D934">
        <v>906.59999999999945</v>
      </c>
      <c r="E934">
        <v>-1126.4500000000007</v>
      </c>
      <c r="F934">
        <v>-576.07500000000073</v>
      </c>
      <c r="G934">
        <v>-2058.8500000000004</v>
      </c>
      <c r="J934">
        <v>890</v>
      </c>
      <c r="K934">
        <v>0</v>
      </c>
      <c r="L934">
        <v>0</v>
      </c>
      <c r="M934">
        <v>0</v>
      </c>
      <c r="N934">
        <v>235</v>
      </c>
      <c r="O934">
        <v>174</v>
      </c>
      <c r="P934">
        <v>329</v>
      </c>
      <c r="S934">
        <v>890</v>
      </c>
      <c r="T934">
        <v>906.59999999999945</v>
      </c>
      <c r="U934">
        <v>977.82499999999891</v>
      </c>
      <c r="V934">
        <v>906.60000000000036</v>
      </c>
      <c r="W934">
        <v>2231.1999999999994</v>
      </c>
      <c r="X934">
        <v>2220.4249999999988</v>
      </c>
      <c r="Y934">
        <v>1296.5227582293378</v>
      </c>
    </row>
    <row r="935" spans="1:25" x14ac:dyDescent="0.35">
      <c r="A935">
        <v>891</v>
      </c>
      <c r="B935">
        <v>906.59999999999945</v>
      </c>
      <c r="C935">
        <v>945.44999999999891</v>
      </c>
      <c r="D935">
        <v>841.84999999999945</v>
      </c>
      <c r="E935">
        <v>-1126.4500000000007</v>
      </c>
      <c r="F935">
        <v>-297.65000000000055</v>
      </c>
      <c r="G935">
        <v>-2641.6000000000004</v>
      </c>
      <c r="J935">
        <v>891</v>
      </c>
      <c r="K935">
        <v>0</v>
      </c>
      <c r="L935">
        <v>0</v>
      </c>
      <c r="M935">
        <v>0</v>
      </c>
      <c r="N935">
        <v>229</v>
      </c>
      <c r="O935">
        <v>180</v>
      </c>
      <c r="P935">
        <v>321</v>
      </c>
      <c r="S935">
        <v>891</v>
      </c>
      <c r="T935">
        <v>906.59999999999945</v>
      </c>
      <c r="U935">
        <v>958.39999999999964</v>
      </c>
      <c r="V935">
        <v>906.59999999999945</v>
      </c>
      <c r="W935">
        <v>2233.1999999999998</v>
      </c>
      <c r="X935">
        <v>2227.4749999999999</v>
      </c>
      <c r="Y935">
        <v>2445.1999999999998</v>
      </c>
    </row>
    <row r="936" spans="1:25" x14ac:dyDescent="0.35">
      <c r="A936">
        <v>892</v>
      </c>
      <c r="B936">
        <v>906.59999999999945</v>
      </c>
      <c r="C936">
        <v>977.82499999999982</v>
      </c>
      <c r="D936">
        <v>906.59999999999945</v>
      </c>
      <c r="E936">
        <v>-1217.1000000000004</v>
      </c>
      <c r="F936">
        <v>-459.52500000000055</v>
      </c>
      <c r="G936">
        <v>-2512.1000000000004</v>
      </c>
      <c r="J936">
        <v>892</v>
      </c>
      <c r="K936">
        <v>0</v>
      </c>
      <c r="L936">
        <v>0</v>
      </c>
      <c r="M936">
        <v>0</v>
      </c>
      <c r="N936">
        <v>234</v>
      </c>
      <c r="O936">
        <v>163</v>
      </c>
      <c r="P936">
        <v>332</v>
      </c>
      <c r="S936">
        <v>892</v>
      </c>
      <c r="T936">
        <v>906.59999999999945</v>
      </c>
      <c r="U936">
        <v>971.34999999999945</v>
      </c>
      <c r="V936">
        <v>906.59999999999945</v>
      </c>
      <c r="W936">
        <v>2303.1999999999998</v>
      </c>
      <c r="X936">
        <v>1136.1749506870619</v>
      </c>
      <c r="Y936">
        <v>-913.46360390584141</v>
      </c>
    </row>
    <row r="937" spans="1:25" x14ac:dyDescent="0.35">
      <c r="A937">
        <v>893</v>
      </c>
      <c r="B937">
        <v>906.59999999999945</v>
      </c>
      <c r="C937">
        <v>971.34999999999945</v>
      </c>
      <c r="D937">
        <v>906.60000000000036</v>
      </c>
      <c r="E937">
        <v>-1294.8000000000002</v>
      </c>
      <c r="F937">
        <v>-530.75</v>
      </c>
      <c r="G937">
        <v>-2408.5</v>
      </c>
      <c r="J937">
        <v>893</v>
      </c>
      <c r="K937">
        <v>0</v>
      </c>
      <c r="L937">
        <v>0</v>
      </c>
      <c r="M937">
        <v>4</v>
      </c>
      <c r="N937">
        <v>215</v>
      </c>
      <c r="O937">
        <v>197</v>
      </c>
      <c r="P937">
        <v>317</v>
      </c>
      <c r="S937">
        <v>893</v>
      </c>
      <c r="T937">
        <v>906.59999999999945</v>
      </c>
      <c r="U937">
        <v>951.92500000000018</v>
      </c>
      <c r="V937">
        <v>906.59999999999945</v>
      </c>
      <c r="W937">
        <v>2199.1999999999994</v>
      </c>
      <c r="X937">
        <v>2247.4749999999999</v>
      </c>
      <c r="Y937">
        <v>2453.1999999999998</v>
      </c>
    </row>
    <row r="938" spans="1:25" x14ac:dyDescent="0.35">
      <c r="A938">
        <v>894</v>
      </c>
      <c r="B938">
        <v>906.59999999999945</v>
      </c>
      <c r="C938">
        <v>951.92499999999927</v>
      </c>
      <c r="D938">
        <v>906.59999999999945</v>
      </c>
      <c r="E938">
        <v>-1294.8000000000002</v>
      </c>
      <c r="F938">
        <v>-278.22500000000036</v>
      </c>
      <c r="G938">
        <v>-2330.8000000000002</v>
      </c>
      <c r="J938">
        <v>894</v>
      </c>
      <c r="K938">
        <v>0</v>
      </c>
      <c r="L938">
        <v>0</v>
      </c>
      <c r="M938">
        <v>0</v>
      </c>
      <c r="N938">
        <v>230</v>
      </c>
      <c r="O938">
        <v>190</v>
      </c>
      <c r="P938">
        <v>321</v>
      </c>
      <c r="S938">
        <v>894</v>
      </c>
      <c r="T938">
        <v>906.59999999999945</v>
      </c>
      <c r="U938">
        <v>971.34999999999945</v>
      </c>
      <c r="V938">
        <v>906.60000000000036</v>
      </c>
      <c r="W938">
        <v>2247.1999999999989</v>
      </c>
      <c r="X938">
        <v>2242.0499999999993</v>
      </c>
      <c r="Y938">
        <v>-2201.3000000000002</v>
      </c>
    </row>
    <row r="939" spans="1:25" x14ac:dyDescent="0.35">
      <c r="A939">
        <v>895</v>
      </c>
      <c r="B939">
        <v>906.59999999999945</v>
      </c>
      <c r="C939">
        <v>990.77499999999964</v>
      </c>
      <c r="D939">
        <v>906.60000000000036</v>
      </c>
      <c r="E939">
        <v>-1255.9500000000007</v>
      </c>
      <c r="F939">
        <v>-478.95000000000073</v>
      </c>
      <c r="G939">
        <v>-2525.0500000000002</v>
      </c>
      <c r="J939">
        <v>895</v>
      </c>
      <c r="K939">
        <v>0</v>
      </c>
      <c r="L939">
        <v>0</v>
      </c>
      <c r="M939">
        <v>0</v>
      </c>
      <c r="N939">
        <v>219</v>
      </c>
      <c r="O939">
        <v>173</v>
      </c>
      <c r="P939">
        <v>299</v>
      </c>
      <c r="S939">
        <v>895</v>
      </c>
      <c r="T939">
        <v>906.59999999999945</v>
      </c>
      <c r="U939">
        <v>971.34999999999854</v>
      </c>
      <c r="V939">
        <v>906.59999999999945</v>
      </c>
      <c r="W939">
        <v>1694.387931458597</v>
      </c>
      <c r="X939">
        <v>2225.9499999999994</v>
      </c>
      <c r="Y939">
        <v>64.444668095627549</v>
      </c>
    </row>
    <row r="940" spans="1:25" x14ac:dyDescent="0.35">
      <c r="A940">
        <v>896</v>
      </c>
      <c r="B940">
        <v>906.59999999999945</v>
      </c>
      <c r="C940">
        <v>964.875</v>
      </c>
      <c r="D940">
        <v>906.59999999999945</v>
      </c>
      <c r="E940">
        <v>-1126.4500000000007</v>
      </c>
      <c r="F940">
        <v>-478.95000000000073</v>
      </c>
      <c r="G940">
        <v>-2486.1999999999998</v>
      </c>
      <c r="J940">
        <v>896</v>
      </c>
      <c r="K940">
        <v>0</v>
      </c>
      <c r="L940">
        <v>0</v>
      </c>
      <c r="M940">
        <v>0</v>
      </c>
      <c r="N940">
        <v>222</v>
      </c>
      <c r="O940">
        <v>163</v>
      </c>
      <c r="P940">
        <v>337</v>
      </c>
      <c r="S940">
        <v>896</v>
      </c>
      <c r="T940">
        <v>906.59999999999945</v>
      </c>
      <c r="U940">
        <v>926.02499999999964</v>
      </c>
      <c r="V940">
        <v>906.60000000000036</v>
      </c>
      <c r="W940">
        <v>2269.1999999999994</v>
      </c>
      <c r="X940">
        <v>2256.4250000000002</v>
      </c>
      <c r="Y940">
        <v>2413.3699896169192</v>
      </c>
    </row>
    <row r="941" spans="1:25" x14ac:dyDescent="0.35">
      <c r="A941">
        <v>897</v>
      </c>
      <c r="B941">
        <v>906.59999999999945</v>
      </c>
      <c r="C941">
        <v>984.30000000000018</v>
      </c>
      <c r="D941">
        <v>906.60000000000036</v>
      </c>
      <c r="E941">
        <v>-1217.1000000000004</v>
      </c>
      <c r="F941">
        <v>-375.35000000000036</v>
      </c>
      <c r="G941">
        <v>-2408.5</v>
      </c>
      <c r="J941">
        <v>897</v>
      </c>
      <c r="K941">
        <v>0</v>
      </c>
      <c r="L941">
        <v>0</v>
      </c>
      <c r="M941">
        <v>0</v>
      </c>
      <c r="N941">
        <v>232</v>
      </c>
      <c r="O941">
        <v>215</v>
      </c>
      <c r="P941">
        <v>306</v>
      </c>
      <c r="S941">
        <v>897</v>
      </c>
      <c r="T941">
        <v>906.59999999999945</v>
      </c>
      <c r="U941">
        <v>964.875</v>
      </c>
      <c r="V941">
        <v>906.59999999999945</v>
      </c>
      <c r="W941">
        <v>626.91690663967483</v>
      </c>
      <c r="X941">
        <v>2233.4749999999995</v>
      </c>
      <c r="Y941">
        <v>2393.1999999999998</v>
      </c>
    </row>
    <row r="942" spans="1:25" x14ac:dyDescent="0.35">
      <c r="A942">
        <v>898</v>
      </c>
      <c r="B942">
        <v>906.59999999999945</v>
      </c>
      <c r="C942">
        <v>958.39999999999873</v>
      </c>
      <c r="D942">
        <v>906.59999999999945</v>
      </c>
      <c r="E942">
        <v>-1204.1500000000005</v>
      </c>
      <c r="F942">
        <v>-174.625</v>
      </c>
      <c r="G942">
        <v>-2356.6999999999998</v>
      </c>
      <c r="J942">
        <v>898</v>
      </c>
      <c r="K942">
        <v>0</v>
      </c>
      <c r="L942">
        <v>0</v>
      </c>
      <c r="M942">
        <v>0</v>
      </c>
      <c r="N942">
        <v>203</v>
      </c>
      <c r="O942">
        <v>192</v>
      </c>
      <c r="P942">
        <v>316</v>
      </c>
      <c r="S942">
        <v>898</v>
      </c>
      <c r="T942">
        <v>906.59999999999945</v>
      </c>
      <c r="U942">
        <v>1010.1999999999998</v>
      </c>
      <c r="V942">
        <v>906.60000000000036</v>
      </c>
      <c r="W942">
        <v>2223.1999999999998</v>
      </c>
      <c r="X942">
        <v>2203.5749999999994</v>
      </c>
      <c r="Y942">
        <v>2439.1999999999989</v>
      </c>
    </row>
    <row r="943" spans="1:25" x14ac:dyDescent="0.35">
      <c r="A943">
        <v>899</v>
      </c>
      <c r="B943">
        <v>906.59999999999945</v>
      </c>
      <c r="C943">
        <v>990.77499999999873</v>
      </c>
      <c r="D943">
        <v>906.60000000000036</v>
      </c>
      <c r="E943">
        <v>-1204.1500000000005</v>
      </c>
      <c r="F943">
        <v>-453.05000000000018</v>
      </c>
      <c r="G943">
        <v>-2071.8000000000002</v>
      </c>
      <c r="J943">
        <v>899</v>
      </c>
      <c r="K943">
        <v>0</v>
      </c>
      <c r="L943">
        <v>0</v>
      </c>
      <c r="M943">
        <v>0</v>
      </c>
      <c r="N943">
        <v>227</v>
      </c>
      <c r="O943">
        <v>207</v>
      </c>
      <c r="P943">
        <v>312</v>
      </c>
      <c r="S943">
        <v>899</v>
      </c>
      <c r="T943">
        <v>906.59999999999945</v>
      </c>
      <c r="U943">
        <v>951.92499999999927</v>
      </c>
      <c r="V943">
        <v>906.60000000000036</v>
      </c>
      <c r="W943">
        <v>2253.1999999999998</v>
      </c>
      <c r="X943">
        <v>-121.18886363618044</v>
      </c>
      <c r="Y943">
        <v>2415.1999999999998</v>
      </c>
    </row>
    <row r="944" spans="1:25" x14ac:dyDescent="0.35">
      <c r="A944">
        <v>900</v>
      </c>
      <c r="B944">
        <v>906.59999999999945</v>
      </c>
      <c r="C944">
        <v>951.92499999999927</v>
      </c>
      <c r="D944">
        <v>906.59999999999945</v>
      </c>
      <c r="E944">
        <v>-1113.5</v>
      </c>
      <c r="F944">
        <v>-453.05000000000109</v>
      </c>
      <c r="G944">
        <v>-2149.5</v>
      </c>
      <c r="J944">
        <v>900</v>
      </c>
      <c r="K944">
        <v>0</v>
      </c>
      <c r="L944">
        <v>0</v>
      </c>
      <c r="M944">
        <v>0</v>
      </c>
      <c r="N944">
        <v>251</v>
      </c>
      <c r="O944">
        <v>174</v>
      </c>
      <c r="P944">
        <v>312</v>
      </c>
      <c r="S944">
        <v>900</v>
      </c>
      <c r="T944">
        <v>906.59999999999945</v>
      </c>
      <c r="U944">
        <v>1010.1999999999989</v>
      </c>
      <c r="V944">
        <v>906.59999999999945</v>
      </c>
      <c r="W944">
        <v>2271.1999999999994</v>
      </c>
      <c r="X944">
        <v>2185.9499999999994</v>
      </c>
      <c r="Y944">
        <v>-887.75316298679354</v>
      </c>
    </row>
    <row r="945" spans="1:25" x14ac:dyDescent="0.35">
      <c r="A945">
        <v>901</v>
      </c>
      <c r="B945">
        <v>906.59999999999945</v>
      </c>
      <c r="C945">
        <v>951.92499999999927</v>
      </c>
      <c r="D945">
        <v>906.59999999999945</v>
      </c>
      <c r="E945">
        <v>-1022.8500000000004</v>
      </c>
      <c r="F945">
        <v>-601.97500000000036</v>
      </c>
      <c r="G945">
        <v>-2058.8500000000004</v>
      </c>
      <c r="J945">
        <v>901</v>
      </c>
      <c r="K945">
        <v>0</v>
      </c>
      <c r="L945">
        <v>0</v>
      </c>
      <c r="M945">
        <v>0</v>
      </c>
      <c r="N945">
        <v>231</v>
      </c>
      <c r="O945">
        <v>164</v>
      </c>
      <c r="P945">
        <v>320</v>
      </c>
      <c r="S945">
        <v>901</v>
      </c>
      <c r="T945">
        <v>906.59999999999945</v>
      </c>
      <c r="U945">
        <v>984.29999999999927</v>
      </c>
      <c r="V945">
        <v>906.59999999999945</v>
      </c>
      <c r="W945">
        <v>-822.5369516462531</v>
      </c>
      <c r="X945">
        <v>2228.4249999999997</v>
      </c>
      <c r="Y945">
        <v>2451.1999999999998</v>
      </c>
    </row>
    <row r="946" spans="1:25" x14ac:dyDescent="0.35">
      <c r="A946">
        <v>902</v>
      </c>
      <c r="B946">
        <v>906.59999999999945</v>
      </c>
      <c r="C946">
        <v>964.87499999999909</v>
      </c>
      <c r="D946">
        <v>906.59999999999945</v>
      </c>
      <c r="E946">
        <v>-1009.9000000000005</v>
      </c>
      <c r="F946">
        <v>-634.35000000000036</v>
      </c>
      <c r="G946">
        <v>-2317.8500000000004</v>
      </c>
      <c r="J946">
        <v>902</v>
      </c>
      <c r="K946">
        <v>0</v>
      </c>
      <c r="L946">
        <v>0</v>
      </c>
      <c r="M946">
        <v>0</v>
      </c>
      <c r="N946">
        <v>219</v>
      </c>
      <c r="O946">
        <v>203</v>
      </c>
      <c r="P946">
        <v>325</v>
      </c>
      <c r="S946">
        <v>902</v>
      </c>
      <c r="T946">
        <v>906.59999999999945</v>
      </c>
      <c r="U946">
        <v>964.87499999999909</v>
      </c>
      <c r="V946">
        <v>906.60000000000036</v>
      </c>
      <c r="W946">
        <v>2291.1999999999994</v>
      </c>
      <c r="X946">
        <v>-394.77500000000055</v>
      </c>
      <c r="Y946">
        <v>-274.94681480506256</v>
      </c>
    </row>
    <row r="947" spans="1:25" x14ac:dyDescent="0.35">
      <c r="A947">
        <v>903</v>
      </c>
      <c r="B947">
        <v>906.59999999999945</v>
      </c>
      <c r="C947">
        <v>964.87499999999909</v>
      </c>
      <c r="D947">
        <v>906.60000000000036</v>
      </c>
      <c r="E947">
        <v>-984</v>
      </c>
      <c r="F947">
        <v>-640.82500000000073</v>
      </c>
      <c r="G947">
        <v>-2279</v>
      </c>
      <c r="J947">
        <v>903</v>
      </c>
      <c r="K947">
        <v>0</v>
      </c>
      <c r="L947">
        <v>0</v>
      </c>
      <c r="M947">
        <v>2</v>
      </c>
      <c r="N947">
        <v>198</v>
      </c>
      <c r="O947">
        <v>172</v>
      </c>
      <c r="P947">
        <v>320</v>
      </c>
      <c r="S947">
        <v>903</v>
      </c>
      <c r="T947">
        <v>906.59999999999945</v>
      </c>
      <c r="U947">
        <v>945.44999999999982</v>
      </c>
      <c r="V947">
        <v>906.59999999999945</v>
      </c>
      <c r="W947">
        <v>2291.1999999999994</v>
      </c>
      <c r="X947">
        <v>2257.849999999999</v>
      </c>
      <c r="Y947">
        <v>2393.1999999999998</v>
      </c>
    </row>
    <row r="948" spans="1:25" x14ac:dyDescent="0.35">
      <c r="A948">
        <v>904</v>
      </c>
      <c r="B948">
        <v>906.59999999999945</v>
      </c>
      <c r="C948">
        <v>951.92499999999927</v>
      </c>
      <c r="D948">
        <v>906.60000000000036</v>
      </c>
      <c r="E948">
        <v>-1204.1500000000005</v>
      </c>
      <c r="F948">
        <v>-712.05000000000109</v>
      </c>
      <c r="G948">
        <v>-2201.3000000000002</v>
      </c>
      <c r="J948">
        <v>904</v>
      </c>
      <c r="K948">
        <v>0</v>
      </c>
      <c r="L948">
        <v>0</v>
      </c>
      <c r="M948">
        <v>0</v>
      </c>
      <c r="N948">
        <v>216</v>
      </c>
      <c r="O948">
        <v>183</v>
      </c>
      <c r="P948">
        <v>331</v>
      </c>
      <c r="S948">
        <v>904</v>
      </c>
      <c r="T948">
        <v>906.59999999999945</v>
      </c>
      <c r="U948">
        <v>997.24999999999909</v>
      </c>
      <c r="V948">
        <v>906.60000000000036</v>
      </c>
      <c r="W948">
        <v>2275.1999999999998</v>
      </c>
      <c r="X948">
        <v>2219.3749999999991</v>
      </c>
      <c r="Y948">
        <v>-208.19356198882451</v>
      </c>
    </row>
    <row r="949" spans="1:25" x14ac:dyDescent="0.35">
      <c r="A949">
        <v>905</v>
      </c>
      <c r="B949">
        <v>906.59999999999945</v>
      </c>
      <c r="C949">
        <v>964.87499999999909</v>
      </c>
      <c r="D949">
        <v>906.59999999999945</v>
      </c>
      <c r="E949">
        <v>-1204.1500000000005</v>
      </c>
      <c r="F949">
        <v>-226.42500000000109</v>
      </c>
      <c r="G949">
        <v>-2563.9000000000005</v>
      </c>
      <c r="J949">
        <v>905</v>
      </c>
      <c r="K949">
        <v>0</v>
      </c>
      <c r="L949">
        <v>0</v>
      </c>
      <c r="M949">
        <v>0</v>
      </c>
      <c r="N949">
        <v>219</v>
      </c>
      <c r="O949">
        <v>175</v>
      </c>
      <c r="P949">
        <v>327</v>
      </c>
      <c r="S949">
        <v>905</v>
      </c>
      <c r="T949">
        <v>906.59999999999945</v>
      </c>
      <c r="U949">
        <v>990.77499999999964</v>
      </c>
      <c r="V949">
        <v>919.55000000000018</v>
      </c>
      <c r="W949">
        <v>2327.1999999999989</v>
      </c>
      <c r="X949">
        <v>2255.4749999999985</v>
      </c>
      <c r="Y949">
        <v>2407.1999999999989</v>
      </c>
    </row>
    <row r="950" spans="1:25" x14ac:dyDescent="0.35">
      <c r="A950">
        <v>906</v>
      </c>
      <c r="B950">
        <v>906.59999999999945</v>
      </c>
      <c r="C950">
        <v>958.39999999999964</v>
      </c>
      <c r="D950">
        <v>906.60000000000036</v>
      </c>
      <c r="E950">
        <v>-1061.7000000000007</v>
      </c>
      <c r="F950">
        <v>-271.75</v>
      </c>
      <c r="G950">
        <v>-2550.9499999999998</v>
      </c>
      <c r="J950">
        <v>906</v>
      </c>
      <c r="K950">
        <v>0</v>
      </c>
      <c r="L950">
        <v>0</v>
      </c>
      <c r="M950">
        <v>0</v>
      </c>
      <c r="N950">
        <v>224</v>
      </c>
      <c r="O950">
        <v>177</v>
      </c>
      <c r="P950">
        <v>326</v>
      </c>
      <c r="S950">
        <v>906</v>
      </c>
      <c r="T950">
        <v>906.59999999999945</v>
      </c>
      <c r="U950">
        <v>1003.7249999999995</v>
      </c>
      <c r="V950">
        <v>906.59999999999945</v>
      </c>
      <c r="W950">
        <v>2219.1999999999994</v>
      </c>
      <c r="X950">
        <v>2271.3749999999995</v>
      </c>
      <c r="Y950">
        <v>2433.1999999999998</v>
      </c>
    </row>
    <row r="951" spans="1:25" x14ac:dyDescent="0.35">
      <c r="A951">
        <v>907</v>
      </c>
      <c r="B951">
        <v>906.59999999999945</v>
      </c>
      <c r="C951">
        <v>964.87499999999909</v>
      </c>
      <c r="D951">
        <v>906.60000000000036</v>
      </c>
      <c r="E951">
        <v>-1294.8000000000002</v>
      </c>
      <c r="F951">
        <v>-427.15000000000055</v>
      </c>
      <c r="G951">
        <v>-2538</v>
      </c>
      <c r="J951">
        <v>907</v>
      </c>
      <c r="K951">
        <v>0</v>
      </c>
      <c r="L951">
        <v>0</v>
      </c>
      <c r="M951">
        <v>0</v>
      </c>
      <c r="N951">
        <v>224</v>
      </c>
      <c r="O951">
        <v>188</v>
      </c>
      <c r="P951">
        <v>313</v>
      </c>
      <c r="S951">
        <v>907</v>
      </c>
      <c r="T951">
        <v>906.59999999999945</v>
      </c>
      <c r="U951">
        <v>938.97499999999945</v>
      </c>
      <c r="V951">
        <v>906.60000000000036</v>
      </c>
      <c r="W951">
        <v>2239.1999999999994</v>
      </c>
      <c r="X951">
        <v>1877.039806073461</v>
      </c>
      <c r="Y951">
        <v>2522.1499999999996</v>
      </c>
    </row>
    <row r="952" spans="1:25" x14ac:dyDescent="0.35">
      <c r="A952">
        <v>908</v>
      </c>
      <c r="B952">
        <v>906.59999999999945</v>
      </c>
      <c r="C952">
        <v>990.77499999999964</v>
      </c>
      <c r="D952">
        <v>906.59999999999945</v>
      </c>
      <c r="E952">
        <v>-971.05000000000018</v>
      </c>
      <c r="F952">
        <v>-466</v>
      </c>
      <c r="G952">
        <v>-2343.75</v>
      </c>
      <c r="J952">
        <v>908</v>
      </c>
      <c r="K952">
        <v>0</v>
      </c>
      <c r="L952">
        <v>0</v>
      </c>
      <c r="M952">
        <v>0</v>
      </c>
      <c r="N952">
        <v>244</v>
      </c>
      <c r="O952">
        <v>201</v>
      </c>
      <c r="P952">
        <v>314</v>
      </c>
      <c r="S952">
        <v>908</v>
      </c>
      <c r="T952">
        <v>906.59999999999945</v>
      </c>
      <c r="U952">
        <v>964.875</v>
      </c>
      <c r="V952">
        <v>906.60000000000036</v>
      </c>
      <c r="W952">
        <v>2261.1999999999994</v>
      </c>
      <c r="X952">
        <v>1576.5123399973527</v>
      </c>
      <c r="Y952">
        <v>-2395.5500000000002</v>
      </c>
    </row>
    <row r="953" spans="1:25" x14ac:dyDescent="0.35">
      <c r="A953">
        <v>909</v>
      </c>
      <c r="B953">
        <v>906.59999999999945</v>
      </c>
      <c r="C953">
        <v>1003.7249999999985</v>
      </c>
      <c r="D953">
        <v>906.59999999999945</v>
      </c>
      <c r="E953">
        <v>-1087.6000000000004</v>
      </c>
      <c r="F953">
        <v>-621.39999999999964</v>
      </c>
      <c r="G953">
        <v>-2447.3500000000004</v>
      </c>
      <c r="J953">
        <v>909</v>
      </c>
      <c r="K953">
        <v>0</v>
      </c>
      <c r="L953">
        <v>0</v>
      </c>
      <c r="M953">
        <v>0</v>
      </c>
      <c r="N953">
        <v>216</v>
      </c>
      <c r="O953">
        <v>179</v>
      </c>
      <c r="P953">
        <v>301</v>
      </c>
      <c r="S953">
        <v>909</v>
      </c>
      <c r="T953">
        <v>906.59999999999945</v>
      </c>
      <c r="U953">
        <v>932.5</v>
      </c>
      <c r="V953">
        <v>919.54999999999927</v>
      </c>
      <c r="W953">
        <v>2251.1999999999994</v>
      </c>
      <c r="X953">
        <v>-368.875</v>
      </c>
      <c r="Y953">
        <v>1644.8831158142648</v>
      </c>
    </row>
    <row r="954" spans="1:25" x14ac:dyDescent="0.35">
      <c r="A954">
        <v>910</v>
      </c>
      <c r="B954">
        <v>906.59999999999945</v>
      </c>
      <c r="C954">
        <v>984.29999999999927</v>
      </c>
      <c r="D954">
        <v>906.59999999999945</v>
      </c>
      <c r="E954">
        <v>-1191.2000000000007</v>
      </c>
      <c r="F954">
        <v>-491.90000000000055</v>
      </c>
      <c r="G954">
        <v>-2667.5</v>
      </c>
      <c r="J954">
        <v>910</v>
      </c>
      <c r="K954">
        <v>0</v>
      </c>
      <c r="L954">
        <v>0</v>
      </c>
      <c r="M954">
        <v>0</v>
      </c>
      <c r="N954">
        <v>220</v>
      </c>
      <c r="O954">
        <v>167</v>
      </c>
      <c r="P954">
        <v>312</v>
      </c>
      <c r="S954">
        <v>910</v>
      </c>
      <c r="T954">
        <v>906.59999999999945</v>
      </c>
      <c r="U954">
        <v>958.39999999999964</v>
      </c>
      <c r="V954">
        <v>906.59999999999945</v>
      </c>
      <c r="W954">
        <v>2277.1999999999989</v>
      </c>
      <c r="X954">
        <v>392.48940852634144</v>
      </c>
      <c r="Y954">
        <v>2431.1999999999998</v>
      </c>
    </row>
    <row r="955" spans="1:25" x14ac:dyDescent="0.35">
      <c r="A955">
        <v>911</v>
      </c>
      <c r="B955">
        <v>906.59999999999945</v>
      </c>
      <c r="C955">
        <v>971.35000000000036</v>
      </c>
      <c r="D955">
        <v>906.59999999999945</v>
      </c>
      <c r="E955">
        <v>-1061.7000000000007</v>
      </c>
      <c r="F955">
        <v>-401.25</v>
      </c>
      <c r="G955">
        <v>-2408.5</v>
      </c>
      <c r="J955">
        <v>911</v>
      </c>
      <c r="K955">
        <v>0</v>
      </c>
      <c r="L955">
        <v>0</v>
      </c>
      <c r="M955">
        <v>0</v>
      </c>
      <c r="N955">
        <v>247</v>
      </c>
      <c r="O955">
        <v>184</v>
      </c>
      <c r="P955">
        <v>306</v>
      </c>
      <c r="S955">
        <v>911</v>
      </c>
      <c r="T955">
        <v>906.59999999999945</v>
      </c>
      <c r="U955">
        <v>990.77499999999964</v>
      </c>
      <c r="V955">
        <v>906.60000000000036</v>
      </c>
      <c r="W955">
        <v>2271.1999999999994</v>
      </c>
      <c r="X955">
        <v>2188.9999999999995</v>
      </c>
      <c r="Y955">
        <v>-752.68636566070859</v>
      </c>
    </row>
    <row r="956" spans="1:25" x14ac:dyDescent="0.35">
      <c r="A956">
        <v>912</v>
      </c>
      <c r="B956">
        <v>906.59999999999945</v>
      </c>
      <c r="C956">
        <v>958.39999999999964</v>
      </c>
      <c r="D956">
        <v>906.59999999999945</v>
      </c>
      <c r="E956">
        <v>-958.10000000000036</v>
      </c>
      <c r="F956">
        <v>-446.57500000000073</v>
      </c>
      <c r="G956">
        <v>-2369.6500000000005</v>
      </c>
      <c r="J956">
        <v>912</v>
      </c>
      <c r="K956">
        <v>0</v>
      </c>
      <c r="L956">
        <v>0</v>
      </c>
      <c r="M956">
        <v>0</v>
      </c>
      <c r="N956">
        <v>226</v>
      </c>
      <c r="O956">
        <v>184</v>
      </c>
      <c r="P956">
        <v>341</v>
      </c>
      <c r="S956">
        <v>912</v>
      </c>
      <c r="T956">
        <v>906.59999999999945</v>
      </c>
      <c r="U956">
        <v>990.77499999999964</v>
      </c>
      <c r="V956">
        <v>906.59999999999945</v>
      </c>
      <c r="W956">
        <v>-719.40899696704616</v>
      </c>
      <c r="X956">
        <v>-582.55000000000109</v>
      </c>
      <c r="Y956">
        <v>-612.16949003068657</v>
      </c>
    </row>
    <row r="957" spans="1:25" x14ac:dyDescent="0.35">
      <c r="A957">
        <v>913</v>
      </c>
      <c r="B957">
        <v>906.59999999999945</v>
      </c>
      <c r="C957">
        <v>971.34999999999854</v>
      </c>
      <c r="D957">
        <v>906.60000000000036</v>
      </c>
      <c r="E957">
        <v>-1152.3500000000004</v>
      </c>
      <c r="F957">
        <v>-433.625</v>
      </c>
      <c r="G957">
        <v>-2045.9000000000005</v>
      </c>
      <c r="J957">
        <v>913</v>
      </c>
      <c r="K957">
        <v>0</v>
      </c>
      <c r="L957">
        <v>0</v>
      </c>
      <c r="M957">
        <v>0</v>
      </c>
      <c r="N957">
        <v>209</v>
      </c>
      <c r="O957">
        <v>202</v>
      </c>
      <c r="P957">
        <v>311</v>
      </c>
      <c r="S957">
        <v>913</v>
      </c>
      <c r="T957">
        <v>906.59999999999945</v>
      </c>
      <c r="U957">
        <v>984.29999999999927</v>
      </c>
      <c r="V957">
        <v>906.60000000000036</v>
      </c>
      <c r="W957">
        <v>2301.1999999999994</v>
      </c>
      <c r="X957">
        <v>1073.5973655332623</v>
      </c>
      <c r="Y957">
        <v>2468.1499999999996</v>
      </c>
    </row>
    <row r="958" spans="1:25" x14ac:dyDescent="0.35">
      <c r="A958">
        <v>914</v>
      </c>
      <c r="B958">
        <v>906.59999999999945</v>
      </c>
      <c r="C958">
        <v>951.92499999999927</v>
      </c>
      <c r="D958">
        <v>906.60000000000036</v>
      </c>
      <c r="E958">
        <v>-1113.5</v>
      </c>
      <c r="F958">
        <v>-653.77500000000055</v>
      </c>
      <c r="G958">
        <v>-2538</v>
      </c>
      <c r="J958">
        <v>914</v>
      </c>
      <c r="K958">
        <v>0</v>
      </c>
      <c r="L958">
        <v>0</v>
      </c>
      <c r="M958">
        <v>0</v>
      </c>
      <c r="N958">
        <v>215</v>
      </c>
      <c r="O958">
        <v>187</v>
      </c>
      <c r="P958">
        <v>341</v>
      </c>
      <c r="S958">
        <v>914</v>
      </c>
      <c r="T958">
        <v>906.59999999999945</v>
      </c>
      <c r="U958">
        <v>977.82499999999982</v>
      </c>
      <c r="V958">
        <v>906.59999999999945</v>
      </c>
      <c r="W958">
        <v>1551.9849326224316</v>
      </c>
      <c r="X958">
        <v>2243.4749999999995</v>
      </c>
      <c r="Y958">
        <v>753.2898550021041</v>
      </c>
    </row>
    <row r="959" spans="1:25" x14ac:dyDescent="0.35">
      <c r="A959">
        <v>915</v>
      </c>
      <c r="B959">
        <v>906.59999999999945</v>
      </c>
      <c r="C959">
        <v>1023.1499999999996</v>
      </c>
      <c r="D959">
        <v>906.59999999999945</v>
      </c>
      <c r="E959">
        <v>-1165.3000000000002</v>
      </c>
      <c r="F959">
        <v>-226.42500000000018</v>
      </c>
      <c r="G959">
        <v>-2654.55</v>
      </c>
      <c r="J959">
        <v>915</v>
      </c>
      <c r="K959">
        <v>0</v>
      </c>
      <c r="L959">
        <v>0</v>
      </c>
      <c r="M959">
        <v>0</v>
      </c>
      <c r="N959">
        <v>224</v>
      </c>
      <c r="O959">
        <v>176</v>
      </c>
      <c r="P959">
        <v>329</v>
      </c>
      <c r="S959">
        <v>915</v>
      </c>
      <c r="T959">
        <v>906.59999999999945</v>
      </c>
      <c r="U959">
        <v>1003.7249999999995</v>
      </c>
      <c r="V959">
        <v>906.59999999999945</v>
      </c>
      <c r="W959">
        <v>2305.1999999999998</v>
      </c>
      <c r="X959">
        <v>2262.8999999999996</v>
      </c>
      <c r="Y959">
        <v>2493.1999999999998</v>
      </c>
    </row>
    <row r="960" spans="1:25" x14ac:dyDescent="0.35">
      <c r="A960">
        <v>916</v>
      </c>
      <c r="B960">
        <v>906.59999999999945</v>
      </c>
      <c r="C960">
        <v>990.77499999999873</v>
      </c>
      <c r="D960">
        <v>906.59999999999945</v>
      </c>
      <c r="E960">
        <v>-1048.75</v>
      </c>
      <c r="F960">
        <v>-576.07500000000073</v>
      </c>
      <c r="G960">
        <v>-1994.1000000000004</v>
      </c>
      <c r="J960">
        <v>916</v>
      </c>
      <c r="K960">
        <v>0</v>
      </c>
      <c r="L960">
        <v>0</v>
      </c>
      <c r="M960">
        <v>0</v>
      </c>
      <c r="N960">
        <v>224</v>
      </c>
      <c r="O960">
        <v>174</v>
      </c>
      <c r="P960">
        <v>346</v>
      </c>
      <c r="S960">
        <v>916</v>
      </c>
      <c r="T960">
        <v>906.59999999999945</v>
      </c>
      <c r="U960">
        <v>971.34999999999945</v>
      </c>
      <c r="V960">
        <v>906.59999999999945</v>
      </c>
      <c r="W960">
        <v>2269.1999999999994</v>
      </c>
      <c r="X960">
        <v>2188.9999999999995</v>
      </c>
      <c r="Y960">
        <v>1372.4492987954472</v>
      </c>
    </row>
    <row r="961" spans="1:25" x14ac:dyDescent="0.35">
      <c r="A961">
        <v>917</v>
      </c>
      <c r="B961">
        <v>906.59999999999945</v>
      </c>
      <c r="C961">
        <v>971.34999999999945</v>
      </c>
      <c r="D961">
        <v>906.59999999999945</v>
      </c>
      <c r="E961">
        <v>-828.60000000000036</v>
      </c>
      <c r="F961">
        <v>-459.52499999999964</v>
      </c>
      <c r="G961">
        <v>-2123.6000000000004</v>
      </c>
      <c r="J961">
        <v>917</v>
      </c>
      <c r="K961">
        <v>0</v>
      </c>
      <c r="L961">
        <v>0</v>
      </c>
      <c r="M961">
        <v>0</v>
      </c>
      <c r="N961">
        <v>228</v>
      </c>
      <c r="O961">
        <v>190</v>
      </c>
      <c r="P961">
        <v>335</v>
      </c>
      <c r="S961">
        <v>917</v>
      </c>
      <c r="T961">
        <v>906.59999999999945</v>
      </c>
      <c r="U961">
        <v>984.30000000000018</v>
      </c>
      <c r="V961">
        <v>906.60000000000036</v>
      </c>
      <c r="W961">
        <v>2265.1999999999998</v>
      </c>
      <c r="X961">
        <v>2247.9499999999998</v>
      </c>
      <c r="Y961">
        <v>2469.1999999999989</v>
      </c>
    </row>
    <row r="962" spans="1:25" x14ac:dyDescent="0.35">
      <c r="A962">
        <v>918</v>
      </c>
      <c r="B962">
        <v>906.59999999999945</v>
      </c>
      <c r="C962">
        <v>958.39999999999964</v>
      </c>
      <c r="D962">
        <v>906.59999999999945</v>
      </c>
      <c r="E962">
        <v>-1074.6500000000005</v>
      </c>
      <c r="F962">
        <v>-589.02500000000055</v>
      </c>
      <c r="G962">
        <v>-2045.9000000000005</v>
      </c>
      <c r="J962">
        <v>918</v>
      </c>
      <c r="K962">
        <v>0</v>
      </c>
      <c r="L962">
        <v>0</v>
      </c>
      <c r="M962">
        <v>0</v>
      </c>
      <c r="N962">
        <v>215</v>
      </c>
      <c r="O962">
        <v>196</v>
      </c>
      <c r="P962">
        <v>304</v>
      </c>
      <c r="S962">
        <v>918</v>
      </c>
      <c r="T962">
        <v>906.59999999999945</v>
      </c>
      <c r="U962">
        <v>971.34999999999945</v>
      </c>
      <c r="V962">
        <v>906.59999999999945</v>
      </c>
      <c r="W962">
        <v>2295.1999999999998</v>
      </c>
      <c r="X962">
        <v>2237.849999999999</v>
      </c>
      <c r="Y962">
        <v>2427.1999999999989</v>
      </c>
    </row>
    <row r="963" spans="1:25" x14ac:dyDescent="0.35">
      <c r="A963">
        <v>919</v>
      </c>
      <c r="B963">
        <v>906.59999999999945</v>
      </c>
      <c r="C963">
        <v>1010.1999999999998</v>
      </c>
      <c r="D963">
        <v>906.60000000000036</v>
      </c>
      <c r="E963">
        <v>-1592.6500000000005</v>
      </c>
      <c r="F963">
        <v>-504.85000000000036</v>
      </c>
      <c r="G963">
        <v>-2486.1999999999998</v>
      </c>
      <c r="J963">
        <v>919</v>
      </c>
      <c r="K963">
        <v>0</v>
      </c>
      <c r="L963">
        <v>0</v>
      </c>
      <c r="M963">
        <v>0</v>
      </c>
      <c r="N963">
        <v>210</v>
      </c>
      <c r="O963">
        <v>180</v>
      </c>
      <c r="P963">
        <v>323</v>
      </c>
      <c r="S963">
        <v>919</v>
      </c>
      <c r="T963">
        <v>906.59999999999945</v>
      </c>
      <c r="U963">
        <v>971.34999999999945</v>
      </c>
      <c r="V963">
        <v>906.59999999999945</v>
      </c>
      <c r="W963">
        <v>2303.1999999999998</v>
      </c>
      <c r="X963">
        <v>2269.3749999999991</v>
      </c>
      <c r="Y963">
        <v>2481.1999999999998</v>
      </c>
    </row>
    <row r="964" spans="1:25" x14ac:dyDescent="0.35">
      <c r="A964">
        <v>920</v>
      </c>
      <c r="B964">
        <v>906.59999999999945</v>
      </c>
      <c r="C964">
        <v>977.82499999999982</v>
      </c>
      <c r="D964">
        <v>906.60000000000036</v>
      </c>
      <c r="E964">
        <v>-1048.75</v>
      </c>
      <c r="F964">
        <v>-433.625</v>
      </c>
      <c r="G964">
        <v>-2188.3500000000004</v>
      </c>
      <c r="J964">
        <v>920</v>
      </c>
      <c r="K964">
        <v>0</v>
      </c>
      <c r="L964">
        <v>0</v>
      </c>
      <c r="M964">
        <v>0</v>
      </c>
      <c r="N964">
        <v>217</v>
      </c>
      <c r="O964">
        <v>177</v>
      </c>
      <c r="P964">
        <v>316</v>
      </c>
      <c r="S964">
        <v>920</v>
      </c>
      <c r="T964">
        <v>906.59999999999945</v>
      </c>
      <c r="U964">
        <v>997.25</v>
      </c>
      <c r="V964">
        <v>912.6</v>
      </c>
      <c r="W964">
        <v>2293.1999999999998</v>
      </c>
      <c r="X964">
        <v>2274.4249999999993</v>
      </c>
      <c r="Y964">
        <v>-711.61557102830579</v>
      </c>
    </row>
    <row r="965" spans="1:25" x14ac:dyDescent="0.35">
      <c r="A965">
        <v>921</v>
      </c>
      <c r="B965">
        <v>906.59999999999945</v>
      </c>
      <c r="C965">
        <v>1003.7249999999985</v>
      </c>
      <c r="D965">
        <v>906.59999999999945</v>
      </c>
      <c r="E965">
        <v>-1178.25</v>
      </c>
      <c r="F965">
        <v>-368.875</v>
      </c>
      <c r="G965">
        <v>-2434.4000000000005</v>
      </c>
      <c r="J965">
        <v>921</v>
      </c>
      <c r="K965">
        <v>0</v>
      </c>
      <c r="L965">
        <v>0</v>
      </c>
      <c r="M965">
        <v>0</v>
      </c>
      <c r="N965">
        <v>234</v>
      </c>
      <c r="O965">
        <v>189</v>
      </c>
      <c r="P965">
        <v>338</v>
      </c>
      <c r="S965">
        <v>921</v>
      </c>
      <c r="T965">
        <v>906.59999999999945</v>
      </c>
      <c r="U965">
        <v>971.34999999999945</v>
      </c>
      <c r="V965">
        <v>906.59999999999945</v>
      </c>
      <c r="W965">
        <v>2259.1999999999994</v>
      </c>
      <c r="X965">
        <v>1697.8626835423738</v>
      </c>
      <c r="Y965">
        <v>-2266.0500000000002</v>
      </c>
    </row>
    <row r="966" spans="1:25" x14ac:dyDescent="0.35">
      <c r="A966">
        <v>922</v>
      </c>
      <c r="B966">
        <v>906.59999999999945</v>
      </c>
      <c r="C966">
        <v>971.34999999999854</v>
      </c>
      <c r="D966">
        <v>906.60000000000036</v>
      </c>
      <c r="E966">
        <v>-1178.25</v>
      </c>
      <c r="F966">
        <v>-466</v>
      </c>
      <c r="G966">
        <v>-2214.25</v>
      </c>
      <c r="J966">
        <v>922</v>
      </c>
      <c r="K966">
        <v>0</v>
      </c>
      <c r="L966">
        <v>0</v>
      </c>
      <c r="M966">
        <v>8</v>
      </c>
      <c r="N966">
        <v>226</v>
      </c>
      <c r="O966">
        <v>169</v>
      </c>
      <c r="P966">
        <v>319</v>
      </c>
      <c r="S966">
        <v>922</v>
      </c>
      <c r="T966">
        <v>906.59999999999945</v>
      </c>
      <c r="U966">
        <v>964.87499999999909</v>
      </c>
      <c r="V966">
        <v>906.60000000000036</v>
      </c>
      <c r="W966">
        <v>2265.1999999999998</v>
      </c>
      <c r="X966">
        <v>2215.9499999999994</v>
      </c>
      <c r="Y966">
        <v>2419.1999999999989</v>
      </c>
    </row>
    <row r="967" spans="1:25" x14ac:dyDescent="0.35">
      <c r="A967">
        <v>923</v>
      </c>
      <c r="B967">
        <v>906.59999999999945</v>
      </c>
      <c r="C967">
        <v>1003.7249999999995</v>
      </c>
      <c r="D967">
        <v>906.59999999999945</v>
      </c>
      <c r="E967">
        <v>-1113.5</v>
      </c>
      <c r="F967">
        <v>-174.625</v>
      </c>
      <c r="G967">
        <v>-2874.7</v>
      </c>
      <c r="J967">
        <v>923</v>
      </c>
      <c r="K967">
        <v>0</v>
      </c>
      <c r="L967">
        <v>0</v>
      </c>
      <c r="M967">
        <v>0</v>
      </c>
      <c r="N967">
        <v>216</v>
      </c>
      <c r="O967">
        <v>194</v>
      </c>
      <c r="P967">
        <v>333</v>
      </c>
      <c r="S967">
        <v>923</v>
      </c>
      <c r="T967">
        <v>906.59999999999945</v>
      </c>
      <c r="U967">
        <v>958.39999999999964</v>
      </c>
      <c r="V967">
        <v>919.55000000000018</v>
      </c>
      <c r="W967">
        <v>2271.1999999999994</v>
      </c>
      <c r="X967">
        <v>-532.95545428375215</v>
      </c>
      <c r="Y967">
        <v>2504.1499999999996</v>
      </c>
    </row>
    <row r="968" spans="1:25" x14ac:dyDescent="0.35">
      <c r="A968">
        <v>924</v>
      </c>
      <c r="B968">
        <v>906.59999999999945</v>
      </c>
      <c r="C968">
        <v>945.44999999999982</v>
      </c>
      <c r="D968">
        <v>906.60000000000036</v>
      </c>
      <c r="E968">
        <v>-1113.5</v>
      </c>
      <c r="F968">
        <v>-394.77500000000055</v>
      </c>
      <c r="G968">
        <v>-2369.6500000000005</v>
      </c>
      <c r="J968">
        <v>924</v>
      </c>
      <c r="K968">
        <v>0</v>
      </c>
      <c r="L968">
        <v>0</v>
      </c>
      <c r="M968">
        <v>0</v>
      </c>
      <c r="N968">
        <v>217</v>
      </c>
      <c r="O968">
        <v>172</v>
      </c>
      <c r="P968">
        <v>304</v>
      </c>
      <c r="S968">
        <v>924</v>
      </c>
      <c r="T968">
        <v>906.59999999999945</v>
      </c>
      <c r="U968">
        <v>990.77499999999964</v>
      </c>
      <c r="V968">
        <v>906.59999999999945</v>
      </c>
      <c r="W968">
        <v>2235.1999999999998</v>
      </c>
      <c r="X968">
        <v>599.81846313007986</v>
      </c>
      <c r="Y968">
        <v>-532.5075790413041</v>
      </c>
    </row>
    <row r="969" spans="1:25" x14ac:dyDescent="0.35">
      <c r="A969">
        <v>925</v>
      </c>
      <c r="B969">
        <v>906.59999999999945</v>
      </c>
      <c r="C969">
        <v>977.82499999999982</v>
      </c>
      <c r="D969">
        <v>906.59999999999945</v>
      </c>
      <c r="E969">
        <v>-958.10000000000036</v>
      </c>
      <c r="F969">
        <v>-614.92500000000018</v>
      </c>
      <c r="G969">
        <v>-2563.9000000000005</v>
      </c>
      <c r="J969">
        <v>925</v>
      </c>
      <c r="K969">
        <v>0</v>
      </c>
      <c r="L969">
        <v>0</v>
      </c>
      <c r="M969">
        <v>0</v>
      </c>
      <c r="N969">
        <v>229</v>
      </c>
      <c r="O969">
        <v>173</v>
      </c>
      <c r="P969">
        <v>331</v>
      </c>
      <c r="S969">
        <v>925</v>
      </c>
      <c r="T969">
        <v>906.59999999999945</v>
      </c>
      <c r="U969">
        <v>997.25</v>
      </c>
      <c r="V969">
        <v>906.60000000000036</v>
      </c>
      <c r="W969">
        <v>2309.1999999999994</v>
      </c>
      <c r="X969">
        <v>2275.1489096269693</v>
      </c>
      <c r="Y969">
        <v>2491.1999999999998</v>
      </c>
    </row>
    <row r="970" spans="1:25" x14ac:dyDescent="0.35">
      <c r="A970">
        <v>926</v>
      </c>
      <c r="B970">
        <v>906.59999999999945</v>
      </c>
      <c r="C970">
        <v>984.29999999999927</v>
      </c>
      <c r="D970">
        <v>906.59999999999945</v>
      </c>
      <c r="E970">
        <v>-1139.4000000000005</v>
      </c>
      <c r="F970">
        <v>-401.25</v>
      </c>
      <c r="G970">
        <v>-2641.6000000000004</v>
      </c>
      <c r="J970">
        <v>926</v>
      </c>
      <c r="K970">
        <v>0</v>
      </c>
      <c r="L970">
        <v>0</v>
      </c>
      <c r="M970">
        <v>0</v>
      </c>
      <c r="N970">
        <v>211</v>
      </c>
      <c r="O970">
        <v>182</v>
      </c>
      <c r="P970">
        <v>344</v>
      </c>
      <c r="S970">
        <v>926</v>
      </c>
      <c r="T970">
        <v>906.59999999999945</v>
      </c>
      <c r="U970">
        <v>951.92499999999927</v>
      </c>
      <c r="V970">
        <v>906.59999999999945</v>
      </c>
      <c r="W970">
        <v>2297.1999999999989</v>
      </c>
      <c r="X970">
        <v>-411.38297371282351</v>
      </c>
      <c r="Y970">
        <v>2086.4781665801065</v>
      </c>
    </row>
    <row r="971" spans="1:25" x14ac:dyDescent="0.35">
      <c r="A971">
        <v>927</v>
      </c>
      <c r="B971">
        <v>906.59999999999945</v>
      </c>
      <c r="C971">
        <v>945.44999999999982</v>
      </c>
      <c r="D971">
        <v>919.54999999999927</v>
      </c>
      <c r="E971">
        <v>-996.95000000000073</v>
      </c>
      <c r="F971">
        <v>-168.15000000000055</v>
      </c>
      <c r="G971">
        <v>-2304.9000000000005</v>
      </c>
      <c r="J971">
        <v>927</v>
      </c>
      <c r="K971">
        <v>0</v>
      </c>
      <c r="L971">
        <v>0</v>
      </c>
      <c r="M971">
        <v>0</v>
      </c>
      <c r="N971">
        <v>213</v>
      </c>
      <c r="O971">
        <v>188</v>
      </c>
      <c r="P971">
        <v>326</v>
      </c>
      <c r="S971">
        <v>927</v>
      </c>
      <c r="T971">
        <v>906.59999999999945</v>
      </c>
      <c r="U971">
        <v>964.875</v>
      </c>
      <c r="V971">
        <v>906.60000000000036</v>
      </c>
      <c r="W971">
        <v>1181.1352428524474</v>
      </c>
      <c r="X971">
        <v>2133.680313876805</v>
      </c>
      <c r="Y971">
        <v>2427.1999999999989</v>
      </c>
    </row>
    <row r="972" spans="1:25" x14ac:dyDescent="0.35">
      <c r="A972">
        <v>928</v>
      </c>
      <c r="B972">
        <v>906.59999999999945</v>
      </c>
      <c r="C972">
        <v>977.82499999999982</v>
      </c>
      <c r="D972">
        <v>906.59999999999945</v>
      </c>
      <c r="E972">
        <v>-750.90000000000055</v>
      </c>
      <c r="F972">
        <v>-284.70000000000073</v>
      </c>
      <c r="G972">
        <v>-2369.6500000000005</v>
      </c>
      <c r="J972">
        <v>928</v>
      </c>
      <c r="K972">
        <v>0</v>
      </c>
      <c r="L972">
        <v>0</v>
      </c>
      <c r="M972">
        <v>0</v>
      </c>
      <c r="N972">
        <v>207</v>
      </c>
      <c r="O972">
        <v>181</v>
      </c>
      <c r="P972">
        <v>335</v>
      </c>
      <c r="S972">
        <v>928</v>
      </c>
      <c r="T972">
        <v>906.59999999999945</v>
      </c>
      <c r="U972">
        <v>977.82499999999891</v>
      </c>
      <c r="V972">
        <v>906.60000000000036</v>
      </c>
      <c r="W972">
        <v>2261.1999999999994</v>
      </c>
      <c r="X972">
        <v>2261.3749999999995</v>
      </c>
      <c r="Y972">
        <v>2453.1999999999998</v>
      </c>
    </row>
    <row r="973" spans="1:25" x14ac:dyDescent="0.35">
      <c r="A973">
        <v>929</v>
      </c>
      <c r="B973">
        <v>906.59999999999945</v>
      </c>
      <c r="C973">
        <v>964.87499999999909</v>
      </c>
      <c r="D973">
        <v>906.59999999999945</v>
      </c>
      <c r="E973">
        <v>-893.35000000000036</v>
      </c>
      <c r="F973">
        <v>-466</v>
      </c>
      <c r="G973">
        <v>-2149.5</v>
      </c>
      <c r="J973">
        <v>929</v>
      </c>
      <c r="K973">
        <v>0</v>
      </c>
      <c r="L973">
        <v>0</v>
      </c>
      <c r="M973">
        <v>0</v>
      </c>
      <c r="N973">
        <v>193</v>
      </c>
      <c r="O973">
        <v>205</v>
      </c>
      <c r="P973">
        <v>322</v>
      </c>
      <c r="S973">
        <v>929</v>
      </c>
      <c r="T973">
        <v>906.59999999999945</v>
      </c>
      <c r="U973">
        <v>984.29999999999927</v>
      </c>
      <c r="V973">
        <v>906.60000000000036</v>
      </c>
      <c r="W973">
        <v>2273.1999999999998</v>
      </c>
      <c r="X973">
        <v>2229.3749999999991</v>
      </c>
      <c r="Y973">
        <v>2502.1499999999996</v>
      </c>
    </row>
    <row r="974" spans="1:25" x14ac:dyDescent="0.35">
      <c r="A974">
        <v>930</v>
      </c>
      <c r="B974">
        <v>906.59999999999945</v>
      </c>
      <c r="C974">
        <v>1010.1999999999989</v>
      </c>
      <c r="D974">
        <v>906.59999999999945</v>
      </c>
      <c r="E974">
        <v>-945.15000000000055</v>
      </c>
      <c r="F974">
        <v>-252.32500000000073</v>
      </c>
      <c r="G974">
        <v>-2240.1500000000005</v>
      </c>
      <c r="J974">
        <v>930</v>
      </c>
      <c r="K974">
        <v>0</v>
      </c>
      <c r="L974">
        <v>0</v>
      </c>
      <c r="M974">
        <v>0</v>
      </c>
      <c r="N974">
        <v>225</v>
      </c>
      <c r="O974">
        <v>207</v>
      </c>
      <c r="P974">
        <v>313</v>
      </c>
      <c r="S974">
        <v>930</v>
      </c>
      <c r="T974">
        <v>906.59999999999945</v>
      </c>
      <c r="U974">
        <v>964.875</v>
      </c>
      <c r="V974">
        <v>906.59999999999945</v>
      </c>
      <c r="W974">
        <v>1349.9261322521088</v>
      </c>
      <c r="X974">
        <v>-239.375</v>
      </c>
      <c r="Y974">
        <v>1071.1341796234487</v>
      </c>
    </row>
    <row r="975" spans="1:25" x14ac:dyDescent="0.35">
      <c r="A975">
        <v>931</v>
      </c>
      <c r="B975">
        <v>906.59999999999945</v>
      </c>
      <c r="C975">
        <v>964.875</v>
      </c>
      <c r="D975">
        <v>906.59999999999945</v>
      </c>
      <c r="E975">
        <v>-1268.9000000000005</v>
      </c>
      <c r="F975">
        <v>-174.625</v>
      </c>
      <c r="G975">
        <v>-2084.75</v>
      </c>
      <c r="J975">
        <v>931</v>
      </c>
      <c r="K975">
        <v>0</v>
      </c>
      <c r="L975">
        <v>0</v>
      </c>
      <c r="M975">
        <v>0</v>
      </c>
      <c r="N975">
        <v>233</v>
      </c>
      <c r="O975">
        <v>165</v>
      </c>
      <c r="P975">
        <v>297</v>
      </c>
      <c r="S975">
        <v>931</v>
      </c>
      <c r="T975">
        <v>906.59999999999945</v>
      </c>
      <c r="U975">
        <v>1003.7249999999995</v>
      </c>
      <c r="V975">
        <v>906.59999999999945</v>
      </c>
      <c r="W975">
        <v>2291.1999999999994</v>
      </c>
      <c r="X975">
        <v>29.595107705201087</v>
      </c>
      <c r="Y975">
        <v>1284.1796719601275</v>
      </c>
    </row>
    <row r="976" spans="1:25" x14ac:dyDescent="0.35">
      <c r="A976">
        <v>932</v>
      </c>
      <c r="B976">
        <v>906.59999999999945</v>
      </c>
      <c r="C976">
        <v>1023.1499999999987</v>
      </c>
      <c r="D976">
        <v>906.59999999999945</v>
      </c>
      <c r="E976">
        <v>-919.25</v>
      </c>
      <c r="F976">
        <v>-498.375</v>
      </c>
      <c r="G976">
        <v>-2382.6000000000004</v>
      </c>
      <c r="J976">
        <v>932</v>
      </c>
      <c r="K976">
        <v>0</v>
      </c>
      <c r="L976">
        <v>0</v>
      </c>
      <c r="M976">
        <v>0</v>
      </c>
      <c r="N976">
        <v>215</v>
      </c>
      <c r="O976">
        <v>172</v>
      </c>
      <c r="P976">
        <v>307</v>
      </c>
      <c r="S976">
        <v>932</v>
      </c>
      <c r="T976">
        <v>906.59999999999945</v>
      </c>
      <c r="U976">
        <v>997.25</v>
      </c>
      <c r="V976">
        <v>906.59999999999945</v>
      </c>
      <c r="W976">
        <v>2297.1999999999989</v>
      </c>
      <c r="X976">
        <v>2202.5250000000001</v>
      </c>
      <c r="Y976">
        <v>2466.1499999999996</v>
      </c>
    </row>
    <row r="977" spans="1:25" x14ac:dyDescent="0.35">
      <c r="A977">
        <v>933</v>
      </c>
      <c r="B977">
        <v>906.59999999999945</v>
      </c>
      <c r="C977">
        <v>984.30000000000018</v>
      </c>
      <c r="D977">
        <v>906.60000000000036</v>
      </c>
      <c r="E977">
        <v>-1087.6000000000004</v>
      </c>
      <c r="F977">
        <v>-576.07500000000073</v>
      </c>
      <c r="G977">
        <v>-2330.8000000000002</v>
      </c>
      <c r="J977">
        <v>933</v>
      </c>
      <c r="K977">
        <v>0</v>
      </c>
      <c r="L977">
        <v>0</v>
      </c>
      <c r="M977">
        <v>0</v>
      </c>
      <c r="N977">
        <v>231</v>
      </c>
      <c r="O977">
        <v>175</v>
      </c>
      <c r="P977">
        <v>304</v>
      </c>
      <c r="S977">
        <v>933</v>
      </c>
      <c r="T977">
        <v>906.59999999999945</v>
      </c>
      <c r="U977">
        <v>984.29999999999927</v>
      </c>
      <c r="V977">
        <v>906.59999999999945</v>
      </c>
      <c r="W977">
        <v>26.68506335278289</v>
      </c>
      <c r="X977">
        <v>2209.5749999999994</v>
      </c>
      <c r="Y977">
        <v>2439.1999999999989</v>
      </c>
    </row>
    <row r="978" spans="1:25" x14ac:dyDescent="0.35">
      <c r="A978">
        <v>934</v>
      </c>
      <c r="B978">
        <v>906.59999999999945</v>
      </c>
      <c r="C978">
        <v>1016.6750000000002</v>
      </c>
      <c r="D978">
        <v>906.59999999999945</v>
      </c>
      <c r="E978">
        <v>-919.25</v>
      </c>
      <c r="F978">
        <v>-375.35000000000036</v>
      </c>
      <c r="G978">
        <v>-2525.0500000000002</v>
      </c>
      <c r="J978">
        <v>934</v>
      </c>
      <c r="K978">
        <v>0</v>
      </c>
      <c r="L978">
        <v>0</v>
      </c>
      <c r="M978">
        <v>0</v>
      </c>
      <c r="N978">
        <v>206</v>
      </c>
      <c r="O978">
        <v>181</v>
      </c>
      <c r="P978">
        <v>322</v>
      </c>
      <c r="S978">
        <v>934</v>
      </c>
      <c r="T978">
        <v>906.59999999999945</v>
      </c>
      <c r="U978">
        <v>1003.7249999999985</v>
      </c>
      <c r="V978">
        <v>906.59999999999945</v>
      </c>
      <c r="W978">
        <v>2273.1999999999998</v>
      </c>
      <c r="X978">
        <v>2263.8500000000004</v>
      </c>
      <c r="Y978">
        <v>2419.1999999999989</v>
      </c>
    </row>
    <row r="979" spans="1:25" x14ac:dyDescent="0.35">
      <c r="A979">
        <v>935</v>
      </c>
      <c r="B979">
        <v>906.59999999999945</v>
      </c>
      <c r="C979">
        <v>1029.6249999999991</v>
      </c>
      <c r="D979">
        <v>906.60000000000036</v>
      </c>
      <c r="E979">
        <v>-1165.3000000000002</v>
      </c>
      <c r="F979">
        <v>-291.17500000000109</v>
      </c>
      <c r="G979">
        <v>-2266.0500000000002</v>
      </c>
      <c r="J979">
        <v>935</v>
      </c>
      <c r="K979">
        <v>0</v>
      </c>
      <c r="L979">
        <v>0</v>
      </c>
      <c r="M979">
        <v>0</v>
      </c>
      <c r="N979">
        <v>227</v>
      </c>
      <c r="O979">
        <v>178</v>
      </c>
      <c r="P979">
        <v>326</v>
      </c>
      <c r="S979">
        <v>935</v>
      </c>
      <c r="T979">
        <v>906.59999999999945</v>
      </c>
      <c r="U979">
        <v>977.82499999999982</v>
      </c>
      <c r="V979">
        <v>906.60000000000036</v>
      </c>
      <c r="W979">
        <v>2275.1999999999998</v>
      </c>
      <c r="X979">
        <v>2273.3749999999995</v>
      </c>
      <c r="Y979">
        <v>2479.1999999999989</v>
      </c>
    </row>
    <row r="980" spans="1:25" x14ac:dyDescent="0.35">
      <c r="A980">
        <v>936</v>
      </c>
      <c r="B980">
        <v>906.59999999999945</v>
      </c>
      <c r="C980">
        <v>984.29999999999927</v>
      </c>
      <c r="D980">
        <v>906.59999999999945</v>
      </c>
      <c r="E980">
        <v>-1281.8500000000004</v>
      </c>
      <c r="F980">
        <v>-181.10000000000036</v>
      </c>
      <c r="G980">
        <v>-2615.6999999999998</v>
      </c>
      <c r="J980">
        <v>936</v>
      </c>
      <c r="K980">
        <v>0</v>
      </c>
      <c r="L980">
        <v>0</v>
      </c>
      <c r="M980">
        <v>0</v>
      </c>
      <c r="N980">
        <v>216</v>
      </c>
      <c r="O980">
        <v>187</v>
      </c>
      <c r="P980">
        <v>333</v>
      </c>
      <c r="S980">
        <v>936</v>
      </c>
      <c r="T980">
        <v>906.59999999999945</v>
      </c>
      <c r="U980">
        <v>984.29999999999927</v>
      </c>
      <c r="V980">
        <v>906.60000000000036</v>
      </c>
      <c r="W980">
        <v>1760.923536063769</v>
      </c>
      <c r="X980">
        <v>-323.55000000000018</v>
      </c>
      <c r="Y980">
        <v>2476.1499999999996</v>
      </c>
    </row>
    <row r="981" spans="1:25" x14ac:dyDescent="0.35">
      <c r="A981">
        <v>937</v>
      </c>
      <c r="B981">
        <v>906.59999999999945</v>
      </c>
      <c r="C981">
        <v>951.92499999999927</v>
      </c>
      <c r="D981">
        <v>906.60000000000036</v>
      </c>
      <c r="E981">
        <v>-1333.6500000000005</v>
      </c>
      <c r="F981">
        <v>-673.20000000000073</v>
      </c>
      <c r="G981">
        <v>-2253.1000000000004</v>
      </c>
      <c r="J981">
        <v>937</v>
      </c>
      <c r="K981">
        <v>0</v>
      </c>
      <c r="L981">
        <v>0</v>
      </c>
      <c r="M981">
        <v>0</v>
      </c>
      <c r="N981">
        <v>221</v>
      </c>
      <c r="O981">
        <v>193</v>
      </c>
      <c r="P981">
        <v>326</v>
      </c>
      <c r="S981">
        <v>937</v>
      </c>
      <c r="T981">
        <v>906.59999999999945</v>
      </c>
      <c r="U981">
        <v>958.39999999999964</v>
      </c>
      <c r="V981">
        <v>906.59999999999945</v>
      </c>
      <c r="W981">
        <v>1903.0113795771122</v>
      </c>
      <c r="X981">
        <v>2253.9499999999994</v>
      </c>
      <c r="Y981">
        <v>1305.2304534740001</v>
      </c>
    </row>
    <row r="982" spans="1:25" x14ac:dyDescent="0.35">
      <c r="A982">
        <v>938</v>
      </c>
      <c r="B982">
        <v>906.59999999999945</v>
      </c>
      <c r="C982">
        <v>997.25</v>
      </c>
      <c r="D982">
        <v>906.59999999999945</v>
      </c>
      <c r="E982">
        <v>-1204.1500000000005</v>
      </c>
      <c r="F982">
        <v>-427.14999999999964</v>
      </c>
      <c r="G982">
        <v>-2214.25</v>
      </c>
      <c r="J982">
        <v>938</v>
      </c>
      <c r="K982">
        <v>0</v>
      </c>
      <c r="L982">
        <v>0</v>
      </c>
      <c r="M982">
        <v>0</v>
      </c>
      <c r="N982">
        <v>234</v>
      </c>
      <c r="O982">
        <v>187</v>
      </c>
      <c r="P982">
        <v>291</v>
      </c>
      <c r="S982">
        <v>938</v>
      </c>
      <c r="T982">
        <v>906.59999999999945</v>
      </c>
      <c r="U982">
        <v>977.82499999999891</v>
      </c>
      <c r="V982">
        <v>906.60000000000036</v>
      </c>
      <c r="W982">
        <v>2227.1999999999989</v>
      </c>
      <c r="X982">
        <v>2259.85</v>
      </c>
      <c r="Y982">
        <v>566.43729328951395</v>
      </c>
    </row>
    <row r="983" spans="1:25" x14ac:dyDescent="0.35">
      <c r="A983">
        <v>939</v>
      </c>
      <c r="B983">
        <v>906.59999999999945</v>
      </c>
      <c r="C983">
        <v>958.39999999999964</v>
      </c>
      <c r="D983">
        <v>906.60000000000036</v>
      </c>
      <c r="E983">
        <v>-776.80000000000018</v>
      </c>
      <c r="F983">
        <v>-433.625</v>
      </c>
      <c r="G983">
        <v>-2421.4499999999998</v>
      </c>
      <c r="J983">
        <v>939</v>
      </c>
      <c r="K983">
        <v>0</v>
      </c>
      <c r="L983">
        <v>0</v>
      </c>
      <c r="M983">
        <v>0</v>
      </c>
      <c r="N983">
        <v>231</v>
      </c>
      <c r="O983">
        <v>187</v>
      </c>
      <c r="P983">
        <v>323</v>
      </c>
      <c r="S983">
        <v>939</v>
      </c>
      <c r="T983">
        <v>906.59999999999945</v>
      </c>
      <c r="U983">
        <v>977.82499999999982</v>
      </c>
      <c r="V983">
        <v>906.60000000000036</v>
      </c>
      <c r="W983">
        <v>2249.1999999999994</v>
      </c>
      <c r="X983">
        <v>2229.85</v>
      </c>
      <c r="Y983">
        <v>21.323439345795123</v>
      </c>
    </row>
    <row r="984" spans="1:25" x14ac:dyDescent="0.35">
      <c r="A984">
        <v>940</v>
      </c>
      <c r="B984">
        <v>906.59999999999945</v>
      </c>
      <c r="C984">
        <v>1003.7249999999985</v>
      </c>
      <c r="D984">
        <v>906.59999999999945</v>
      </c>
      <c r="E984">
        <v>-1022.8500000000004</v>
      </c>
      <c r="F984">
        <v>-375.35000000000036</v>
      </c>
      <c r="G984">
        <v>-2395.5500000000002</v>
      </c>
      <c r="J984">
        <v>940</v>
      </c>
      <c r="K984">
        <v>0</v>
      </c>
      <c r="L984">
        <v>0</v>
      </c>
      <c r="M984">
        <v>0</v>
      </c>
      <c r="N984">
        <v>229</v>
      </c>
      <c r="O984">
        <v>186</v>
      </c>
      <c r="P984">
        <v>323</v>
      </c>
      <c r="S984">
        <v>940</v>
      </c>
      <c r="T984">
        <v>906.59999999999945</v>
      </c>
      <c r="U984">
        <v>990.77499999999964</v>
      </c>
      <c r="V984">
        <v>906.59999999999945</v>
      </c>
      <c r="W984">
        <v>2313.1999999999998</v>
      </c>
      <c r="X984">
        <v>2292.3249999999998</v>
      </c>
      <c r="Y984">
        <v>-1791.0789173468584</v>
      </c>
    </row>
    <row r="985" spans="1:25" x14ac:dyDescent="0.35">
      <c r="A985">
        <v>941</v>
      </c>
      <c r="B985">
        <v>906.59999999999945</v>
      </c>
      <c r="C985">
        <v>1003.7249999999995</v>
      </c>
      <c r="D985">
        <v>906.59999999999945</v>
      </c>
      <c r="E985">
        <v>-1100.5500000000002</v>
      </c>
      <c r="F985">
        <v>-401.25</v>
      </c>
      <c r="G985">
        <v>-2473.25</v>
      </c>
      <c r="J985">
        <v>941</v>
      </c>
      <c r="K985">
        <v>0</v>
      </c>
      <c r="L985">
        <v>0</v>
      </c>
      <c r="M985">
        <v>0</v>
      </c>
      <c r="N985">
        <v>212</v>
      </c>
      <c r="O985">
        <v>187</v>
      </c>
      <c r="P985">
        <v>324</v>
      </c>
      <c r="S985">
        <v>941</v>
      </c>
      <c r="T985">
        <v>906.59999999999945</v>
      </c>
      <c r="U985">
        <v>977.82499999999891</v>
      </c>
      <c r="V985">
        <v>906.59999999999945</v>
      </c>
      <c r="W985">
        <v>2227.1999999999989</v>
      </c>
      <c r="X985">
        <v>1108.4655773259246</v>
      </c>
      <c r="Y985">
        <v>2419.1999999999989</v>
      </c>
    </row>
    <row r="986" spans="1:25" x14ac:dyDescent="0.35">
      <c r="A986">
        <v>942</v>
      </c>
      <c r="B986">
        <v>906.59999999999945</v>
      </c>
      <c r="C986">
        <v>977.82499999999982</v>
      </c>
      <c r="D986">
        <v>906.60000000000036</v>
      </c>
      <c r="E986">
        <v>-1035.8000000000002</v>
      </c>
      <c r="F986">
        <v>-440.10000000000036</v>
      </c>
      <c r="G986">
        <v>-2771.1000000000004</v>
      </c>
      <c r="J986">
        <v>942</v>
      </c>
      <c r="K986">
        <v>0</v>
      </c>
      <c r="L986">
        <v>0</v>
      </c>
      <c r="M986">
        <v>0</v>
      </c>
      <c r="N986">
        <v>235</v>
      </c>
      <c r="O986">
        <v>196</v>
      </c>
      <c r="P986">
        <v>330</v>
      </c>
      <c r="S986">
        <v>942</v>
      </c>
      <c r="T986">
        <v>906.59999999999945</v>
      </c>
      <c r="U986">
        <v>984.29999999999927</v>
      </c>
      <c r="V986">
        <v>906.60000000000036</v>
      </c>
      <c r="W986">
        <v>2243.1999999999998</v>
      </c>
      <c r="X986">
        <v>2188.4249999999997</v>
      </c>
      <c r="Y986">
        <v>2489.1999999999989</v>
      </c>
    </row>
    <row r="987" spans="1:25" x14ac:dyDescent="0.35">
      <c r="A987">
        <v>943</v>
      </c>
      <c r="B987">
        <v>906.59999999999945</v>
      </c>
      <c r="C987">
        <v>958.39999999999964</v>
      </c>
      <c r="D987">
        <v>906.59999999999945</v>
      </c>
      <c r="E987">
        <v>-1204.1500000000005</v>
      </c>
      <c r="F987">
        <v>-466</v>
      </c>
      <c r="G987">
        <v>-2149.5</v>
      </c>
      <c r="J987">
        <v>943</v>
      </c>
      <c r="K987">
        <v>0</v>
      </c>
      <c r="L987">
        <v>0</v>
      </c>
      <c r="M987">
        <v>0</v>
      </c>
      <c r="N987">
        <v>223</v>
      </c>
      <c r="O987">
        <v>178</v>
      </c>
      <c r="P987">
        <v>311</v>
      </c>
      <c r="S987">
        <v>943</v>
      </c>
      <c r="T987">
        <v>906.59999999999945</v>
      </c>
      <c r="U987">
        <v>977.82499999999982</v>
      </c>
      <c r="V987">
        <v>906.60000000000036</v>
      </c>
      <c r="W987">
        <v>2281.1999999999994</v>
      </c>
      <c r="X987">
        <v>2281.4750000000004</v>
      </c>
      <c r="Y987">
        <v>-1521.8430102715713</v>
      </c>
    </row>
    <row r="988" spans="1:25" x14ac:dyDescent="0.35">
      <c r="A988">
        <v>944</v>
      </c>
      <c r="B988">
        <v>906.59999999999945</v>
      </c>
      <c r="C988">
        <v>984.29999999999927</v>
      </c>
      <c r="D988">
        <v>906.60000000000036</v>
      </c>
      <c r="E988">
        <v>-789.75</v>
      </c>
      <c r="F988">
        <v>-427.14999999999964</v>
      </c>
      <c r="G988">
        <v>-2149.5</v>
      </c>
      <c r="J988">
        <v>944</v>
      </c>
      <c r="K988">
        <v>0</v>
      </c>
      <c r="L988">
        <v>0</v>
      </c>
      <c r="M988">
        <v>0</v>
      </c>
      <c r="N988">
        <v>202</v>
      </c>
      <c r="O988">
        <v>191</v>
      </c>
      <c r="P988">
        <v>323</v>
      </c>
      <c r="S988">
        <v>944</v>
      </c>
      <c r="T988">
        <v>906.59999999999945</v>
      </c>
      <c r="U988">
        <v>945.44999999999982</v>
      </c>
      <c r="V988">
        <v>906.60000000000036</v>
      </c>
      <c r="W988">
        <v>2223.1999999999998</v>
      </c>
      <c r="X988">
        <v>2308.3249999999994</v>
      </c>
      <c r="Y988">
        <v>-2240.1500000000005</v>
      </c>
    </row>
    <row r="989" spans="1:25" x14ac:dyDescent="0.35">
      <c r="A989">
        <v>945</v>
      </c>
      <c r="B989">
        <v>906.59999999999945</v>
      </c>
      <c r="C989">
        <v>990.77499999999964</v>
      </c>
      <c r="D989">
        <v>906.60000000000036</v>
      </c>
      <c r="E989">
        <v>-1035.8000000000002</v>
      </c>
      <c r="F989">
        <v>-712.05000000000018</v>
      </c>
      <c r="G989">
        <v>-2641.6000000000004</v>
      </c>
      <c r="J989">
        <v>945</v>
      </c>
      <c r="K989">
        <v>0</v>
      </c>
      <c r="L989">
        <v>0</v>
      </c>
      <c r="M989">
        <v>0</v>
      </c>
      <c r="N989">
        <v>207</v>
      </c>
      <c r="O989">
        <v>189</v>
      </c>
      <c r="P989">
        <v>332</v>
      </c>
      <c r="S989">
        <v>945</v>
      </c>
      <c r="T989">
        <v>906.59999999999945</v>
      </c>
      <c r="U989">
        <v>1029.6249999999991</v>
      </c>
      <c r="V989">
        <v>906.59999999999945</v>
      </c>
      <c r="W989">
        <v>2233.1999999999998</v>
      </c>
      <c r="X989">
        <v>2277.9499999999998</v>
      </c>
      <c r="Y989">
        <v>2469.1999999999989</v>
      </c>
    </row>
    <row r="990" spans="1:25" x14ac:dyDescent="0.35">
      <c r="A990">
        <v>946</v>
      </c>
      <c r="B990">
        <v>906.59999999999945</v>
      </c>
      <c r="C990">
        <v>964.875</v>
      </c>
      <c r="D990">
        <v>906.60000000000036</v>
      </c>
      <c r="E990">
        <v>-984</v>
      </c>
      <c r="F990">
        <v>-491.89999999999964</v>
      </c>
      <c r="G990">
        <v>-2214.25</v>
      </c>
      <c r="J990">
        <v>946</v>
      </c>
      <c r="K990">
        <v>0</v>
      </c>
      <c r="L990">
        <v>0</v>
      </c>
      <c r="M990">
        <v>0</v>
      </c>
      <c r="N990">
        <v>228</v>
      </c>
      <c r="O990">
        <v>173</v>
      </c>
      <c r="P990">
        <v>331</v>
      </c>
      <c r="S990">
        <v>946</v>
      </c>
      <c r="T990">
        <v>906.59999999999945</v>
      </c>
      <c r="U990">
        <v>977.82499999999891</v>
      </c>
      <c r="V990">
        <v>906.60000000000036</v>
      </c>
      <c r="W990">
        <v>2241.1999999999994</v>
      </c>
      <c r="X990">
        <v>2304.7999999999997</v>
      </c>
      <c r="Y990">
        <v>2497.1999999999998</v>
      </c>
    </row>
    <row r="991" spans="1:25" x14ac:dyDescent="0.35">
      <c r="A991">
        <v>947</v>
      </c>
      <c r="B991">
        <v>906.59999999999945</v>
      </c>
      <c r="C991">
        <v>971.34999999999945</v>
      </c>
      <c r="D991">
        <v>906.59999999999945</v>
      </c>
      <c r="E991">
        <v>-1346.6000000000004</v>
      </c>
      <c r="F991">
        <v>-556.65000000000055</v>
      </c>
      <c r="G991">
        <v>-2330.8000000000002</v>
      </c>
      <c r="J991">
        <v>947</v>
      </c>
      <c r="K991">
        <v>0</v>
      </c>
      <c r="L991">
        <v>0</v>
      </c>
      <c r="M991">
        <v>0</v>
      </c>
      <c r="N991">
        <v>224</v>
      </c>
      <c r="O991">
        <v>202</v>
      </c>
      <c r="P991">
        <v>321</v>
      </c>
      <c r="S991">
        <v>947</v>
      </c>
      <c r="T991">
        <v>906.59999999999945</v>
      </c>
      <c r="U991">
        <v>1016.6749999999993</v>
      </c>
      <c r="V991">
        <v>906.59999999999945</v>
      </c>
      <c r="W991">
        <v>2269.1999999999994</v>
      </c>
      <c r="X991">
        <v>2235.474999999999</v>
      </c>
      <c r="Y991">
        <v>1636.2754093007748</v>
      </c>
    </row>
    <row r="992" spans="1:25" x14ac:dyDescent="0.35">
      <c r="A992">
        <v>948</v>
      </c>
      <c r="B992">
        <v>906.59999999999945</v>
      </c>
      <c r="C992">
        <v>958.39999999999873</v>
      </c>
      <c r="D992">
        <v>906.60000000000036</v>
      </c>
      <c r="E992">
        <v>-1074.6500000000005</v>
      </c>
      <c r="F992">
        <v>-511.32500000000073</v>
      </c>
      <c r="G992">
        <v>-2395.5500000000002</v>
      </c>
      <c r="J992">
        <v>948</v>
      </c>
      <c r="K992">
        <v>0</v>
      </c>
      <c r="L992">
        <v>0</v>
      </c>
      <c r="M992">
        <v>0</v>
      </c>
      <c r="N992">
        <v>220</v>
      </c>
      <c r="O992">
        <v>177</v>
      </c>
      <c r="P992">
        <v>316</v>
      </c>
      <c r="S992">
        <v>948</v>
      </c>
      <c r="T992">
        <v>906.59999999999945</v>
      </c>
      <c r="U992">
        <v>977.82499999999891</v>
      </c>
      <c r="V992">
        <v>919.55000000000018</v>
      </c>
      <c r="W992">
        <v>2269.1999999999994</v>
      </c>
      <c r="X992">
        <v>1642.9836511433314</v>
      </c>
      <c r="Y992">
        <v>2439.1999999999989</v>
      </c>
    </row>
    <row r="993" spans="1:25" x14ac:dyDescent="0.35">
      <c r="A993">
        <v>949</v>
      </c>
      <c r="B993">
        <v>906.59999999999945</v>
      </c>
      <c r="C993">
        <v>958.39999999999964</v>
      </c>
      <c r="D993">
        <v>906.59999999999945</v>
      </c>
      <c r="E993">
        <v>-1191.2000000000007</v>
      </c>
      <c r="F993">
        <v>-660.25</v>
      </c>
      <c r="G993">
        <v>-2356.6999999999998</v>
      </c>
      <c r="J993">
        <v>949</v>
      </c>
      <c r="K993">
        <v>0</v>
      </c>
      <c r="L993">
        <v>0</v>
      </c>
      <c r="M993">
        <v>0</v>
      </c>
      <c r="N993">
        <v>228</v>
      </c>
      <c r="O993">
        <v>171</v>
      </c>
      <c r="P993">
        <v>336</v>
      </c>
      <c r="S993">
        <v>949</v>
      </c>
      <c r="T993">
        <v>906.59999999999945</v>
      </c>
      <c r="U993">
        <v>1016.6749999999993</v>
      </c>
      <c r="V993">
        <v>906.60000000000036</v>
      </c>
      <c r="W993">
        <v>856.06856736582881</v>
      </c>
      <c r="X993">
        <v>2222.8999999999996</v>
      </c>
      <c r="Y993">
        <v>2459.1999999999989</v>
      </c>
    </row>
    <row r="994" spans="1:25" x14ac:dyDescent="0.35">
      <c r="A994">
        <v>950</v>
      </c>
      <c r="B994">
        <v>906.59999999999945</v>
      </c>
      <c r="C994">
        <v>971.35000000000036</v>
      </c>
      <c r="D994">
        <v>906.60000000000036</v>
      </c>
      <c r="E994">
        <v>-1320.7000000000007</v>
      </c>
      <c r="F994">
        <v>-349.45000000000073</v>
      </c>
      <c r="G994">
        <v>-2369.6500000000005</v>
      </c>
      <c r="J994">
        <v>950</v>
      </c>
      <c r="K994">
        <v>0</v>
      </c>
      <c r="L994">
        <v>0</v>
      </c>
      <c r="M994">
        <v>0</v>
      </c>
      <c r="N994">
        <v>225</v>
      </c>
      <c r="O994">
        <v>176</v>
      </c>
      <c r="P994">
        <v>329</v>
      </c>
      <c r="S994">
        <v>950</v>
      </c>
      <c r="T994">
        <v>906.59999999999945</v>
      </c>
      <c r="U994">
        <v>964.87499999999909</v>
      </c>
      <c r="V994">
        <v>906.60000000000036</v>
      </c>
      <c r="W994">
        <v>2255.1999999999998</v>
      </c>
      <c r="X994">
        <v>2204.1499999999992</v>
      </c>
      <c r="Y994">
        <v>2447.1999999999998</v>
      </c>
    </row>
    <row r="995" spans="1:25" x14ac:dyDescent="0.35">
      <c r="A995">
        <v>951</v>
      </c>
      <c r="B995">
        <v>906.59999999999945</v>
      </c>
      <c r="C995">
        <v>971.34999999999945</v>
      </c>
      <c r="D995">
        <v>906.60000000000036</v>
      </c>
      <c r="E995">
        <v>-1152.3500000000004</v>
      </c>
      <c r="F995">
        <v>-278.22500000000036</v>
      </c>
      <c r="G995">
        <v>-2395.5500000000002</v>
      </c>
      <c r="J995">
        <v>951</v>
      </c>
      <c r="K995">
        <v>0</v>
      </c>
      <c r="L995">
        <v>0</v>
      </c>
      <c r="M995">
        <v>0</v>
      </c>
      <c r="N995">
        <v>224</v>
      </c>
      <c r="O995">
        <v>184</v>
      </c>
      <c r="P995">
        <v>329</v>
      </c>
      <c r="S995">
        <v>951</v>
      </c>
      <c r="T995">
        <v>906.59999999999945</v>
      </c>
      <c r="U995">
        <v>971.34999999999945</v>
      </c>
      <c r="V995">
        <v>906.60000000000036</v>
      </c>
      <c r="W995">
        <v>2259.1999999999994</v>
      </c>
      <c r="X995">
        <v>2312.3249999999998</v>
      </c>
      <c r="Y995">
        <v>2451.1999999999998</v>
      </c>
    </row>
    <row r="996" spans="1:25" x14ac:dyDescent="0.35">
      <c r="A996">
        <v>952</v>
      </c>
      <c r="B996">
        <v>906.59999999999945</v>
      </c>
      <c r="C996">
        <v>977.82499999999982</v>
      </c>
      <c r="D996">
        <v>906.60000000000036</v>
      </c>
      <c r="E996">
        <v>-725</v>
      </c>
      <c r="F996">
        <v>-459.52499999999964</v>
      </c>
      <c r="G996">
        <v>-2279</v>
      </c>
      <c r="J996">
        <v>952</v>
      </c>
      <c r="K996">
        <v>0</v>
      </c>
      <c r="L996">
        <v>0</v>
      </c>
      <c r="M996">
        <v>0</v>
      </c>
      <c r="N996">
        <v>225</v>
      </c>
      <c r="O996">
        <v>162</v>
      </c>
      <c r="P996">
        <v>315</v>
      </c>
      <c r="S996">
        <v>952</v>
      </c>
      <c r="T996">
        <v>906.59999999999945</v>
      </c>
      <c r="U996">
        <v>958.39999999999964</v>
      </c>
      <c r="V996">
        <v>906.59999999999945</v>
      </c>
      <c r="W996">
        <v>2281.1999999999994</v>
      </c>
      <c r="X996">
        <v>2165.1</v>
      </c>
      <c r="Y996">
        <v>2449.1999999999989</v>
      </c>
    </row>
    <row r="997" spans="1:25" x14ac:dyDescent="0.35">
      <c r="A997">
        <v>953</v>
      </c>
      <c r="B997">
        <v>906.59999999999945</v>
      </c>
      <c r="C997">
        <v>1036.0999999999995</v>
      </c>
      <c r="D997">
        <v>906.60000000000036</v>
      </c>
      <c r="E997">
        <v>-828.60000000000036</v>
      </c>
      <c r="F997">
        <v>-466</v>
      </c>
      <c r="G997">
        <v>-2525.0500000000002</v>
      </c>
      <c r="J997">
        <v>953</v>
      </c>
      <c r="K997">
        <v>0</v>
      </c>
      <c r="L997">
        <v>0</v>
      </c>
      <c r="M997">
        <v>0</v>
      </c>
      <c r="N997">
        <v>227</v>
      </c>
      <c r="O997">
        <v>182</v>
      </c>
      <c r="P997">
        <v>314</v>
      </c>
      <c r="S997">
        <v>953</v>
      </c>
      <c r="T997">
        <v>906.59999999999945</v>
      </c>
      <c r="U997">
        <v>1010.1999999999989</v>
      </c>
      <c r="V997">
        <v>906.60000000000036</v>
      </c>
      <c r="W997">
        <v>977.77035676615969</v>
      </c>
      <c r="X997">
        <v>2250.4249999999988</v>
      </c>
      <c r="Y997">
        <v>2479.1999999999989</v>
      </c>
    </row>
    <row r="998" spans="1:25" x14ac:dyDescent="0.35">
      <c r="A998">
        <v>954</v>
      </c>
      <c r="B998">
        <v>906.59999999999945</v>
      </c>
      <c r="C998">
        <v>938.97499999999854</v>
      </c>
      <c r="D998">
        <v>906.59999999999945</v>
      </c>
      <c r="E998">
        <v>-1126.4500000000007</v>
      </c>
      <c r="F998">
        <v>-304.125</v>
      </c>
      <c r="G998">
        <v>-2615.6999999999998</v>
      </c>
      <c r="J998">
        <v>954</v>
      </c>
      <c r="K998">
        <v>0</v>
      </c>
      <c r="L998">
        <v>0</v>
      </c>
      <c r="M998">
        <v>0</v>
      </c>
      <c r="N998">
        <v>228</v>
      </c>
      <c r="O998">
        <v>175</v>
      </c>
      <c r="P998">
        <v>305</v>
      </c>
      <c r="S998">
        <v>954</v>
      </c>
      <c r="T998">
        <v>906.59999999999945</v>
      </c>
      <c r="U998">
        <v>964.87499999999909</v>
      </c>
      <c r="V998">
        <v>906.59999999999945</v>
      </c>
      <c r="W998">
        <v>2215.1999999999998</v>
      </c>
      <c r="X998">
        <v>2226.5249999999992</v>
      </c>
      <c r="Y998">
        <v>-1051.5308461122388</v>
      </c>
    </row>
    <row r="999" spans="1:25" x14ac:dyDescent="0.35">
      <c r="A999">
        <v>955</v>
      </c>
      <c r="B999">
        <v>906.59999999999945</v>
      </c>
      <c r="C999">
        <v>971.34999999999945</v>
      </c>
      <c r="D999">
        <v>906.60000000000036</v>
      </c>
      <c r="E999">
        <v>-867.45000000000073</v>
      </c>
      <c r="F999">
        <v>-355.92500000000018</v>
      </c>
      <c r="G999">
        <v>-2382.6000000000004</v>
      </c>
      <c r="J999">
        <v>955</v>
      </c>
      <c r="K999">
        <v>0</v>
      </c>
      <c r="L999">
        <v>0</v>
      </c>
      <c r="M999">
        <v>0</v>
      </c>
      <c r="N999">
        <v>240</v>
      </c>
      <c r="O999">
        <v>176</v>
      </c>
      <c r="P999">
        <v>338</v>
      </c>
      <c r="S999">
        <v>955</v>
      </c>
      <c r="T999">
        <v>906.59999999999945</v>
      </c>
      <c r="U999">
        <v>984.30000000000018</v>
      </c>
      <c r="V999">
        <v>906.60000000000036</v>
      </c>
      <c r="W999">
        <v>2281.1999999999994</v>
      </c>
      <c r="X999">
        <v>2237.2750000000001</v>
      </c>
      <c r="Y999">
        <v>2451.1999999999998</v>
      </c>
    </row>
    <row r="1000" spans="1:25" x14ac:dyDescent="0.35">
      <c r="A1000">
        <v>956</v>
      </c>
      <c r="B1000">
        <v>906.59999999999945</v>
      </c>
      <c r="C1000">
        <v>951.92499999999927</v>
      </c>
      <c r="D1000">
        <v>906.59999999999945</v>
      </c>
      <c r="E1000">
        <v>-1281.8500000000004</v>
      </c>
      <c r="F1000">
        <v>-576.07500000000073</v>
      </c>
      <c r="G1000">
        <v>-2317.8500000000004</v>
      </c>
      <c r="J1000">
        <v>956</v>
      </c>
      <c r="K1000">
        <v>0</v>
      </c>
      <c r="L1000">
        <v>0</v>
      </c>
      <c r="M1000">
        <v>0</v>
      </c>
      <c r="N1000">
        <v>221</v>
      </c>
      <c r="O1000">
        <v>198</v>
      </c>
      <c r="P1000">
        <v>311</v>
      </c>
      <c r="S1000">
        <v>956</v>
      </c>
      <c r="T1000">
        <v>906.59999999999945</v>
      </c>
      <c r="U1000">
        <v>984.29999999999927</v>
      </c>
      <c r="V1000">
        <v>906.60000000000036</v>
      </c>
      <c r="W1000">
        <v>2257.1999999999989</v>
      </c>
      <c r="X1000">
        <v>2278.4249999999993</v>
      </c>
      <c r="Y1000">
        <v>2349.1999999999994</v>
      </c>
    </row>
    <row r="1001" spans="1:25" x14ac:dyDescent="0.35">
      <c r="A1001">
        <v>957</v>
      </c>
      <c r="B1001">
        <v>906.59999999999945</v>
      </c>
      <c r="C1001">
        <v>1016.6750000000002</v>
      </c>
      <c r="D1001">
        <v>906.59999999999945</v>
      </c>
      <c r="E1001">
        <v>-932.20000000000073</v>
      </c>
      <c r="F1001">
        <v>-660.25</v>
      </c>
      <c r="G1001">
        <v>-2071.8000000000002</v>
      </c>
      <c r="J1001">
        <v>957</v>
      </c>
      <c r="K1001">
        <v>0</v>
      </c>
      <c r="L1001">
        <v>0</v>
      </c>
      <c r="M1001">
        <v>0</v>
      </c>
      <c r="N1001">
        <v>235</v>
      </c>
      <c r="O1001">
        <v>192</v>
      </c>
      <c r="P1001">
        <v>308</v>
      </c>
      <c r="S1001">
        <v>957</v>
      </c>
      <c r="T1001">
        <v>906.59999999999945</v>
      </c>
      <c r="U1001">
        <v>971.34999999999945</v>
      </c>
      <c r="V1001">
        <v>906.59999999999945</v>
      </c>
      <c r="W1001">
        <v>2231.1999999999994</v>
      </c>
      <c r="X1001">
        <v>2227.849999999999</v>
      </c>
      <c r="Y1001">
        <v>2477.1999999999998</v>
      </c>
    </row>
    <row r="1002" spans="1:25" x14ac:dyDescent="0.35">
      <c r="A1002">
        <v>958</v>
      </c>
      <c r="B1002">
        <v>906.59999999999945</v>
      </c>
      <c r="C1002">
        <v>990.77499999999964</v>
      </c>
      <c r="D1002">
        <v>906.60000000000036</v>
      </c>
      <c r="E1002">
        <v>-1022.8500000000004</v>
      </c>
      <c r="F1002">
        <v>-692.625</v>
      </c>
      <c r="G1002">
        <v>-2071.8000000000002</v>
      </c>
      <c r="J1002">
        <v>958</v>
      </c>
      <c r="K1002">
        <v>0</v>
      </c>
      <c r="L1002">
        <v>0</v>
      </c>
      <c r="M1002">
        <v>0</v>
      </c>
      <c r="N1002">
        <v>228</v>
      </c>
      <c r="O1002">
        <v>177</v>
      </c>
      <c r="P1002">
        <v>324</v>
      </c>
      <c r="S1002">
        <v>958</v>
      </c>
      <c r="T1002">
        <v>906.59999999999945</v>
      </c>
      <c r="U1002">
        <v>990.77499999999873</v>
      </c>
      <c r="V1002">
        <v>906.59999999999945</v>
      </c>
      <c r="W1002">
        <v>1582.1509426777934</v>
      </c>
      <c r="X1002">
        <v>2239.474999999999</v>
      </c>
      <c r="Y1002">
        <v>1778.1032434874915</v>
      </c>
    </row>
    <row r="1003" spans="1:25" x14ac:dyDescent="0.35">
      <c r="A1003">
        <v>959</v>
      </c>
      <c r="B1003">
        <v>906.59999999999945</v>
      </c>
      <c r="C1003">
        <v>958.39999999999964</v>
      </c>
      <c r="D1003">
        <v>906.59999999999945</v>
      </c>
      <c r="E1003">
        <v>-1126.4500000000007</v>
      </c>
      <c r="F1003">
        <v>-627.875</v>
      </c>
      <c r="G1003">
        <v>-2291.9499999999998</v>
      </c>
      <c r="J1003">
        <v>959</v>
      </c>
      <c r="K1003">
        <v>0</v>
      </c>
      <c r="L1003">
        <v>0</v>
      </c>
      <c r="M1003">
        <v>0</v>
      </c>
      <c r="N1003">
        <v>211</v>
      </c>
      <c r="O1003">
        <v>175</v>
      </c>
      <c r="P1003">
        <v>318</v>
      </c>
      <c r="S1003">
        <v>959</v>
      </c>
      <c r="T1003">
        <v>906.59999999999945</v>
      </c>
      <c r="U1003">
        <v>945.44999999999982</v>
      </c>
      <c r="V1003">
        <v>906.59999999999945</v>
      </c>
      <c r="W1003">
        <v>-1048.75</v>
      </c>
      <c r="X1003">
        <v>2205</v>
      </c>
      <c r="Y1003">
        <v>2485.1999999999998</v>
      </c>
    </row>
    <row r="1004" spans="1:25" x14ac:dyDescent="0.35">
      <c r="A1004">
        <v>960</v>
      </c>
      <c r="B1004">
        <v>906.59999999999945</v>
      </c>
      <c r="C1004">
        <v>1003.7249999999985</v>
      </c>
      <c r="D1004">
        <v>906.60000000000036</v>
      </c>
      <c r="E1004">
        <v>-1178.25</v>
      </c>
      <c r="F1004">
        <v>-433.625</v>
      </c>
      <c r="G1004">
        <v>-2356.6999999999998</v>
      </c>
      <c r="J1004">
        <v>960</v>
      </c>
      <c r="K1004">
        <v>0</v>
      </c>
      <c r="L1004">
        <v>0</v>
      </c>
      <c r="M1004">
        <v>0</v>
      </c>
      <c r="N1004">
        <v>229</v>
      </c>
      <c r="O1004">
        <v>175</v>
      </c>
      <c r="P1004">
        <v>326</v>
      </c>
      <c r="S1004">
        <v>960</v>
      </c>
      <c r="T1004">
        <v>906.59999999999945</v>
      </c>
      <c r="U1004">
        <v>977.82499999999982</v>
      </c>
      <c r="V1004">
        <v>906.60000000000036</v>
      </c>
      <c r="W1004">
        <v>2209.1999999999994</v>
      </c>
      <c r="X1004">
        <v>2180.9999999999995</v>
      </c>
      <c r="Y1004">
        <v>428.95829256434263</v>
      </c>
    </row>
    <row r="1005" spans="1:25" x14ac:dyDescent="0.35">
      <c r="A1005">
        <v>961</v>
      </c>
      <c r="B1005">
        <v>906.59999999999945</v>
      </c>
      <c r="C1005">
        <v>984.29999999999927</v>
      </c>
      <c r="D1005">
        <v>906.59999999999945</v>
      </c>
      <c r="E1005">
        <v>-1061.7000000000007</v>
      </c>
      <c r="F1005">
        <v>-401.25</v>
      </c>
      <c r="G1005">
        <v>-2369.6500000000005</v>
      </c>
      <c r="J1005">
        <v>961</v>
      </c>
      <c r="K1005">
        <v>0</v>
      </c>
      <c r="L1005">
        <v>0</v>
      </c>
      <c r="M1005">
        <v>0</v>
      </c>
      <c r="N1005">
        <v>211</v>
      </c>
      <c r="O1005">
        <v>180</v>
      </c>
      <c r="P1005">
        <v>338</v>
      </c>
      <c r="S1005">
        <v>961</v>
      </c>
      <c r="T1005">
        <v>906.59999999999945</v>
      </c>
      <c r="U1005">
        <v>1010.1999999999989</v>
      </c>
      <c r="V1005">
        <v>906.59999999999945</v>
      </c>
      <c r="W1005">
        <v>2293.1999999999998</v>
      </c>
      <c r="X1005">
        <v>2235.474999999999</v>
      </c>
      <c r="Y1005">
        <v>-1721.8438733777425</v>
      </c>
    </row>
    <row r="1006" spans="1:25" x14ac:dyDescent="0.35">
      <c r="A1006">
        <v>962</v>
      </c>
      <c r="B1006">
        <v>906.59999999999945</v>
      </c>
      <c r="C1006">
        <v>984.29999999999927</v>
      </c>
      <c r="D1006">
        <v>906.59999999999945</v>
      </c>
      <c r="E1006">
        <v>-1268.9000000000005</v>
      </c>
      <c r="F1006">
        <v>-660.25</v>
      </c>
      <c r="G1006">
        <v>-2253.1000000000004</v>
      </c>
      <c r="J1006">
        <v>962</v>
      </c>
      <c r="K1006">
        <v>0</v>
      </c>
      <c r="L1006">
        <v>0</v>
      </c>
      <c r="M1006">
        <v>0</v>
      </c>
      <c r="N1006">
        <v>218</v>
      </c>
      <c r="O1006">
        <v>187</v>
      </c>
      <c r="P1006">
        <v>330</v>
      </c>
      <c r="S1006">
        <v>962</v>
      </c>
      <c r="T1006">
        <v>906.59999999999945</v>
      </c>
      <c r="U1006">
        <v>958.39999999999964</v>
      </c>
      <c r="V1006">
        <v>906.59999999999945</v>
      </c>
      <c r="W1006">
        <v>2293.1999999999998</v>
      </c>
      <c r="X1006">
        <v>2256.8999999999992</v>
      </c>
      <c r="Y1006">
        <v>102.57461175551225</v>
      </c>
    </row>
    <row r="1007" spans="1:25" x14ac:dyDescent="0.35">
      <c r="A1007">
        <v>963</v>
      </c>
      <c r="B1007">
        <v>906.59999999999945</v>
      </c>
      <c r="C1007">
        <v>964.87499999999909</v>
      </c>
      <c r="D1007">
        <v>815.94999999999982</v>
      </c>
      <c r="E1007">
        <v>-841.55000000000018</v>
      </c>
      <c r="F1007">
        <v>-556.64999999999964</v>
      </c>
      <c r="G1007">
        <v>-2473.25</v>
      </c>
      <c r="J1007">
        <v>963</v>
      </c>
      <c r="K1007">
        <v>0</v>
      </c>
      <c r="L1007">
        <v>0</v>
      </c>
      <c r="M1007">
        <v>0</v>
      </c>
      <c r="N1007">
        <v>227</v>
      </c>
      <c r="O1007">
        <v>220</v>
      </c>
      <c r="P1007">
        <v>309</v>
      </c>
      <c r="S1007">
        <v>963</v>
      </c>
      <c r="T1007">
        <v>906.59999999999945</v>
      </c>
      <c r="U1007">
        <v>977.82499999999891</v>
      </c>
      <c r="V1007">
        <v>906.59999999999945</v>
      </c>
      <c r="W1007">
        <v>-1346.3392177673845</v>
      </c>
      <c r="X1007">
        <v>2246.4250000000002</v>
      </c>
      <c r="Y1007">
        <v>2416.6424119727217</v>
      </c>
    </row>
    <row r="1008" spans="1:25" x14ac:dyDescent="0.35">
      <c r="A1008">
        <v>964</v>
      </c>
      <c r="B1008">
        <v>906.59999999999945</v>
      </c>
      <c r="C1008">
        <v>938.97499999999854</v>
      </c>
      <c r="D1008">
        <v>906.59999999999945</v>
      </c>
      <c r="E1008">
        <v>-996.95000000000073</v>
      </c>
      <c r="F1008">
        <v>-440.10000000000036</v>
      </c>
      <c r="G1008">
        <v>-2201.3000000000002</v>
      </c>
      <c r="J1008">
        <v>964</v>
      </c>
      <c r="K1008">
        <v>0</v>
      </c>
      <c r="L1008">
        <v>0</v>
      </c>
      <c r="M1008">
        <v>0</v>
      </c>
      <c r="N1008">
        <v>212</v>
      </c>
      <c r="O1008">
        <v>208</v>
      </c>
      <c r="P1008">
        <v>334</v>
      </c>
      <c r="S1008">
        <v>964</v>
      </c>
      <c r="T1008">
        <v>906.59999999999945</v>
      </c>
      <c r="U1008">
        <v>997.25</v>
      </c>
      <c r="V1008">
        <v>906.59999999999945</v>
      </c>
      <c r="W1008">
        <v>1729.0156351109727</v>
      </c>
      <c r="X1008">
        <v>2312.7999999999988</v>
      </c>
      <c r="Y1008">
        <v>-586.97178712354298</v>
      </c>
    </row>
    <row r="1009" spans="1:25" x14ac:dyDescent="0.35">
      <c r="A1009">
        <v>965</v>
      </c>
      <c r="B1009">
        <v>906.59999999999945</v>
      </c>
      <c r="C1009">
        <v>958.39999999999964</v>
      </c>
      <c r="D1009">
        <v>906.59999999999945</v>
      </c>
      <c r="E1009">
        <v>-1100.5500000000002</v>
      </c>
      <c r="F1009">
        <v>-336.5</v>
      </c>
      <c r="G1009">
        <v>-2162.4500000000007</v>
      </c>
      <c r="J1009">
        <v>965</v>
      </c>
      <c r="K1009">
        <v>0</v>
      </c>
      <c r="L1009">
        <v>0</v>
      </c>
      <c r="M1009">
        <v>0</v>
      </c>
      <c r="N1009">
        <v>212</v>
      </c>
      <c r="O1009">
        <v>182</v>
      </c>
      <c r="P1009">
        <v>329</v>
      </c>
      <c r="S1009">
        <v>965</v>
      </c>
      <c r="T1009">
        <v>906.59999999999945</v>
      </c>
      <c r="U1009">
        <v>984.30000000000018</v>
      </c>
      <c r="V1009">
        <v>919.55000000000018</v>
      </c>
      <c r="W1009">
        <v>2231.1999999999994</v>
      </c>
      <c r="X1009">
        <v>2234.4249999999993</v>
      </c>
      <c r="Y1009">
        <v>1987.5270960023154</v>
      </c>
    </row>
    <row r="1010" spans="1:25" x14ac:dyDescent="0.35">
      <c r="A1010">
        <v>966</v>
      </c>
      <c r="B1010">
        <v>906.59999999999945</v>
      </c>
      <c r="C1010">
        <v>977.82499999999982</v>
      </c>
      <c r="D1010">
        <v>906.59999999999945</v>
      </c>
      <c r="E1010">
        <v>-1243</v>
      </c>
      <c r="F1010">
        <v>-504.85000000000036</v>
      </c>
      <c r="G1010">
        <v>-2084.75</v>
      </c>
      <c r="J1010">
        <v>966</v>
      </c>
      <c r="K1010">
        <v>0</v>
      </c>
      <c r="L1010">
        <v>0</v>
      </c>
      <c r="M1010">
        <v>0</v>
      </c>
      <c r="N1010">
        <v>225</v>
      </c>
      <c r="O1010">
        <v>171</v>
      </c>
      <c r="P1010">
        <v>333</v>
      </c>
      <c r="S1010">
        <v>966</v>
      </c>
      <c r="T1010">
        <v>906.59999999999945</v>
      </c>
      <c r="U1010">
        <v>951.92499999999927</v>
      </c>
      <c r="V1010">
        <v>906.59999999999945</v>
      </c>
      <c r="W1010">
        <v>2217.1999999999989</v>
      </c>
      <c r="X1010">
        <v>2278.5249999999996</v>
      </c>
      <c r="Y1010">
        <v>2459.1999999999989</v>
      </c>
    </row>
    <row r="1011" spans="1:25" x14ac:dyDescent="0.35">
      <c r="A1011">
        <v>967</v>
      </c>
      <c r="B1011">
        <v>906.59999999999945</v>
      </c>
      <c r="C1011">
        <v>984.29999999999927</v>
      </c>
      <c r="D1011">
        <v>906.59999999999945</v>
      </c>
      <c r="E1011">
        <v>-1100.5500000000002</v>
      </c>
      <c r="F1011">
        <v>-129.30000000000018</v>
      </c>
      <c r="G1011">
        <v>-2408.5</v>
      </c>
      <c r="J1011">
        <v>967</v>
      </c>
      <c r="K1011">
        <v>0</v>
      </c>
      <c r="L1011">
        <v>0</v>
      </c>
      <c r="M1011">
        <v>4</v>
      </c>
      <c r="N1011">
        <v>246</v>
      </c>
      <c r="O1011">
        <v>190</v>
      </c>
      <c r="P1011">
        <v>329</v>
      </c>
      <c r="S1011">
        <v>967</v>
      </c>
      <c r="T1011">
        <v>906.59999999999945</v>
      </c>
      <c r="U1011">
        <v>997.25</v>
      </c>
      <c r="V1011">
        <v>906.59999999999945</v>
      </c>
      <c r="W1011">
        <v>2265.1999999999998</v>
      </c>
      <c r="X1011">
        <v>2242.5249999999996</v>
      </c>
      <c r="Y1011">
        <v>2447.1999999999998</v>
      </c>
    </row>
    <row r="1012" spans="1:25" x14ac:dyDescent="0.35">
      <c r="A1012">
        <v>968</v>
      </c>
      <c r="B1012">
        <v>906.59999999999945</v>
      </c>
      <c r="C1012">
        <v>951.92499999999927</v>
      </c>
      <c r="D1012">
        <v>906.60000000000036</v>
      </c>
      <c r="E1012">
        <v>-1048.75</v>
      </c>
      <c r="F1012">
        <v>-433.625</v>
      </c>
      <c r="G1012">
        <v>-2343.75</v>
      </c>
      <c r="J1012">
        <v>968</v>
      </c>
      <c r="K1012">
        <v>0</v>
      </c>
      <c r="L1012">
        <v>0</v>
      </c>
      <c r="M1012">
        <v>0</v>
      </c>
      <c r="N1012">
        <v>233</v>
      </c>
      <c r="O1012">
        <v>197</v>
      </c>
      <c r="P1012">
        <v>340</v>
      </c>
      <c r="S1012">
        <v>968</v>
      </c>
      <c r="T1012">
        <v>906.59999999999945</v>
      </c>
      <c r="U1012">
        <v>971.34999999999854</v>
      </c>
      <c r="V1012">
        <v>924.60000000000014</v>
      </c>
      <c r="W1012">
        <v>836.48996198441455</v>
      </c>
      <c r="X1012">
        <v>2278.4249999999993</v>
      </c>
      <c r="Y1012">
        <v>2475.1999999999998</v>
      </c>
    </row>
    <row r="1013" spans="1:25" x14ac:dyDescent="0.35">
      <c r="A1013">
        <v>969</v>
      </c>
      <c r="B1013">
        <v>906.59999999999945</v>
      </c>
      <c r="C1013">
        <v>997.24999999999909</v>
      </c>
      <c r="D1013">
        <v>906.60000000000036</v>
      </c>
      <c r="E1013">
        <v>-919.25</v>
      </c>
      <c r="F1013">
        <v>-666.72500000000036</v>
      </c>
      <c r="G1013">
        <v>-2499.1500000000005</v>
      </c>
      <c r="J1013">
        <v>969</v>
      </c>
      <c r="K1013">
        <v>0</v>
      </c>
      <c r="L1013">
        <v>0</v>
      </c>
      <c r="M1013">
        <v>0</v>
      </c>
      <c r="N1013">
        <v>240</v>
      </c>
      <c r="O1013">
        <v>189</v>
      </c>
      <c r="P1013">
        <v>322</v>
      </c>
      <c r="S1013">
        <v>969</v>
      </c>
      <c r="T1013">
        <v>906.59999999999945</v>
      </c>
      <c r="U1013">
        <v>977.82499999999982</v>
      </c>
      <c r="V1013">
        <v>906.60000000000036</v>
      </c>
      <c r="W1013">
        <v>2235.1999999999998</v>
      </c>
      <c r="X1013">
        <v>2301.3749999999991</v>
      </c>
      <c r="Y1013">
        <v>-1779.4492558178576</v>
      </c>
    </row>
    <row r="1014" spans="1:25" x14ac:dyDescent="0.35">
      <c r="A1014">
        <v>970</v>
      </c>
      <c r="B1014">
        <v>906.59999999999945</v>
      </c>
      <c r="C1014">
        <v>1016.6749999999993</v>
      </c>
      <c r="D1014">
        <v>906.59999999999945</v>
      </c>
      <c r="E1014">
        <v>-1074.6500000000005</v>
      </c>
      <c r="F1014">
        <v>-440.10000000000036</v>
      </c>
      <c r="G1014">
        <v>-2317.8500000000004</v>
      </c>
      <c r="J1014">
        <v>970</v>
      </c>
      <c r="K1014">
        <v>0</v>
      </c>
      <c r="L1014">
        <v>0</v>
      </c>
      <c r="M1014">
        <v>0</v>
      </c>
      <c r="N1014">
        <v>220</v>
      </c>
      <c r="O1014">
        <v>181</v>
      </c>
      <c r="P1014">
        <v>346</v>
      </c>
      <c r="S1014">
        <v>970</v>
      </c>
      <c r="T1014">
        <v>906.59999999999945</v>
      </c>
      <c r="U1014">
        <v>945.44999999999891</v>
      </c>
      <c r="V1014">
        <v>906.59999999999945</v>
      </c>
      <c r="W1014">
        <v>2265.1999999999998</v>
      </c>
      <c r="X1014">
        <v>2216.4250000000002</v>
      </c>
      <c r="Y1014">
        <v>2461.1999999999998</v>
      </c>
    </row>
    <row r="1015" spans="1:25" x14ac:dyDescent="0.35">
      <c r="A1015">
        <v>971</v>
      </c>
      <c r="B1015">
        <v>906.59999999999945</v>
      </c>
      <c r="C1015">
        <v>977.82499999999982</v>
      </c>
      <c r="D1015">
        <v>906.59999999999945</v>
      </c>
      <c r="E1015">
        <v>-1191.2000000000007</v>
      </c>
      <c r="F1015">
        <v>-213.47500000000036</v>
      </c>
      <c r="G1015">
        <v>-2020</v>
      </c>
      <c r="J1015">
        <v>971</v>
      </c>
      <c r="K1015">
        <v>0</v>
      </c>
      <c r="L1015">
        <v>0</v>
      </c>
      <c r="M1015">
        <v>0</v>
      </c>
      <c r="N1015">
        <v>191</v>
      </c>
      <c r="O1015">
        <v>200</v>
      </c>
      <c r="P1015">
        <v>335</v>
      </c>
      <c r="S1015">
        <v>971</v>
      </c>
      <c r="T1015">
        <v>906.59999999999945</v>
      </c>
      <c r="U1015">
        <v>990.77499999999964</v>
      </c>
      <c r="V1015">
        <v>906.60000000000036</v>
      </c>
      <c r="W1015">
        <v>-1126.4500000000007</v>
      </c>
      <c r="X1015">
        <v>2199.9499999999998</v>
      </c>
      <c r="Y1015">
        <v>-2395.5500000000002</v>
      </c>
    </row>
    <row r="1016" spans="1:25" x14ac:dyDescent="0.35">
      <c r="A1016">
        <v>972</v>
      </c>
      <c r="B1016">
        <v>906.59999999999945</v>
      </c>
      <c r="C1016">
        <v>964.87499999999909</v>
      </c>
      <c r="D1016">
        <v>906.60000000000036</v>
      </c>
      <c r="E1016">
        <v>-1048.75</v>
      </c>
      <c r="F1016">
        <v>-601.97500000000036</v>
      </c>
      <c r="G1016">
        <v>-2240.1500000000005</v>
      </c>
      <c r="J1016">
        <v>972</v>
      </c>
      <c r="K1016">
        <v>0</v>
      </c>
      <c r="L1016">
        <v>0</v>
      </c>
      <c r="M1016">
        <v>0</v>
      </c>
      <c r="N1016">
        <v>235</v>
      </c>
      <c r="O1016">
        <v>195</v>
      </c>
      <c r="P1016">
        <v>307</v>
      </c>
      <c r="S1016">
        <v>972</v>
      </c>
      <c r="T1016">
        <v>906.59999999999945</v>
      </c>
      <c r="U1016">
        <v>958.39999999999873</v>
      </c>
      <c r="V1016">
        <v>906.59999999999945</v>
      </c>
      <c r="W1016">
        <v>702.80137067664282</v>
      </c>
      <c r="X1016">
        <v>2252.8999999999996</v>
      </c>
      <c r="Y1016">
        <v>2463.1999999999998</v>
      </c>
    </row>
    <row r="1017" spans="1:25" x14ac:dyDescent="0.35">
      <c r="A1017">
        <v>973</v>
      </c>
      <c r="B1017">
        <v>906.59999999999945</v>
      </c>
      <c r="C1017">
        <v>1023.1499999999996</v>
      </c>
      <c r="D1017">
        <v>906.59999999999945</v>
      </c>
      <c r="E1017">
        <v>-1204.1500000000005</v>
      </c>
      <c r="F1017">
        <v>-640.82500000000073</v>
      </c>
      <c r="G1017">
        <v>-2291.9499999999998</v>
      </c>
      <c r="J1017">
        <v>973</v>
      </c>
      <c r="K1017">
        <v>0</v>
      </c>
      <c r="L1017">
        <v>0</v>
      </c>
      <c r="M1017">
        <v>0</v>
      </c>
      <c r="N1017">
        <v>232</v>
      </c>
      <c r="O1017">
        <v>178</v>
      </c>
      <c r="P1017">
        <v>316</v>
      </c>
      <c r="S1017">
        <v>973</v>
      </c>
      <c r="T1017">
        <v>906.59999999999945</v>
      </c>
      <c r="U1017">
        <v>977.82499999999891</v>
      </c>
      <c r="V1017">
        <v>906.59999999999945</v>
      </c>
      <c r="W1017">
        <v>2291.1999999999994</v>
      </c>
      <c r="X1017">
        <v>2269.9499999999998</v>
      </c>
      <c r="Y1017">
        <v>2451.1999999999998</v>
      </c>
    </row>
    <row r="1018" spans="1:25" x14ac:dyDescent="0.35">
      <c r="A1018">
        <v>974</v>
      </c>
      <c r="B1018">
        <v>906.59999999999945</v>
      </c>
      <c r="C1018">
        <v>964.875</v>
      </c>
      <c r="D1018">
        <v>906.59999999999945</v>
      </c>
      <c r="E1018">
        <v>-945.15000000000055</v>
      </c>
      <c r="F1018">
        <v>-608.45000000000073</v>
      </c>
      <c r="G1018">
        <v>-2395.5500000000002</v>
      </c>
      <c r="J1018">
        <v>974</v>
      </c>
      <c r="K1018">
        <v>0</v>
      </c>
      <c r="L1018">
        <v>0</v>
      </c>
      <c r="M1018">
        <v>0</v>
      </c>
      <c r="N1018">
        <v>215</v>
      </c>
      <c r="O1018">
        <v>188</v>
      </c>
      <c r="P1018">
        <v>331</v>
      </c>
      <c r="S1018">
        <v>974</v>
      </c>
      <c r="T1018">
        <v>906.59999999999945</v>
      </c>
      <c r="U1018">
        <v>990.77499999999873</v>
      </c>
      <c r="V1018">
        <v>906.59999999999945</v>
      </c>
      <c r="W1018">
        <v>2217.1999999999989</v>
      </c>
      <c r="X1018">
        <v>2195</v>
      </c>
      <c r="Y1018">
        <v>2513.1999999999998</v>
      </c>
    </row>
    <row r="1019" spans="1:25" x14ac:dyDescent="0.35">
      <c r="A1019">
        <v>975</v>
      </c>
      <c r="B1019">
        <v>906.59999999999945</v>
      </c>
      <c r="C1019">
        <v>945.44999999999891</v>
      </c>
      <c r="D1019">
        <v>906.59999999999945</v>
      </c>
      <c r="E1019">
        <v>-919.25</v>
      </c>
      <c r="F1019">
        <v>-569.60000000000036</v>
      </c>
      <c r="G1019">
        <v>-2343.75</v>
      </c>
      <c r="J1019">
        <v>975</v>
      </c>
      <c r="K1019">
        <v>0</v>
      </c>
      <c r="L1019">
        <v>0</v>
      </c>
      <c r="M1019">
        <v>0</v>
      </c>
      <c r="N1019">
        <v>208</v>
      </c>
      <c r="O1019">
        <v>146</v>
      </c>
      <c r="P1019">
        <v>323</v>
      </c>
      <c r="S1019">
        <v>975</v>
      </c>
      <c r="T1019">
        <v>906.59999999999945</v>
      </c>
      <c r="U1019">
        <v>977.82499999999891</v>
      </c>
      <c r="V1019">
        <v>906.59999999999945</v>
      </c>
      <c r="W1019">
        <v>2213.6316045016461</v>
      </c>
      <c r="X1019">
        <v>2251.3749999999995</v>
      </c>
      <c r="Y1019">
        <v>2455.1999999999998</v>
      </c>
    </row>
    <row r="1020" spans="1:25" x14ac:dyDescent="0.35">
      <c r="A1020">
        <v>976</v>
      </c>
      <c r="B1020">
        <v>906.59999999999945</v>
      </c>
      <c r="C1020">
        <v>964.875</v>
      </c>
      <c r="D1020">
        <v>906.60000000000036</v>
      </c>
      <c r="E1020">
        <v>-1061.7000000000007</v>
      </c>
      <c r="F1020">
        <v>-537.22500000000036</v>
      </c>
      <c r="G1020">
        <v>-2304.9000000000005</v>
      </c>
      <c r="J1020">
        <v>976</v>
      </c>
      <c r="K1020">
        <v>0</v>
      </c>
      <c r="L1020">
        <v>0</v>
      </c>
      <c r="M1020">
        <v>0</v>
      </c>
      <c r="N1020">
        <v>220</v>
      </c>
      <c r="O1020">
        <v>200</v>
      </c>
      <c r="P1020">
        <v>335</v>
      </c>
      <c r="S1020">
        <v>976</v>
      </c>
      <c r="T1020">
        <v>906.59999999999945</v>
      </c>
      <c r="U1020">
        <v>997.25</v>
      </c>
      <c r="V1020">
        <v>906.60000000000036</v>
      </c>
      <c r="W1020">
        <v>2249.1999999999994</v>
      </c>
      <c r="X1020">
        <v>2302.3249999999998</v>
      </c>
      <c r="Y1020">
        <v>2437.1999999999989</v>
      </c>
    </row>
    <row r="1021" spans="1:25" x14ac:dyDescent="0.35">
      <c r="A1021">
        <v>977</v>
      </c>
      <c r="B1021">
        <v>906.59999999999945</v>
      </c>
      <c r="C1021">
        <v>964.875</v>
      </c>
      <c r="D1021">
        <v>906.59999999999945</v>
      </c>
      <c r="E1021">
        <v>-1087.6000000000004</v>
      </c>
      <c r="F1021">
        <v>-498.375</v>
      </c>
      <c r="G1021">
        <v>-2304.9000000000005</v>
      </c>
      <c r="J1021">
        <v>977</v>
      </c>
      <c r="K1021">
        <v>0</v>
      </c>
      <c r="L1021">
        <v>0</v>
      </c>
      <c r="M1021">
        <v>0</v>
      </c>
      <c r="N1021">
        <v>215</v>
      </c>
      <c r="O1021">
        <v>181</v>
      </c>
      <c r="P1021">
        <v>341</v>
      </c>
      <c r="S1021">
        <v>977</v>
      </c>
      <c r="T1021">
        <v>906.59999999999945</v>
      </c>
      <c r="U1021">
        <v>977.82499999999982</v>
      </c>
      <c r="V1021">
        <v>906.59999999999945</v>
      </c>
      <c r="W1021">
        <v>2309.1999999999994</v>
      </c>
      <c r="X1021">
        <v>2259.1000000000004</v>
      </c>
      <c r="Y1021">
        <v>2483.1999999999998</v>
      </c>
    </row>
    <row r="1022" spans="1:25" x14ac:dyDescent="0.35">
      <c r="A1022">
        <v>978</v>
      </c>
      <c r="B1022">
        <v>906.59999999999945</v>
      </c>
      <c r="C1022">
        <v>938.97500000000036</v>
      </c>
      <c r="D1022">
        <v>906.59999999999945</v>
      </c>
      <c r="E1022">
        <v>-1035.8000000000002</v>
      </c>
      <c r="F1022">
        <v>-472.47500000000036</v>
      </c>
      <c r="G1022">
        <v>-2110.6500000000005</v>
      </c>
      <c r="J1022">
        <v>978</v>
      </c>
      <c r="K1022">
        <v>0</v>
      </c>
      <c r="L1022">
        <v>0</v>
      </c>
      <c r="M1022">
        <v>0</v>
      </c>
      <c r="N1022">
        <v>224</v>
      </c>
      <c r="O1022">
        <v>193</v>
      </c>
      <c r="P1022">
        <v>327</v>
      </c>
      <c r="S1022">
        <v>978</v>
      </c>
      <c r="T1022">
        <v>906.59999999999945</v>
      </c>
      <c r="U1022">
        <v>977.82499999999982</v>
      </c>
      <c r="V1022">
        <v>906.60000000000036</v>
      </c>
      <c r="W1022">
        <v>2265.1999999999998</v>
      </c>
      <c r="X1022">
        <v>2295.3749999999995</v>
      </c>
      <c r="Y1022">
        <v>2463.1999999999998</v>
      </c>
    </row>
    <row r="1023" spans="1:25" x14ac:dyDescent="0.35">
      <c r="A1023">
        <v>979</v>
      </c>
      <c r="B1023">
        <v>906.59999999999945</v>
      </c>
      <c r="C1023">
        <v>971.34999999999945</v>
      </c>
      <c r="D1023">
        <v>906.59999999999945</v>
      </c>
      <c r="E1023">
        <v>-1152.3500000000004</v>
      </c>
      <c r="F1023">
        <v>-433.625</v>
      </c>
      <c r="G1023">
        <v>-2240.1500000000005</v>
      </c>
      <c r="J1023">
        <v>979</v>
      </c>
      <c r="K1023">
        <v>0</v>
      </c>
      <c r="L1023">
        <v>0</v>
      </c>
      <c r="M1023">
        <v>0</v>
      </c>
      <c r="N1023">
        <v>212</v>
      </c>
      <c r="O1023">
        <v>188</v>
      </c>
      <c r="P1023">
        <v>325</v>
      </c>
      <c r="S1023">
        <v>979</v>
      </c>
      <c r="T1023">
        <v>906.59999999999945</v>
      </c>
      <c r="U1023">
        <v>945.44999999999891</v>
      </c>
      <c r="V1023">
        <v>906.59999999999945</v>
      </c>
      <c r="W1023">
        <v>1982.1042001749856</v>
      </c>
      <c r="X1023">
        <v>2200.4249999999988</v>
      </c>
      <c r="Y1023">
        <v>2435.1999999999998</v>
      </c>
    </row>
    <row r="1024" spans="1:25" x14ac:dyDescent="0.35">
      <c r="A1024">
        <v>980</v>
      </c>
      <c r="B1024">
        <v>906.59999999999945</v>
      </c>
      <c r="C1024">
        <v>964.87499999999909</v>
      </c>
      <c r="D1024">
        <v>919.54999999999927</v>
      </c>
      <c r="E1024">
        <v>-776.80000000000018</v>
      </c>
      <c r="F1024">
        <v>-634.35000000000036</v>
      </c>
      <c r="G1024">
        <v>-2550.9499999999998</v>
      </c>
      <c r="J1024">
        <v>980</v>
      </c>
      <c r="K1024">
        <v>0</v>
      </c>
      <c r="L1024">
        <v>0</v>
      </c>
      <c r="M1024">
        <v>0</v>
      </c>
      <c r="N1024">
        <v>219</v>
      </c>
      <c r="O1024">
        <v>169</v>
      </c>
      <c r="P1024">
        <v>311</v>
      </c>
      <c r="S1024">
        <v>980</v>
      </c>
      <c r="T1024">
        <v>906.59999999999945</v>
      </c>
      <c r="U1024">
        <v>1003.7249999999995</v>
      </c>
      <c r="V1024">
        <v>906.59999999999945</v>
      </c>
      <c r="W1024">
        <v>2281.1999999999994</v>
      </c>
      <c r="X1024">
        <v>2222.5250000000001</v>
      </c>
      <c r="Y1024">
        <v>-1182.6238910262114</v>
      </c>
    </row>
    <row r="1025" spans="1:25" x14ac:dyDescent="0.35">
      <c r="A1025">
        <v>981</v>
      </c>
      <c r="B1025">
        <v>906.59999999999945</v>
      </c>
      <c r="C1025">
        <v>977.82499999999891</v>
      </c>
      <c r="D1025">
        <v>906.60000000000036</v>
      </c>
      <c r="E1025">
        <v>-1307.75</v>
      </c>
      <c r="F1025">
        <v>-686.14999999999964</v>
      </c>
      <c r="G1025">
        <v>-2499.1500000000005</v>
      </c>
      <c r="J1025">
        <v>981</v>
      </c>
      <c r="K1025">
        <v>0</v>
      </c>
      <c r="L1025">
        <v>0</v>
      </c>
      <c r="M1025">
        <v>0</v>
      </c>
      <c r="N1025">
        <v>229</v>
      </c>
      <c r="O1025">
        <v>181</v>
      </c>
      <c r="P1025">
        <v>326</v>
      </c>
      <c r="S1025">
        <v>981</v>
      </c>
      <c r="T1025">
        <v>906.59999999999945</v>
      </c>
      <c r="U1025">
        <v>984.29999999999927</v>
      </c>
      <c r="V1025">
        <v>906.59999999999945</v>
      </c>
      <c r="W1025">
        <v>2249.1999999999994</v>
      </c>
      <c r="X1025">
        <v>2268.9999999999991</v>
      </c>
      <c r="Y1025">
        <v>2447.1999999999998</v>
      </c>
    </row>
    <row r="1026" spans="1:25" x14ac:dyDescent="0.35">
      <c r="A1026">
        <v>982</v>
      </c>
      <c r="B1026">
        <v>906.59999999999945</v>
      </c>
      <c r="C1026">
        <v>964.875</v>
      </c>
      <c r="D1026">
        <v>906.60000000000036</v>
      </c>
      <c r="E1026">
        <v>-893.35000000000036</v>
      </c>
      <c r="F1026">
        <v>-614.92500000000018</v>
      </c>
      <c r="G1026">
        <v>-2356.6999999999998</v>
      </c>
      <c r="J1026">
        <v>982</v>
      </c>
      <c r="K1026">
        <v>0</v>
      </c>
      <c r="L1026">
        <v>0</v>
      </c>
      <c r="M1026">
        <v>0</v>
      </c>
      <c r="N1026">
        <v>220</v>
      </c>
      <c r="O1026">
        <v>178</v>
      </c>
      <c r="P1026">
        <v>294</v>
      </c>
      <c r="S1026">
        <v>982</v>
      </c>
      <c r="T1026">
        <v>906.59999999999945</v>
      </c>
      <c r="U1026">
        <v>951.92499999999927</v>
      </c>
      <c r="V1026">
        <v>906.60000000000036</v>
      </c>
      <c r="W1026">
        <v>2323.1999999999998</v>
      </c>
      <c r="X1026">
        <v>2199.5749999999994</v>
      </c>
      <c r="Y1026">
        <v>1305.930229147285</v>
      </c>
    </row>
    <row r="1027" spans="1:25" x14ac:dyDescent="0.35">
      <c r="A1027">
        <v>983</v>
      </c>
      <c r="B1027">
        <v>906.59999999999945</v>
      </c>
      <c r="C1027">
        <v>945.44999999999982</v>
      </c>
      <c r="D1027">
        <v>906.59999999999945</v>
      </c>
      <c r="E1027">
        <v>-1061.7000000000007</v>
      </c>
      <c r="F1027">
        <v>-886.875</v>
      </c>
      <c r="G1027">
        <v>-2356.6999999999998</v>
      </c>
      <c r="J1027">
        <v>983</v>
      </c>
      <c r="K1027">
        <v>0</v>
      </c>
      <c r="L1027">
        <v>0</v>
      </c>
      <c r="M1027">
        <v>0</v>
      </c>
      <c r="N1027">
        <v>216</v>
      </c>
      <c r="O1027">
        <v>184</v>
      </c>
      <c r="P1027">
        <v>317</v>
      </c>
      <c r="S1027">
        <v>983</v>
      </c>
      <c r="T1027">
        <v>906.59999999999945</v>
      </c>
      <c r="U1027">
        <v>938.97499999999945</v>
      </c>
      <c r="V1027">
        <v>906.59999999999945</v>
      </c>
      <c r="W1027">
        <v>2273.1999999999998</v>
      </c>
      <c r="X1027">
        <v>2267.849999999999</v>
      </c>
      <c r="Y1027">
        <v>309.04046111344633</v>
      </c>
    </row>
    <row r="1028" spans="1:25" x14ac:dyDescent="0.35">
      <c r="A1028">
        <v>984</v>
      </c>
      <c r="B1028">
        <v>906.59999999999945</v>
      </c>
      <c r="C1028">
        <v>977.82499999999982</v>
      </c>
      <c r="D1028">
        <v>906.60000000000036</v>
      </c>
      <c r="E1028">
        <v>-530.75</v>
      </c>
      <c r="F1028">
        <v>-776.80000000000018</v>
      </c>
      <c r="G1028">
        <v>-1955.25</v>
      </c>
      <c r="J1028">
        <v>984</v>
      </c>
      <c r="K1028">
        <v>0</v>
      </c>
      <c r="L1028">
        <v>0</v>
      </c>
      <c r="M1028">
        <v>0</v>
      </c>
      <c r="N1028">
        <v>226</v>
      </c>
      <c r="O1028">
        <v>175</v>
      </c>
      <c r="P1028">
        <v>333</v>
      </c>
      <c r="S1028">
        <v>984</v>
      </c>
      <c r="T1028">
        <v>906.59999999999945</v>
      </c>
      <c r="U1028">
        <v>971.34999999999945</v>
      </c>
      <c r="V1028">
        <v>906.60000000000036</v>
      </c>
      <c r="W1028">
        <v>-945.15000000000055</v>
      </c>
      <c r="X1028">
        <v>1905.8109458691783</v>
      </c>
      <c r="Y1028">
        <v>-1205.1469661771873</v>
      </c>
    </row>
    <row r="1029" spans="1:25" x14ac:dyDescent="0.35">
      <c r="A1029">
        <v>985</v>
      </c>
      <c r="B1029">
        <v>906.59999999999945</v>
      </c>
      <c r="C1029">
        <v>958.39999999999964</v>
      </c>
      <c r="D1029">
        <v>906.60000000000036</v>
      </c>
      <c r="E1029">
        <v>-789.75</v>
      </c>
      <c r="F1029">
        <v>-537.22500000000036</v>
      </c>
      <c r="G1029">
        <v>-2499.1500000000005</v>
      </c>
      <c r="J1029">
        <v>985</v>
      </c>
      <c r="K1029">
        <v>0</v>
      </c>
      <c r="L1029">
        <v>0</v>
      </c>
      <c r="M1029">
        <v>0</v>
      </c>
      <c r="N1029">
        <v>210</v>
      </c>
      <c r="O1029">
        <v>191</v>
      </c>
      <c r="P1029">
        <v>320</v>
      </c>
      <c r="S1029">
        <v>985</v>
      </c>
      <c r="T1029">
        <v>906.59999999999945</v>
      </c>
      <c r="U1029">
        <v>958.39999999999964</v>
      </c>
      <c r="V1029">
        <v>906.59999999999945</v>
      </c>
      <c r="W1029">
        <v>2275.1999999999998</v>
      </c>
      <c r="X1029">
        <v>2232.9999999999995</v>
      </c>
      <c r="Y1029">
        <v>692.51062452494671</v>
      </c>
    </row>
    <row r="1030" spans="1:25" x14ac:dyDescent="0.35">
      <c r="A1030">
        <v>986</v>
      </c>
      <c r="B1030">
        <v>906.59999999999945</v>
      </c>
      <c r="C1030">
        <v>997.25</v>
      </c>
      <c r="D1030">
        <v>906.60000000000036</v>
      </c>
      <c r="E1030">
        <v>-1191.2000000000007</v>
      </c>
      <c r="F1030">
        <v>-355.92500000000018</v>
      </c>
      <c r="G1030">
        <v>-2123.6000000000004</v>
      </c>
      <c r="J1030">
        <v>986</v>
      </c>
      <c r="K1030">
        <v>0</v>
      </c>
      <c r="L1030">
        <v>0</v>
      </c>
      <c r="M1030">
        <v>0</v>
      </c>
      <c r="N1030">
        <v>230</v>
      </c>
      <c r="O1030">
        <v>176</v>
      </c>
      <c r="P1030">
        <v>321</v>
      </c>
      <c r="S1030">
        <v>986</v>
      </c>
      <c r="T1030">
        <v>906.59999999999945</v>
      </c>
      <c r="U1030">
        <v>977.82499999999982</v>
      </c>
      <c r="V1030">
        <v>906.60000000000036</v>
      </c>
      <c r="W1030">
        <v>-583.60802707084247</v>
      </c>
      <c r="X1030">
        <v>2213.4749999999995</v>
      </c>
      <c r="Y1030">
        <v>768.88641702055202</v>
      </c>
    </row>
    <row r="1031" spans="1:25" x14ac:dyDescent="0.35">
      <c r="A1031">
        <v>987</v>
      </c>
      <c r="B1031">
        <v>906.59999999999945</v>
      </c>
      <c r="C1031">
        <v>945.44999999999982</v>
      </c>
      <c r="D1031">
        <v>906.59999999999945</v>
      </c>
      <c r="E1031">
        <v>-1048.75</v>
      </c>
      <c r="F1031">
        <v>-349.45000000000073</v>
      </c>
      <c r="G1031">
        <v>-2149.5</v>
      </c>
      <c r="J1031">
        <v>987</v>
      </c>
      <c r="K1031">
        <v>0</v>
      </c>
      <c r="L1031">
        <v>0</v>
      </c>
      <c r="M1031">
        <v>0</v>
      </c>
      <c r="N1031">
        <v>229</v>
      </c>
      <c r="O1031">
        <v>186</v>
      </c>
      <c r="P1031">
        <v>323</v>
      </c>
      <c r="S1031">
        <v>987</v>
      </c>
      <c r="T1031">
        <v>906.59999999999945</v>
      </c>
      <c r="U1031">
        <v>990.77499999999964</v>
      </c>
      <c r="V1031">
        <v>906.59999999999945</v>
      </c>
      <c r="W1031">
        <v>2285.1999999999998</v>
      </c>
      <c r="X1031">
        <v>2275.9499999999994</v>
      </c>
      <c r="Y1031">
        <v>880.82198132655276</v>
      </c>
    </row>
    <row r="1032" spans="1:25" x14ac:dyDescent="0.35">
      <c r="A1032">
        <v>988</v>
      </c>
      <c r="B1032">
        <v>906.59999999999945</v>
      </c>
      <c r="C1032">
        <v>1010.1999999999998</v>
      </c>
      <c r="D1032">
        <v>906.60000000000036</v>
      </c>
      <c r="E1032">
        <v>-1074.6500000000005</v>
      </c>
      <c r="F1032">
        <v>-394.77500000000055</v>
      </c>
      <c r="G1032">
        <v>-2279</v>
      </c>
      <c r="J1032">
        <v>988</v>
      </c>
      <c r="K1032">
        <v>0</v>
      </c>
      <c r="L1032">
        <v>0</v>
      </c>
      <c r="M1032">
        <v>0</v>
      </c>
      <c r="N1032">
        <v>221</v>
      </c>
      <c r="O1032">
        <v>183</v>
      </c>
      <c r="P1032">
        <v>317</v>
      </c>
      <c r="S1032">
        <v>988</v>
      </c>
      <c r="T1032">
        <v>906.59999999999945</v>
      </c>
      <c r="U1032">
        <v>958.39999999999964</v>
      </c>
      <c r="V1032">
        <v>906.60000000000036</v>
      </c>
      <c r="W1032">
        <v>2241.1999999999994</v>
      </c>
      <c r="X1032">
        <v>1485.1335600059638</v>
      </c>
      <c r="Y1032">
        <v>-448.46175940039166</v>
      </c>
    </row>
    <row r="1033" spans="1:25" x14ac:dyDescent="0.35">
      <c r="A1033">
        <v>989</v>
      </c>
      <c r="B1033">
        <v>906.59999999999945</v>
      </c>
      <c r="C1033">
        <v>990.77499999999964</v>
      </c>
      <c r="D1033">
        <v>854.80000000000018</v>
      </c>
      <c r="E1033">
        <v>-1061.7000000000007</v>
      </c>
      <c r="F1033">
        <v>-595.5</v>
      </c>
      <c r="G1033">
        <v>-2473.25</v>
      </c>
      <c r="J1033">
        <v>989</v>
      </c>
      <c r="K1033">
        <v>0</v>
      </c>
      <c r="L1033">
        <v>0</v>
      </c>
      <c r="M1033">
        <v>0</v>
      </c>
      <c r="N1033">
        <v>246</v>
      </c>
      <c r="O1033">
        <v>188</v>
      </c>
      <c r="P1033">
        <v>319</v>
      </c>
      <c r="S1033">
        <v>989</v>
      </c>
      <c r="T1033">
        <v>906.59999999999945</v>
      </c>
      <c r="U1033">
        <v>984.29999999999927</v>
      </c>
      <c r="V1033">
        <v>906.59999999999945</v>
      </c>
      <c r="W1033">
        <v>2213.1999999999998</v>
      </c>
      <c r="X1033">
        <v>816.67193341196139</v>
      </c>
      <c r="Y1033">
        <v>2481.1999999999998</v>
      </c>
    </row>
    <row r="1034" spans="1:25" x14ac:dyDescent="0.35">
      <c r="A1034">
        <v>990</v>
      </c>
      <c r="B1034">
        <v>906.59999999999945</v>
      </c>
      <c r="C1034">
        <v>938.97499999999945</v>
      </c>
      <c r="D1034">
        <v>906.59999999999945</v>
      </c>
      <c r="E1034">
        <v>-1165.3000000000002</v>
      </c>
      <c r="F1034">
        <v>-271.75</v>
      </c>
      <c r="G1034">
        <v>-2343.75</v>
      </c>
      <c r="J1034">
        <v>990</v>
      </c>
      <c r="K1034">
        <v>0</v>
      </c>
      <c r="L1034">
        <v>0</v>
      </c>
      <c r="M1034">
        <v>0</v>
      </c>
      <c r="N1034">
        <v>231</v>
      </c>
      <c r="O1034">
        <v>169</v>
      </c>
      <c r="P1034">
        <v>334</v>
      </c>
      <c r="S1034">
        <v>990</v>
      </c>
      <c r="T1034">
        <v>906.59999999999945</v>
      </c>
      <c r="U1034">
        <v>990.77499999999964</v>
      </c>
      <c r="V1034">
        <v>906.59999999999945</v>
      </c>
      <c r="W1034">
        <v>2295.1999999999998</v>
      </c>
      <c r="X1034">
        <v>2228.4249999999997</v>
      </c>
      <c r="Y1034">
        <v>-1651.4356855440792</v>
      </c>
    </row>
    <row r="1035" spans="1:25" x14ac:dyDescent="0.35">
      <c r="A1035">
        <v>991</v>
      </c>
      <c r="B1035">
        <v>906.59999999999945</v>
      </c>
      <c r="C1035">
        <v>984.30000000000018</v>
      </c>
      <c r="D1035">
        <v>906.60000000000036</v>
      </c>
      <c r="E1035">
        <v>-1243</v>
      </c>
      <c r="F1035">
        <v>-466</v>
      </c>
      <c r="G1035">
        <v>-2330.8000000000002</v>
      </c>
      <c r="J1035">
        <v>991</v>
      </c>
      <c r="K1035">
        <v>0</v>
      </c>
      <c r="L1035">
        <v>0</v>
      </c>
      <c r="M1035">
        <v>0</v>
      </c>
      <c r="N1035">
        <v>217</v>
      </c>
      <c r="O1035">
        <v>180</v>
      </c>
      <c r="P1035">
        <v>321</v>
      </c>
      <c r="S1035">
        <v>991</v>
      </c>
      <c r="T1035">
        <v>906.59999999999945</v>
      </c>
      <c r="U1035">
        <v>951.92499999999927</v>
      </c>
      <c r="V1035">
        <v>906.59999999999945</v>
      </c>
      <c r="W1035">
        <v>2249.1999999999994</v>
      </c>
      <c r="X1035">
        <v>2209.474999999999</v>
      </c>
      <c r="Y1035">
        <v>620.65265897425388</v>
      </c>
    </row>
    <row r="1036" spans="1:25" x14ac:dyDescent="0.35">
      <c r="A1036">
        <v>992</v>
      </c>
      <c r="B1036">
        <v>906.59999999999945</v>
      </c>
      <c r="C1036">
        <v>971.35000000000036</v>
      </c>
      <c r="D1036">
        <v>906.59999999999945</v>
      </c>
      <c r="E1036">
        <v>-1191.2000000000007</v>
      </c>
      <c r="F1036">
        <v>-310.60000000000036</v>
      </c>
      <c r="G1036">
        <v>-2291.9499999999998</v>
      </c>
      <c r="J1036">
        <v>992</v>
      </c>
      <c r="K1036">
        <v>0</v>
      </c>
      <c r="L1036">
        <v>0</v>
      </c>
      <c r="M1036">
        <v>0</v>
      </c>
      <c r="N1036">
        <v>209</v>
      </c>
      <c r="O1036">
        <v>163</v>
      </c>
      <c r="P1036">
        <v>337</v>
      </c>
      <c r="S1036">
        <v>992</v>
      </c>
      <c r="T1036">
        <v>906.59999999999945</v>
      </c>
      <c r="U1036">
        <v>1055.5249999999996</v>
      </c>
      <c r="V1036">
        <v>906.60000000000036</v>
      </c>
      <c r="W1036">
        <v>2247.1999999999989</v>
      </c>
      <c r="X1036">
        <v>1488.4337163582004</v>
      </c>
      <c r="Y1036">
        <v>2413.1999999999998</v>
      </c>
    </row>
    <row r="1037" spans="1:25" x14ac:dyDescent="0.35">
      <c r="A1037">
        <v>993</v>
      </c>
      <c r="B1037">
        <v>906.59999999999945</v>
      </c>
      <c r="C1037">
        <v>977.82499999999891</v>
      </c>
      <c r="D1037">
        <v>906.59999999999945</v>
      </c>
      <c r="E1037">
        <v>-1048.75</v>
      </c>
      <c r="F1037">
        <v>-472.47500000000036</v>
      </c>
      <c r="G1037">
        <v>-2266.0500000000002</v>
      </c>
      <c r="J1037">
        <v>993</v>
      </c>
      <c r="K1037">
        <v>0</v>
      </c>
      <c r="L1037">
        <v>0</v>
      </c>
      <c r="M1037">
        <v>0</v>
      </c>
      <c r="N1037">
        <v>221</v>
      </c>
      <c r="O1037">
        <v>195</v>
      </c>
      <c r="P1037">
        <v>321</v>
      </c>
      <c r="S1037">
        <v>993</v>
      </c>
      <c r="T1037">
        <v>906.59999999999945</v>
      </c>
      <c r="U1037">
        <v>964.87499999999909</v>
      </c>
      <c r="V1037">
        <v>906.59999999999945</v>
      </c>
      <c r="W1037">
        <v>783.11204360139027</v>
      </c>
      <c r="X1037">
        <v>1144.610454146454</v>
      </c>
      <c r="Y1037">
        <v>2447.1999999999998</v>
      </c>
    </row>
    <row r="1038" spans="1:25" x14ac:dyDescent="0.35">
      <c r="A1038">
        <v>994</v>
      </c>
      <c r="B1038">
        <v>906.59999999999945</v>
      </c>
      <c r="C1038">
        <v>1023.1499999999996</v>
      </c>
      <c r="D1038">
        <v>906.59999999999945</v>
      </c>
      <c r="E1038">
        <v>-932.20000000000073</v>
      </c>
      <c r="F1038">
        <v>-563.125</v>
      </c>
      <c r="G1038">
        <v>-2499.1500000000005</v>
      </c>
      <c r="J1038">
        <v>994</v>
      </c>
      <c r="K1038">
        <v>0</v>
      </c>
      <c r="L1038">
        <v>0</v>
      </c>
      <c r="M1038">
        <v>0</v>
      </c>
      <c r="N1038">
        <v>246</v>
      </c>
      <c r="O1038">
        <v>186</v>
      </c>
      <c r="P1038">
        <v>338</v>
      </c>
      <c r="S1038">
        <v>994</v>
      </c>
      <c r="T1038">
        <v>906.59999999999945</v>
      </c>
      <c r="U1038">
        <v>951.92499999999927</v>
      </c>
      <c r="V1038">
        <v>906.60000000000036</v>
      </c>
      <c r="W1038">
        <v>2279.1999999999994</v>
      </c>
      <c r="X1038">
        <v>565.53918074085027</v>
      </c>
      <c r="Y1038">
        <v>2463.1999999999998</v>
      </c>
    </row>
    <row r="1039" spans="1:25" x14ac:dyDescent="0.35">
      <c r="A1039">
        <v>995</v>
      </c>
      <c r="B1039">
        <v>906.59999999999945</v>
      </c>
      <c r="C1039">
        <v>971.34999999999945</v>
      </c>
      <c r="D1039">
        <v>906.59999999999945</v>
      </c>
      <c r="E1039">
        <v>-1074.6500000000005</v>
      </c>
      <c r="F1039">
        <v>-556.65000000000055</v>
      </c>
      <c r="G1039">
        <v>-2382.6000000000004</v>
      </c>
      <c r="J1039">
        <v>995</v>
      </c>
      <c r="K1039">
        <v>0</v>
      </c>
      <c r="L1039">
        <v>0</v>
      </c>
      <c r="M1039">
        <v>0</v>
      </c>
      <c r="N1039">
        <v>224</v>
      </c>
      <c r="O1039">
        <v>193</v>
      </c>
      <c r="P1039">
        <v>307</v>
      </c>
      <c r="S1039">
        <v>995</v>
      </c>
      <c r="T1039">
        <v>906.59999999999945</v>
      </c>
      <c r="U1039">
        <v>951.92499999999927</v>
      </c>
      <c r="V1039">
        <v>906.60000000000036</v>
      </c>
      <c r="W1039">
        <v>-692.03238639092297</v>
      </c>
      <c r="X1039">
        <v>-410.08642567992706</v>
      </c>
      <c r="Y1039">
        <v>2417.1999999999989</v>
      </c>
    </row>
    <row r="1040" spans="1:25" x14ac:dyDescent="0.35">
      <c r="A1040">
        <v>996</v>
      </c>
      <c r="B1040">
        <v>906.59999999999945</v>
      </c>
      <c r="C1040">
        <v>971.35000000000036</v>
      </c>
      <c r="D1040">
        <v>906.59999999999945</v>
      </c>
      <c r="E1040">
        <v>-1139.4000000000005</v>
      </c>
      <c r="F1040">
        <v>-537.22500000000036</v>
      </c>
      <c r="G1040">
        <v>-2563.9000000000005</v>
      </c>
      <c r="J1040">
        <v>996</v>
      </c>
      <c r="K1040">
        <v>0</v>
      </c>
      <c r="L1040">
        <v>0</v>
      </c>
      <c r="M1040">
        <v>0</v>
      </c>
      <c r="N1040">
        <v>240</v>
      </c>
      <c r="O1040">
        <v>183</v>
      </c>
      <c r="P1040">
        <v>334</v>
      </c>
      <c r="S1040">
        <v>996</v>
      </c>
      <c r="T1040">
        <v>906.59999999999945</v>
      </c>
      <c r="U1040">
        <v>997.25</v>
      </c>
      <c r="V1040">
        <v>906.59999999999945</v>
      </c>
      <c r="W1040">
        <v>759.5884736305029</v>
      </c>
      <c r="X1040">
        <v>2229.3749999999991</v>
      </c>
      <c r="Y1040">
        <v>-2240.1500000000005</v>
      </c>
    </row>
    <row r="1041" spans="1:25" x14ac:dyDescent="0.35">
      <c r="A1041">
        <v>997</v>
      </c>
      <c r="B1041">
        <v>906.59999999999945</v>
      </c>
      <c r="C1041">
        <v>971.34999999999854</v>
      </c>
      <c r="D1041">
        <v>906.60000000000036</v>
      </c>
      <c r="E1041">
        <v>-1022.8500000000004</v>
      </c>
      <c r="F1041">
        <v>-271.75</v>
      </c>
      <c r="G1041">
        <v>-2304.9000000000005</v>
      </c>
      <c r="J1041">
        <v>997</v>
      </c>
      <c r="K1041">
        <v>0</v>
      </c>
      <c r="L1041">
        <v>0</v>
      </c>
      <c r="M1041">
        <v>0</v>
      </c>
      <c r="N1041">
        <v>221</v>
      </c>
      <c r="O1041">
        <v>201</v>
      </c>
      <c r="P1041">
        <v>336</v>
      </c>
      <c r="S1041">
        <v>997</v>
      </c>
      <c r="T1041">
        <v>906.59999999999945</v>
      </c>
      <c r="U1041">
        <v>958.39999999999964</v>
      </c>
      <c r="V1041">
        <v>906.59999999999945</v>
      </c>
      <c r="W1041">
        <v>2263.1999999999998</v>
      </c>
      <c r="X1041">
        <v>2246.8999999999992</v>
      </c>
      <c r="Y1041">
        <v>1118.1069336544588</v>
      </c>
    </row>
    <row r="1042" spans="1:25" x14ac:dyDescent="0.35">
      <c r="A1042">
        <v>998</v>
      </c>
      <c r="B1042">
        <v>906.59999999999945</v>
      </c>
      <c r="C1042">
        <v>958.39999999999873</v>
      </c>
      <c r="D1042">
        <v>906.59999999999945</v>
      </c>
      <c r="E1042">
        <v>-725</v>
      </c>
      <c r="F1042">
        <v>-634.35000000000036</v>
      </c>
      <c r="G1042">
        <v>-2538</v>
      </c>
      <c r="J1042">
        <v>998</v>
      </c>
      <c r="K1042">
        <v>0</v>
      </c>
      <c r="L1042">
        <v>0</v>
      </c>
      <c r="M1042">
        <v>0</v>
      </c>
      <c r="N1042">
        <v>218</v>
      </c>
      <c r="O1042">
        <v>169</v>
      </c>
      <c r="P1042">
        <v>316</v>
      </c>
      <c r="S1042">
        <v>998</v>
      </c>
      <c r="T1042">
        <v>906.59999999999945</v>
      </c>
      <c r="U1042">
        <v>958.39999999999964</v>
      </c>
      <c r="V1042">
        <v>906.59999999999945</v>
      </c>
      <c r="W1042">
        <v>1153.0108545418248</v>
      </c>
      <c r="X1042">
        <v>-484.8355958484035</v>
      </c>
      <c r="Y1042">
        <v>2453.1999999999998</v>
      </c>
    </row>
    <row r="1043" spans="1:25" x14ac:dyDescent="0.35">
      <c r="A1043">
        <v>999</v>
      </c>
      <c r="B1043">
        <v>906.59999999999945</v>
      </c>
      <c r="C1043">
        <v>971.34999999999854</v>
      </c>
      <c r="D1043">
        <v>906.60000000000036</v>
      </c>
      <c r="E1043">
        <v>-1139.4000000000005</v>
      </c>
      <c r="F1043">
        <v>-478.95000000000073</v>
      </c>
      <c r="G1043">
        <v>-2343.75</v>
      </c>
      <c r="J1043">
        <v>999</v>
      </c>
      <c r="K1043">
        <v>0</v>
      </c>
      <c r="L1043">
        <v>0</v>
      </c>
      <c r="M1043">
        <v>0</v>
      </c>
      <c r="N1043">
        <v>244</v>
      </c>
      <c r="O1043">
        <v>185</v>
      </c>
      <c r="P1043">
        <v>306</v>
      </c>
      <c r="S1043">
        <v>999</v>
      </c>
      <c r="T1043">
        <v>906.59999999999945</v>
      </c>
      <c r="U1043">
        <v>951.92499999999927</v>
      </c>
      <c r="V1043">
        <v>906.59999999999945</v>
      </c>
      <c r="W1043">
        <v>-522.3758479323144</v>
      </c>
      <c r="X1043">
        <v>2180.15</v>
      </c>
      <c r="Y1043">
        <v>2511.1999999999998</v>
      </c>
    </row>
    <row r="1044" spans="1:25" x14ac:dyDescent="0.35">
      <c r="A1044">
        <v>1000</v>
      </c>
      <c r="B1044">
        <v>906.59999999999945</v>
      </c>
      <c r="C1044">
        <v>1016.6749999999993</v>
      </c>
      <c r="D1044">
        <v>906.60000000000036</v>
      </c>
      <c r="E1044">
        <v>-1230.0500000000002</v>
      </c>
      <c r="F1044">
        <v>-472.47500000000036</v>
      </c>
      <c r="G1044">
        <v>-2304.9000000000005</v>
      </c>
      <c r="J1044">
        <v>1000</v>
      </c>
      <c r="K1044">
        <v>0</v>
      </c>
      <c r="L1044">
        <v>0</v>
      </c>
      <c r="M1044">
        <v>0</v>
      </c>
      <c r="N1044">
        <v>239</v>
      </c>
      <c r="O1044">
        <v>177</v>
      </c>
      <c r="P1044">
        <v>329</v>
      </c>
      <c r="S1044">
        <v>1000</v>
      </c>
      <c r="T1044">
        <v>906.59999999999945</v>
      </c>
      <c r="U1044">
        <v>977.82499999999891</v>
      </c>
      <c r="V1044">
        <v>906.59999999999945</v>
      </c>
      <c r="W1044">
        <v>2273.1999999999998</v>
      </c>
      <c r="X1044">
        <v>2172.0499999999993</v>
      </c>
      <c r="Y1044">
        <v>2443.1999999999998</v>
      </c>
    </row>
    <row r="1048570" spans="16384:16384" x14ac:dyDescent="0.35">
      <c r="XFD1048570" s="46" t="s">
        <v>68</v>
      </c>
    </row>
  </sheetData>
  <mergeCells count="5">
    <mergeCell ref="D6:D9"/>
    <mergeCell ref="A41:Y41"/>
    <mergeCell ref="B43:G43"/>
    <mergeCell ref="K43:P43"/>
    <mergeCell ref="T43:Y43"/>
  </mergeCells>
  <conditionalFormatting sqref="J18">
    <cfRule type="cellIs" dxfId="0" priority="1" operator="notEqual">
      <formula>1</formula>
    </cfRule>
  </conditionalFormatting>
  <dataValidations count="13">
    <dataValidation type="custom" allowBlank="1" showInputMessage="1" showErrorMessage="1" errorTitle="Invalid Probability " error="Probability must be ascending. The value must exceed the row above it, and it cannot be over 1. " promptTitle="Cumalitive Probability Logic" prompt="Please enter a decimal between 0 and 1. Each row should also be greater than the row above it to create a valid probability distribution. " sqref="J16:J18" xr:uid="{D39CB1D5-6B3E-4436-8F4C-6C92635D90E2}">
      <formula1>AND(J16&gt;J15, J16&lt;=1)</formula1>
    </dataValidation>
    <dataValidation type="list" allowBlank="1" showInputMessage="1" showErrorMessage="1" sqref="C33" xr:uid="{6631F1FD-9716-4861-AFA5-E5DADC60B1C9}">
      <formula1>$A$15:$A$20</formula1>
    </dataValidation>
    <dataValidation type="list" allowBlank="1" showInputMessage="1" showErrorMessage="1" prompt="Lock the model to a static value by choosing &quot;FROZEN&quot;  if you want to lock row 33 (crop yield) to understand what's happening step by step without numbers jumping around" sqref="B6" xr:uid="{5A4923B6-EAC2-4B15-AE23-5403159C1DFF}">
      <formula1>"FROZEN,LIVE"</formula1>
    </dataValidation>
    <dataValidation allowBlank="1" showInputMessage="1" showErrorMessage="1" prompt="The number of Springfield Beans customers who were surveyed about interest in this specialty coffee. Pool of potential pre-order customers." sqref="F22" xr:uid="{4FCEF086-3886-4D02-A8A3-40246E4EDC8A}"/>
    <dataValidation allowBlank="1" showInputMessage="1" showErrorMessage="1" prompt="Of customers who placed a free pre-order, only 70% actually show up to pick it up. " sqref="F20" xr:uid="{2BD9F843-9011-4C5A-8707-93CC77FCB05C}"/>
    <dataValidation allowBlank="1" showInputMessage="1" showErrorMessage="1" prompt="If customers already paid 100% upfront, virtually everyone picks up their order (they already own it)." sqref="H20" xr:uid="{C6986864-9A5C-49D0-B70F-A1D630B45417}"/>
    <dataValidation allowBlank="1" showInputMessage="1" showErrorMessage="1" prompt="Of customers who paid a 50% deposit, 98% show up." sqref="G20" xr:uid="{3758B8C2-291C-44EE-BFC6-C4635D14E212}"/>
    <dataValidation allowBlank="1" showInputMessage="1" showErrorMessage="1" prompt="If full payment is required upfront, only 50% will order." sqref="H16" xr:uid="{1F13AF19-4F21-42C5-ADDC-98C878303A9E}"/>
    <dataValidation allowBlank="1" showInputMessage="1" showErrorMessage="1" prompt="If a 50% deposit is required, only 70% will order. " sqref="G16" xr:uid="{DD24A2E7-E58B-4DE7-8039-01513996555A}"/>
    <dataValidation allowBlank="1" showInputMessage="1" showErrorMessage="1" prompt="If Springfield requires no deposit, 90% of interested customers will place a pre-order." sqref="F16" xr:uid="{83580C19-2D5F-41A3-9CBA-0BA981DA025A}"/>
    <dataValidation type="decimal" allowBlank="1" showInputMessage="1" showErrorMessage="1" prompt="Selling price per lb" sqref="F26:F27" xr:uid="{FC54C3A4-FF95-4F50-93A4-49160B87B59C}">
      <formula1>1</formula1>
      <formula2>100</formula2>
    </dataValidation>
    <dataValidation type="decimal" allowBlank="1" showInputMessage="1" showErrorMessage="1" prompt="Enter as decimal e.g. 0.13 = 13%" sqref="B28" xr:uid="{F0A64CA9-7139-495B-B190-D0F0D56D8821}">
      <formula1>0</formula1>
      <formula2>0.5</formula2>
    </dataValidation>
    <dataValidation type="decimal" allowBlank="1" showInputMessage="1" showErrorMessage="1" prompt="Cost per raw pound ($)" sqref="F25" xr:uid="{4FC3CF77-0B0B-44DC-A1EA-1C3609CAB0A8}">
      <formula1>1</formula1>
      <formula2>50</formula2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F5306-0C81-43D9-8C35-1288CA9B7043}">
  <sheetPr codeName="Sheet2"/>
  <dimension ref="A1:XFD1048576"/>
  <sheetViews>
    <sheetView zoomScale="77" zoomScaleNormal="100" workbookViewId="0"/>
  </sheetViews>
  <sheetFormatPr defaultRowHeight="14.5" x14ac:dyDescent="0.35"/>
  <cols>
    <col min="1" max="1" width="17.453125" bestFit="1" customWidth="1"/>
    <col min="2" max="2" width="10.1796875" bestFit="1" customWidth="1"/>
    <col min="3" max="3" width="17.453125" customWidth="1"/>
    <col min="4" max="4" width="10.453125" customWidth="1"/>
    <col min="5" max="5" width="12.453125" customWidth="1"/>
    <col min="6" max="6" width="12.54296875" customWidth="1"/>
    <col min="7" max="7" width="12.453125" customWidth="1"/>
    <col min="9" max="9" width="28.1796875" bestFit="1" customWidth="1"/>
    <col min="10" max="15" width="10.453125" customWidth="1"/>
    <col min="18" max="18" width="19.54296875" bestFit="1" customWidth="1"/>
    <col min="19" max="21" width="10" bestFit="1" customWidth="1"/>
    <col min="22" max="22" width="11.453125" bestFit="1" customWidth="1"/>
    <col min="23" max="23" width="10.54296875" bestFit="1" customWidth="1"/>
    <col min="24" max="24" width="11.453125" bestFit="1" customWidth="1"/>
    <col min="30" max="30" width="18.453125" bestFit="1" customWidth="1"/>
  </cols>
  <sheetData>
    <row r="1" spans="1:33" ht="14.65" customHeight="1" x14ac:dyDescent="0.35">
      <c r="A1" s="1"/>
      <c r="B1" s="1"/>
      <c r="C1" s="1"/>
      <c r="D1" s="1"/>
      <c r="E1" s="1"/>
      <c r="F1" s="1"/>
    </row>
    <row r="2" spans="1:33" ht="14.65" customHeight="1" x14ac:dyDescent="0.35">
      <c r="A2" s="1"/>
      <c r="B2" s="1"/>
      <c r="C2" s="1"/>
      <c r="D2" s="1"/>
      <c r="E2" s="1"/>
      <c r="F2" s="1"/>
    </row>
    <row r="4" spans="1:33" ht="20" thickBot="1" x14ac:dyDescent="0.5">
      <c r="A4" s="54" t="s">
        <v>75</v>
      </c>
      <c r="B4" s="54"/>
      <c r="C4" s="54"/>
      <c r="D4" s="54"/>
      <c r="E4" s="54"/>
      <c r="F4" s="54"/>
      <c r="G4" s="54"/>
      <c r="I4" s="54" t="s">
        <v>74</v>
      </c>
      <c r="J4" s="54"/>
      <c r="K4" s="54"/>
      <c r="L4" s="54"/>
      <c r="M4" s="54"/>
      <c r="N4" s="54"/>
      <c r="O4" s="54"/>
      <c r="P4" s="54"/>
      <c r="R4" s="54" t="s">
        <v>73</v>
      </c>
      <c r="S4" s="54"/>
      <c r="T4" s="54"/>
      <c r="U4" s="54"/>
      <c r="V4" s="54"/>
      <c r="W4" s="54"/>
      <c r="X4" s="54"/>
      <c r="Y4" s="54"/>
    </row>
    <row r="5" spans="1:33" ht="15" thickTop="1" x14ac:dyDescent="0.35">
      <c r="A5" s="13" t="s">
        <v>9</v>
      </c>
      <c r="B5" s="13">
        <v>1</v>
      </c>
      <c r="C5" s="13">
        <v>2</v>
      </c>
      <c r="D5" s="13">
        <v>3</v>
      </c>
      <c r="E5" s="13">
        <v>4</v>
      </c>
      <c r="F5" s="13">
        <v>5</v>
      </c>
      <c r="G5" s="13">
        <v>6</v>
      </c>
      <c r="I5" s="13" t="s">
        <v>9</v>
      </c>
      <c r="J5" s="13">
        <v>1</v>
      </c>
      <c r="K5" s="13">
        <v>2</v>
      </c>
      <c r="L5" s="13">
        <v>3</v>
      </c>
      <c r="M5" s="13">
        <v>4</v>
      </c>
      <c r="N5" s="13">
        <v>5</v>
      </c>
      <c r="O5" s="13">
        <v>6</v>
      </c>
      <c r="R5" s="13" t="s">
        <v>9</v>
      </c>
      <c r="S5" s="13">
        <v>1</v>
      </c>
      <c r="T5" s="13">
        <v>2</v>
      </c>
      <c r="U5" s="13">
        <v>3</v>
      </c>
      <c r="V5" s="13">
        <v>4</v>
      </c>
      <c r="W5" s="13">
        <v>5</v>
      </c>
      <c r="X5" s="13">
        <v>6</v>
      </c>
      <c r="AB5" s="13"/>
      <c r="AC5" s="13"/>
      <c r="AD5" s="13"/>
      <c r="AE5" s="13"/>
      <c r="AF5" s="13"/>
      <c r="AG5" s="13"/>
    </row>
    <row r="6" spans="1:33" x14ac:dyDescent="0.35">
      <c r="A6" t="s">
        <v>29</v>
      </c>
      <c r="B6" s="51">
        <f>AVERAGE('[1]Model and simulation'!B45:B1044)</f>
        <v>906.59999999998468</v>
      </c>
      <c r="C6" s="51">
        <f>AVERAGE('[1]Model and simulation'!C45:C1044)</f>
        <v>974.91772499999979</v>
      </c>
      <c r="D6" s="51">
        <f>AVERAGE('[1]Model and simulation'!D45:D1044)</f>
        <v>905.33089999998617</v>
      </c>
      <c r="E6" s="51">
        <f>AVERAGE('[1]Model and simulation'!E45:E1044)</f>
        <v>-1085.6834000000003</v>
      </c>
      <c r="F6" s="51">
        <f>AVERAGE('[1]Model and simulation'!F45:F1044)</f>
        <v>-462.45170000000013</v>
      </c>
      <c r="G6" s="51">
        <f>AVERAGE('[1]Model and simulation'!G45:G1044)</f>
        <v>-2345.6147999999985</v>
      </c>
      <c r="I6" t="s">
        <v>29</v>
      </c>
      <c r="J6" s="52">
        <f>AVERAGE('[1]Model and simulation'!K45:K1044)</f>
        <v>0</v>
      </c>
      <c r="K6" s="52">
        <f>AVERAGE('[1]Model and simulation'!L45:L1044)</f>
        <v>0</v>
      </c>
      <c r="L6" s="52">
        <f>AVERAGE('[1]Model and simulation'!M45:M1044)</f>
        <v>0.157</v>
      </c>
      <c r="M6" s="52">
        <f>AVERAGE('[1]Model and simulation'!N45:N1044)</f>
        <v>223.46700000000001</v>
      </c>
      <c r="N6" s="52">
        <f>AVERAGE('[1]Model and simulation'!O45:O1044)</f>
        <v>182.21199999999999</v>
      </c>
      <c r="O6" s="52">
        <f>AVERAGE('[1]Model and simulation'!P45:P1044)</f>
        <v>321.68400000000003</v>
      </c>
      <c r="R6" t="s">
        <v>29</v>
      </c>
      <c r="S6" s="51">
        <f>AVERAGE('[1]Model and simulation'!T45:T1044)</f>
        <v>906.59999999998468</v>
      </c>
      <c r="T6" s="51">
        <f>AVERAGE('[1]Model and simulation'!U45:U1044)</f>
        <v>973.79754999999909</v>
      </c>
      <c r="U6" s="51">
        <f>AVERAGE('[1]Model and simulation'!V45:V1044)</f>
        <v>907.14499999998554</v>
      </c>
      <c r="V6" s="51">
        <f>AVERAGE('[1]Model and simulation'!W45:W1044)</f>
        <v>1607.5711757437059</v>
      </c>
      <c r="W6" s="51">
        <f>AVERAGE('[1]Model and simulation'!X45:X1044)</f>
        <v>1877.1835470156871</v>
      </c>
      <c r="X6" s="51">
        <f>AVERAGE('[1]Model and simulation'!Y45:Y1044)</f>
        <v>1218.3388757237219</v>
      </c>
      <c r="AB6" s="53"/>
      <c r="AC6" s="53"/>
      <c r="AD6" s="53"/>
      <c r="AE6" s="53"/>
      <c r="AF6" s="53"/>
      <c r="AG6" s="53"/>
    </row>
    <row r="7" spans="1:33" x14ac:dyDescent="0.35">
      <c r="A7" t="s">
        <v>72</v>
      </c>
      <c r="B7" s="51">
        <f>_xlfn.STDEV.S('[1]Model and simulation'!B45:B1044)</f>
        <v>1.4786684095117903E-11</v>
      </c>
      <c r="C7" s="51">
        <f>_xlfn.STDEV.S('[1]Model and simulation'!C45:C1044)</f>
        <v>21.851362566104903</v>
      </c>
      <c r="D7" s="51">
        <f>_xlfn.STDEV.S('[1]Model and simulation'!D45:D1044)</f>
        <v>16.52342878729716</v>
      </c>
      <c r="E7" s="51">
        <f>_xlfn.STDEV.S('[1]Model and simulation'!E45:E1044)</f>
        <v>166.19184141404423</v>
      </c>
      <c r="F7" s="51">
        <f>_xlfn.STDEV.S('[1]Model and simulation'!F45:F1044)</f>
        <v>164.61151522768972</v>
      </c>
      <c r="G7" s="51">
        <f>_xlfn.STDEV.S('[1]Model and simulation'!G45:G1044)</f>
        <v>186.45057175205085</v>
      </c>
      <c r="I7" t="s">
        <v>72</v>
      </c>
      <c r="J7" s="52">
        <f>_xlfn.STDEV.S('[1]Model and simulation'!K45:K1044)</f>
        <v>0</v>
      </c>
      <c r="K7" s="52">
        <f>_xlfn.STDEV.S('[1]Model and simulation'!L45:L1044)</f>
        <v>0</v>
      </c>
      <c r="L7" s="52">
        <f>_xlfn.STDEV.S('[1]Model and simulation'!M45:M1044)</f>
        <v>1.2884141457664189</v>
      </c>
      <c r="M7" s="52">
        <f>_xlfn.STDEV.S('[1]Model and simulation'!N45:N1044)</f>
        <v>12.792597920733753</v>
      </c>
      <c r="N7" s="52">
        <f>_xlfn.STDEV.S('[1]Model and simulation'!O45:O1044)</f>
        <v>12.675635200167582</v>
      </c>
      <c r="O7" s="52">
        <f>_xlfn.STDEV.S('[1]Model and simulation'!P45:P1044)</f>
        <v>14.013226413446493</v>
      </c>
      <c r="R7" t="s">
        <v>72</v>
      </c>
      <c r="S7" s="51">
        <f>_xlfn.STDEV.S('[1]Model and simulation'!T45:T1044)</f>
        <v>1.4786684095117903E-11</v>
      </c>
      <c r="T7" s="51">
        <f>_xlfn.STDEV.S('[1]Model and simulation'!U45:U1044)</f>
        <v>20.824408815138099</v>
      </c>
      <c r="U7" s="51">
        <f>_xlfn.STDEV.S('[1]Model and simulation'!V45:V1044)</f>
        <v>6.5965190869173336</v>
      </c>
      <c r="V7" s="51">
        <f>_xlfn.STDEV.S('[1]Model and simulation'!W45:W1044)</f>
        <v>1119.969123122218</v>
      </c>
      <c r="W7" s="51">
        <f>_xlfn.STDEV.S('[1]Model and simulation'!X45:X1044)</f>
        <v>788.09516169694837</v>
      </c>
      <c r="X7" s="51">
        <f>_xlfn.STDEV.S('[1]Model and simulation'!Y45:Y1044)</f>
        <v>1617.3238685705992</v>
      </c>
    </row>
    <row r="8" spans="1:33" x14ac:dyDescent="0.35">
      <c r="J8" s="48"/>
      <c r="K8" s="48"/>
      <c r="L8" s="48"/>
      <c r="M8" s="48"/>
      <c r="N8" s="48"/>
      <c r="O8" s="48"/>
      <c r="S8" s="48"/>
      <c r="T8" s="48"/>
      <c r="U8" s="48"/>
      <c r="V8" s="48"/>
      <c r="W8" s="48"/>
      <c r="X8" s="48"/>
    </row>
    <row r="9" spans="1:33" x14ac:dyDescent="0.35">
      <c r="A9" s="13" t="s">
        <v>71</v>
      </c>
      <c r="I9" s="13" t="s">
        <v>71</v>
      </c>
      <c r="J9" s="48"/>
      <c r="K9" s="48"/>
      <c r="L9" s="48"/>
      <c r="M9" s="48"/>
      <c r="N9" s="48"/>
      <c r="O9" s="48"/>
      <c r="R9" s="13" t="s">
        <v>71</v>
      </c>
      <c r="S9" s="48"/>
      <c r="T9" s="48"/>
      <c r="U9" s="48"/>
      <c r="V9" s="48"/>
      <c r="W9" s="48"/>
      <c r="X9" s="48"/>
    </row>
    <row r="10" spans="1:33" x14ac:dyDescent="0.35">
      <c r="A10">
        <v>0.05</v>
      </c>
      <c r="B10" s="51">
        <f>_xlfn.PERCENTILE.INC('[1]Model and simulation'!B45:B1044,'Simulation results'!$A$10)</f>
        <v>906.59999999999945</v>
      </c>
      <c r="C10" s="51">
        <f>_xlfn.PERCENTILE.INC('[1]Model and simulation'!C45:C1044,'Simulation results'!$A$10)</f>
        <v>938.97500000000036</v>
      </c>
      <c r="D10" s="51">
        <f>_xlfn.PERCENTILE.INC('[1]Model and simulation'!D45:D1044,'Simulation results'!$A$10)</f>
        <v>906.59999999999945</v>
      </c>
      <c r="E10" s="51">
        <f>_xlfn.PERCENTILE.INC('[1]Model and simulation'!E45:E1044,'Simulation results'!$A$10)</f>
        <v>-1359.5500000000002</v>
      </c>
      <c r="F10" s="51">
        <f>_xlfn.PERCENTILE.INC('[1]Model and simulation'!F45:F1044,'Simulation results'!$A$10)</f>
        <v>-731.47500000000036</v>
      </c>
      <c r="G10" s="51">
        <f>_xlfn.PERCENTILE.INC('[1]Model and simulation'!G45:G1044,'Simulation results'!$A$10)</f>
        <v>-2667.5</v>
      </c>
      <c r="I10">
        <v>0.05</v>
      </c>
      <c r="J10" s="52">
        <f>_xlfn.PERCENTILE.INC('[1]Model and simulation'!K45:K1044,'Simulation results'!$I$10)</f>
        <v>0</v>
      </c>
      <c r="K10" s="52">
        <f>_xlfn.PERCENTILE.INC('[1]Model and simulation'!L45:L1044,'Simulation results'!$I$10)</f>
        <v>0</v>
      </c>
      <c r="L10" s="52">
        <f>_xlfn.PERCENTILE.INC('[1]Model and simulation'!M45:M1044,'Simulation results'!$I$10)</f>
        <v>0</v>
      </c>
      <c r="M10" s="52">
        <f>_xlfn.PERCENTILE.INC('[1]Model and simulation'!N45:N1044,'Simulation results'!$I$10)</f>
        <v>202</v>
      </c>
      <c r="N10" s="52">
        <f>_xlfn.PERCENTILE.INC('[1]Model and simulation'!O45:O1044,'Simulation results'!$I$10)</f>
        <v>161</v>
      </c>
      <c r="O10" s="52">
        <f>_xlfn.PERCENTILE.INC('[1]Model and simulation'!P45:P1044,'Simulation results'!$I$10)</f>
        <v>298</v>
      </c>
      <c r="R10">
        <v>0.05</v>
      </c>
      <c r="S10" s="51">
        <f>_xlfn.PERCENTILE.INC('[1]Model and simulation'!T$45:T$1044,'Simulation results'!$I$10)</f>
        <v>906.59999999999945</v>
      </c>
      <c r="T10" s="51">
        <f>_xlfn.PERCENTILE.INC('[1]Model and simulation'!U45:U1044,'Simulation results'!$I$10)</f>
        <v>938.97499999999945</v>
      </c>
      <c r="U10" s="51">
        <f>_xlfn.PERCENTILE.INC('[1]Model and simulation'!V45:V1044,'Simulation results'!$I$10)</f>
        <v>906.59999999999945</v>
      </c>
      <c r="V10" s="51">
        <f>_xlfn.PERCENTILE.INC('[1]Model and simulation'!W45:W1044,'Simulation results'!$I$10)</f>
        <v>-1048.75</v>
      </c>
      <c r="W10" s="51">
        <f>_xlfn.PERCENTILE.INC('[1]Model and simulation'!X45:X1044,'Simulation results'!$I$10)</f>
        <v>-336.53061819795289</v>
      </c>
      <c r="X10" s="51">
        <f>_xlfn.PERCENTILE.INC('[1]Model and simulation'!Y45:Y1044,'Simulation results'!$I$10)</f>
        <v>-2279</v>
      </c>
    </row>
    <row r="11" spans="1:33" x14ac:dyDescent="0.35">
      <c r="A11">
        <v>0.25</v>
      </c>
      <c r="B11" s="51">
        <f>_xlfn.PERCENTILE.INC('[1]Model and simulation'!B45:B1044,'Simulation results'!$A$11)</f>
        <v>906.59999999999945</v>
      </c>
      <c r="C11" s="51">
        <f>_xlfn.PERCENTILE.INC('[1]Model and simulation'!C45:C1044,'Simulation results'!$A$11)</f>
        <v>958.39999999999964</v>
      </c>
      <c r="D11" s="51">
        <f>_xlfn.PERCENTILE.INC('[1]Model and simulation'!D45:D1044,'Simulation results'!$A$11)</f>
        <v>906.59999999999945</v>
      </c>
      <c r="E11" s="51">
        <f>_xlfn.PERCENTILE.INC('[1]Model and simulation'!E45:E1044,'Simulation results'!$A$11)</f>
        <v>-1191.2000000000007</v>
      </c>
      <c r="F11" s="51">
        <f>_xlfn.PERCENTILE.INC('[1]Model and simulation'!F45:F1044,'Simulation results'!$A$11)</f>
        <v>-563.125</v>
      </c>
      <c r="G11" s="51">
        <f>_xlfn.PERCENTILE.INC('[1]Model and simulation'!G45:G1044,'Simulation results'!$A$11)</f>
        <v>-2460.3000000000002</v>
      </c>
      <c r="I11">
        <v>0.25</v>
      </c>
      <c r="J11" s="52">
        <f>_xlfn.PERCENTILE.INC('[1]Model and simulation'!K45:K1044,'Simulation results'!$I$11)</f>
        <v>0</v>
      </c>
      <c r="K11" s="52">
        <f>_xlfn.PERCENTILE.INC('[1]Model and simulation'!L45:L1044,'Simulation results'!$I$11)</f>
        <v>0</v>
      </c>
      <c r="L11" s="52">
        <f>_xlfn.PERCENTILE.INC('[1]Model and simulation'!M45:M1044,'Simulation results'!$I$11)</f>
        <v>0</v>
      </c>
      <c r="M11" s="52">
        <f>_xlfn.PERCENTILE.INC('[1]Model and simulation'!N45:N1044,'Simulation results'!$I$11)</f>
        <v>214</v>
      </c>
      <c r="N11" s="52">
        <f>_xlfn.PERCENTILE.INC('[1]Model and simulation'!O45:O1044,'Simulation results'!$I$11)</f>
        <v>174</v>
      </c>
      <c r="O11" s="52">
        <f>_xlfn.PERCENTILE.INC('[1]Model and simulation'!P45:P1044,'Simulation results'!$I$11)</f>
        <v>312</v>
      </c>
      <c r="R11">
        <v>0.25</v>
      </c>
      <c r="S11" s="51">
        <f>_xlfn.PERCENTILE.INC('[1]Model and simulation'!T$45:T$1044,'Simulation results'!$I$11)</f>
        <v>906.59999999999945</v>
      </c>
      <c r="T11" s="51">
        <f>_xlfn.PERCENTILE.INC('[1]Model and simulation'!U$45:U$1044,'Simulation results'!$I$11)</f>
        <v>958.39999999999964</v>
      </c>
      <c r="U11" s="51">
        <f>_xlfn.PERCENTILE.INC('[1]Model and simulation'!V$45:V$1044,'Simulation results'!$I$11)</f>
        <v>906.59999999999945</v>
      </c>
      <c r="V11" s="51">
        <f>_xlfn.PERCENTILE.INC('[1]Model and simulation'!W$45:W$1044,'Simulation results'!$I$11)</f>
        <v>1322.1008716465353</v>
      </c>
      <c r="W11" s="51">
        <f>_xlfn.PERCENTILE.INC('[1]Model and simulation'!X$45:X$1044,'Simulation results'!$I$11)</f>
        <v>2164.8812499999999</v>
      </c>
      <c r="X11" s="51">
        <f>_xlfn.PERCENTILE.INC('[1]Model and simulation'!Y$45:Y$1044,'Simulation results'!$I$11)</f>
        <v>209.31384797343094</v>
      </c>
    </row>
    <row r="12" spans="1:33" x14ac:dyDescent="0.35">
      <c r="A12">
        <v>0.5</v>
      </c>
      <c r="B12" s="51">
        <f>_xlfn.PERCENTILE.INC('[1]Model and simulation'!B45:B1044,'Simulation results'!$A$12)</f>
        <v>906.59999999999945</v>
      </c>
      <c r="C12" s="51">
        <f>_xlfn.PERCENTILE.INC('[1]Model and simulation'!C45:C1044,'Simulation results'!$A$12)</f>
        <v>971.35000000000036</v>
      </c>
      <c r="D12" s="51">
        <f>_xlfn.PERCENTILE.INC('[1]Model and simulation'!D45:D1044,'Simulation results'!$A$12)</f>
        <v>906.59999999999945</v>
      </c>
      <c r="E12" s="51">
        <f>_xlfn.PERCENTILE.INC('[1]Model and simulation'!E45:E1044,'Simulation results'!$A$12)</f>
        <v>-1087.6000000000004</v>
      </c>
      <c r="F12" s="51">
        <f>_xlfn.PERCENTILE.INC('[1]Model and simulation'!F45:F1044,'Simulation results'!$A$12)</f>
        <v>-466</v>
      </c>
      <c r="G12" s="51">
        <f>_xlfn.PERCENTILE.INC('[1]Model and simulation'!G45:G1044,'Simulation results'!$A$12)</f>
        <v>-2343.75</v>
      </c>
      <c r="I12">
        <v>0.5</v>
      </c>
      <c r="J12" s="52">
        <f>_xlfn.PERCENTILE.INC('[1]Model and simulation'!K45:K1044,'Simulation results'!$I$12)</f>
        <v>0</v>
      </c>
      <c r="K12" s="52">
        <f>_xlfn.PERCENTILE.INC('[1]Model and simulation'!L45:L1044,'Simulation results'!$I$12)</f>
        <v>0</v>
      </c>
      <c r="L12" s="52">
        <f>_xlfn.PERCENTILE.INC('[1]Model and simulation'!M45:M1044,'Simulation results'!$I$12)</f>
        <v>0</v>
      </c>
      <c r="M12" s="52">
        <f>_xlfn.PERCENTILE.INC('[1]Model and simulation'!N45:N1044,'Simulation results'!$I$12)</f>
        <v>223</v>
      </c>
      <c r="N12" s="52">
        <f>_xlfn.PERCENTILE.INC('[1]Model and simulation'!O45:O1044,'Simulation results'!$I$12)</f>
        <v>182</v>
      </c>
      <c r="O12" s="52">
        <f>_xlfn.PERCENTILE.INC('[1]Model and simulation'!P45:P1044,'Simulation results'!$I$12)</f>
        <v>322</v>
      </c>
      <c r="R12">
        <v>0.5</v>
      </c>
      <c r="S12" s="51">
        <f>_xlfn.PERCENTILE.INC('[1]Model and simulation'!T$45:T$1044,'Simulation results'!$I$12)</f>
        <v>906.59999999999945</v>
      </c>
      <c r="T12" s="51">
        <f>_xlfn.PERCENTILE.INC('[1]Model and simulation'!U$45:U$1044,'Simulation results'!$I$12)</f>
        <v>971.34999999999945</v>
      </c>
      <c r="U12" s="51">
        <f>_xlfn.PERCENTILE.INC('[1]Model and simulation'!V$45:V$1044,'Simulation results'!$I$12)</f>
        <v>906.59999999999945</v>
      </c>
      <c r="V12" s="51">
        <f>_xlfn.PERCENTILE.INC('[1]Model and simulation'!W$45:W$1044,'Simulation results'!$I$12)</f>
        <v>2241.1999999999994</v>
      </c>
      <c r="W12" s="51">
        <f>_xlfn.PERCENTILE.INC('[1]Model and simulation'!X$45:X$1044,'Simulation results'!$I$12)</f>
        <v>2225</v>
      </c>
      <c r="X12" s="51">
        <f>_xlfn.PERCENTILE.INC('[1]Model and simulation'!Y$45:Y$1044,'Simulation results'!$I$12)</f>
        <v>2351.4053587233675</v>
      </c>
    </row>
    <row r="13" spans="1:33" x14ac:dyDescent="0.35">
      <c r="A13">
        <v>0.75</v>
      </c>
      <c r="B13" s="51">
        <f>_xlfn.PERCENTILE.INC('[1]Model and simulation'!B45:B1044,'Simulation results'!$A$13)</f>
        <v>906.59999999999945</v>
      </c>
      <c r="C13" s="51">
        <f>_xlfn.PERCENTILE.INC('[1]Model and simulation'!C45:C1044,'Simulation results'!$A$13)</f>
        <v>990.77499999999873</v>
      </c>
      <c r="D13" s="51">
        <f>_xlfn.PERCENTILE.INC('[1]Model and simulation'!D45:D1044,'Simulation results'!$A$13)</f>
        <v>906.60000000000036</v>
      </c>
      <c r="E13" s="51">
        <f>_xlfn.PERCENTILE.INC('[1]Model and simulation'!E45:E1044,'Simulation results'!$A$13)</f>
        <v>-984</v>
      </c>
      <c r="F13" s="51">
        <f>_xlfn.PERCENTILE.INC('[1]Model and simulation'!F45:F1044,'Simulation results'!$A$13)</f>
        <v>-354.30625000000032</v>
      </c>
      <c r="G13" s="51">
        <f>_xlfn.PERCENTILE.INC('[1]Model and simulation'!G45:G1044,'Simulation results'!$A$13)</f>
        <v>-2227.2000000000007</v>
      </c>
      <c r="I13">
        <v>0.75</v>
      </c>
      <c r="J13" s="52">
        <f>_xlfn.PERCENTILE.INC('[1]Model and simulation'!K45:K1044,'Simulation results'!$I$13)</f>
        <v>0</v>
      </c>
      <c r="K13" s="52">
        <f>_xlfn.PERCENTILE.INC('[1]Model and simulation'!L45:L1044,'Simulation results'!$I$13)</f>
        <v>0</v>
      </c>
      <c r="L13" s="52">
        <f>_xlfn.PERCENTILE.INC('[1]Model and simulation'!M45:M1044,'Simulation results'!$I$13)</f>
        <v>0</v>
      </c>
      <c r="M13" s="52">
        <f>_xlfn.PERCENTILE.INC('[1]Model and simulation'!N45:N1044,'Simulation results'!$I$13)</f>
        <v>232.25</v>
      </c>
      <c r="N13" s="52">
        <f>_xlfn.PERCENTILE.INC('[1]Model and simulation'!O45:O1044,'Simulation results'!$I$13)</f>
        <v>191</v>
      </c>
      <c r="O13" s="52">
        <f>_xlfn.PERCENTILE.INC('[1]Model and simulation'!P45:P1044,'Simulation results'!$I$13)</f>
        <v>331</v>
      </c>
      <c r="R13">
        <v>0.75</v>
      </c>
      <c r="S13" s="51">
        <f>_xlfn.PERCENTILE.INC('[1]Model and simulation'!T$45:T$1044,'Simulation results'!$I$13)</f>
        <v>906.59999999999945</v>
      </c>
      <c r="T13" s="51">
        <f>_xlfn.PERCENTILE.INC('[1]Model and simulation'!U$45:U$1044,'Simulation results'!$I$13)</f>
        <v>990.77499999999873</v>
      </c>
      <c r="U13" s="51">
        <f>_xlfn.PERCENTILE.INC('[1]Model and simulation'!V$45:V$1044,'Simulation results'!$I$13)</f>
        <v>906.60000000000036</v>
      </c>
      <c r="V13" s="51">
        <f>_xlfn.PERCENTILE.INC('[1]Model and simulation'!W$45:W$1044,'Simulation results'!$I$13)</f>
        <v>2267.1999999999989</v>
      </c>
      <c r="W13" s="51">
        <f>_xlfn.PERCENTILE.INC('[1]Model and simulation'!X$45:X$1044,'Simulation results'!$I$13)</f>
        <v>2256.8999999999992</v>
      </c>
      <c r="X13" s="51">
        <f>_xlfn.PERCENTILE.INC('[1]Model and simulation'!Y$45:Y$1044,'Simulation results'!$I$13)</f>
        <v>2452.1499999999987</v>
      </c>
    </row>
    <row r="14" spans="1:33" x14ac:dyDescent="0.35">
      <c r="A14">
        <v>0.95</v>
      </c>
      <c r="B14" s="51">
        <f>_xlfn.PERCENTILE.INC('[1]Model and simulation'!B45:B1044,'Simulation results'!$A$14)</f>
        <v>906.59999999999945</v>
      </c>
      <c r="C14" s="51">
        <f>_xlfn.PERCENTILE.INC('[1]Model and simulation'!C45:C1044,'Simulation results'!$A$14)</f>
        <v>1016.6749999999993</v>
      </c>
      <c r="D14" s="51">
        <f>_xlfn.PERCENTILE.INC('[1]Model and simulation'!D45:D1044,'Simulation results'!$A$14)</f>
        <v>906.60000000000036</v>
      </c>
      <c r="E14" s="51">
        <f>_xlfn.PERCENTILE.INC('[1]Model and simulation'!E45:E1044,'Simulation results'!$A$14)</f>
        <v>-815.65000000000055</v>
      </c>
      <c r="F14" s="51">
        <f>_xlfn.PERCENTILE.INC('[1]Model and simulation'!F45:F1044,'Simulation results'!$A$14)</f>
        <v>-181.10000000000036</v>
      </c>
      <c r="G14" s="51">
        <f>_xlfn.PERCENTILE.INC('[1]Model and simulation'!G45:G1044,'Simulation results'!$A$14)</f>
        <v>-2058.8500000000004</v>
      </c>
      <c r="I14">
        <v>0.95</v>
      </c>
      <c r="J14" s="52">
        <f>_xlfn.PERCENTILE.INC('[1]Model and simulation'!K45:K1044,'Simulation results'!$I$14)</f>
        <v>0</v>
      </c>
      <c r="K14" s="52">
        <f>_xlfn.PERCENTILE.INC('[1]Model and simulation'!L45:L1044,'Simulation results'!$I$14)</f>
        <v>0</v>
      </c>
      <c r="L14" s="52">
        <f>_xlfn.PERCENTILE.INC('[1]Model and simulation'!M45:M1044,'Simulation results'!$I$14)</f>
        <v>0</v>
      </c>
      <c r="M14" s="52">
        <f>_xlfn.PERCENTILE.INC('[1]Model and simulation'!N45:N1044,'Simulation results'!$I$14)</f>
        <v>244</v>
      </c>
      <c r="N14" s="52">
        <f>_xlfn.PERCENTILE.INC('[1]Model and simulation'!O45:O1044,'Simulation results'!$I$14)</f>
        <v>203</v>
      </c>
      <c r="O14" s="52">
        <f>_xlfn.PERCENTILE.INC('[1]Model and simulation'!P45:P1044,'Simulation results'!$I$14)</f>
        <v>344</v>
      </c>
      <c r="R14">
        <v>0.95</v>
      </c>
      <c r="S14" s="51">
        <f>_xlfn.PERCENTILE.INC('[1]Model and simulation'!T$45:T$1044,'Simulation results'!$I$14)</f>
        <v>906.59999999999945</v>
      </c>
      <c r="T14" s="51">
        <f>_xlfn.PERCENTILE.INC('[1]Model and simulation'!U$45:U$1044,'Simulation results'!$I$14)</f>
        <v>1010.1999999999989</v>
      </c>
      <c r="U14" s="51">
        <f>_xlfn.PERCENTILE.INC('[1]Model and simulation'!V$45:V$1044,'Simulation results'!$I$14)</f>
        <v>918.59999999999968</v>
      </c>
      <c r="V14" s="51">
        <f>_xlfn.PERCENTILE.INC('[1]Model and simulation'!W$45:W$1044,'Simulation results'!$I$14)</f>
        <v>2297.1999999999989</v>
      </c>
      <c r="W14" s="51">
        <f>_xlfn.PERCENTILE.INC('[1]Model and simulation'!X$45:X$1044,'Simulation results'!$I$14)</f>
        <v>2299.7787499999999</v>
      </c>
      <c r="X14" s="51">
        <f>_xlfn.PERCENTILE.INC('[1]Model and simulation'!Y$45:Y$1044,'Simulation results'!$I$14)</f>
        <v>2487.1999999999998</v>
      </c>
    </row>
    <row r="15" spans="1:33" x14ac:dyDescent="0.35">
      <c r="A15" s="13" t="s">
        <v>69</v>
      </c>
      <c r="B15" s="50">
        <f>COUNTIF('[1]Model and simulation'!B45:B1044,"&gt;0")/1000</f>
        <v>1</v>
      </c>
      <c r="C15" s="50">
        <f>COUNTIF('[1]Model and simulation'!C45:C1044,"&gt;0")/1000</f>
        <v>1</v>
      </c>
      <c r="D15" s="50">
        <f>COUNTIF('[1]Model and simulation'!D45:D1044,"&gt;0")/1000</f>
        <v>1</v>
      </c>
      <c r="E15" s="50">
        <f>COUNTIF('[1]Model and simulation'!E45:E1044,"&gt;0")/1000</f>
        <v>0</v>
      </c>
      <c r="F15" s="50">
        <f>COUNTIF('[1]Model and simulation'!F45:F1044,"&gt;0")/1000</f>
        <v>4.0000000000000001E-3</v>
      </c>
      <c r="G15" s="50">
        <f>COUNTIF('[1]Model and simulation'!G45:G1044,"&gt;0")/1000</f>
        <v>0</v>
      </c>
      <c r="I15" s="13" t="s">
        <v>70</v>
      </c>
      <c r="J15" s="50">
        <f>COUNTIF('[1]Model and simulation'!K45:K1044,"&gt;0")/1000</f>
        <v>0</v>
      </c>
      <c r="K15" s="50">
        <f>COUNTIF('[1]Model and simulation'!L45:L1044,"&gt;0")/1000</f>
        <v>0</v>
      </c>
      <c r="L15" s="50">
        <f>COUNTIF('[1]Model and simulation'!M45:M1044,"&gt;0")/1000</f>
        <v>2.3E-2</v>
      </c>
      <c r="M15" s="50">
        <f>COUNTIF('[1]Model and simulation'!N45:N1044,"&gt;0")/1000</f>
        <v>1</v>
      </c>
      <c r="N15" s="50">
        <f>COUNTIF('[1]Model and simulation'!O45:O1044,"&gt;0")/1000</f>
        <v>1</v>
      </c>
      <c r="O15" s="50">
        <f>COUNTIF('[1]Model and simulation'!P45:P1044,"&gt;0")/1000</f>
        <v>1</v>
      </c>
      <c r="R15" s="13" t="s">
        <v>69</v>
      </c>
      <c r="S15" s="49">
        <f>COUNTIF('[1]Model and simulation'!T45:T1044,"&gt;0")/1000</f>
        <v>1</v>
      </c>
      <c r="T15" s="49">
        <f>COUNTIF('[1]Model and simulation'!U45:U1044,"&gt;0")/1000</f>
        <v>1</v>
      </c>
      <c r="U15" s="49">
        <f>COUNTIF('[1]Model and simulation'!V45:V1044,"&gt;0")/1000</f>
        <v>1</v>
      </c>
      <c r="V15" s="49">
        <f>COUNTIF('[1]Model and simulation'!W45:W1044,"&gt;0")/1000</f>
        <v>0.86</v>
      </c>
      <c r="W15" s="49">
        <f>COUNTIF('[1]Model and simulation'!X45:X1044,"&gt;0")/1000</f>
        <v>0.92700000000000005</v>
      </c>
      <c r="X15" s="49">
        <f>COUNTIF('[1]Model and simulation'!Y45:Y1044,"&gt;0")/1000</f>
        <v>0.77200000000000002</v>
      </c>
    </row>
    <row r="19" spans="2:32" x14ac:dyDescent="0.35">
      <c r="B19" s="47"/>
      <c r="C19" s="47"/>
      <c r="D19" s="47"/>
      <c r="E19" s="47"/>
      <c r="F19" s="47"/>
      <c r="G19" s="47"/>
      <c r="J19" s="47"/>
      <c r="K19" s="47"/>
      <c r="L19" s="47"/>
      <c r="M19" s="47"/>
      <c r="N19" s="47"/>
      <c r="O19" s="47"/>
      <c r="R19" s="47"/>
      <c r="S19" s="47"/>
      <c r="T19" s="47"/>
      <c r="U19" s="47"/>
      <c r="V19" s="47"/>
      <c r="W19" s="47"/>
    </row>
    <row r="20" spans="2:32" x14ac:dyDescent="0.35">
      <c r="B20" s="47"/>
      <c r="C20" s="47"/>
      <c r="D20" s="47"/>
      <c r="E20" s="47"/>
      <c r="F20" s="47"/>
      <c r="G20" s="47"/>
      <c r="J20" s="47"/>
      <c r="K20" s="47"/>
      <c r="L20" s="47"/>
      <c r="M20" s="47"/>
      <c r="N20" s="47"/>
      <c r="O20" s="47"/>
      <c r="R20" s="47"/>
      <c r="S20" s="47"/>
      <c r="T20" s="47"/>
      <c r="U20" s="47"/>
      <c r="V20" s="47"/>
      <c r="W20" s="47"/>
    </row>
    <row r="21" spans="2:32" x14ac:dyDescent="0.35">
      <c r="B21" s="47"/>
      <c r="C21" s="47"/>
      <c r="D21" s="47"/>
      <c r="E21" s="47"/>
      <c r="F21" s="47"/>
      <c r="G21" s="47"/>
      <c r="J21" s="47"/>
      <c r="K21" s="47"/>
      <c r="L21" s="47"/>
      <c r="M21" s="47"/>
      <c r="N21" s="47"/>
      <c r="O21" s="47"/>
      <c r="R21" s="47"/>
      <c r="S21" s="47"/>
      <c r="T21" s="47"/>
      <c r="U21" s="47"/>
      <c r="V21" s="47"/>
      <c r="W21" s="47"/>
    </row>
    <row r="22" spans="2:32" x14ac:dyDescent="0.35">
      <c r="B22" s="47"/>
      <c r="C22" s="47"/>
      <c r="D22" s="47"/>
      <c r="E22" s="47"/>
      <c r="F22" s="47"/>
      <c r="G22" s="47"/>
      <c r="J22" s="47"/>
      <c r="K22" s="47"/>
      <c r="L22" s="47"/>
      <c r="M22" s="47"/>
      <c r="N22" s="47"/>
      <c r="O22" s="47"/>
      <c r="R22" s="47"/>
      <c r="S22" s="47"/>
      <c r="T22" s="47"/>
      <c r="U22" s="47"/>
      <c r="V22" s="47"/>
      <c r="W22" s="47"/>
      <c r="AA22" s="48"/>
      <c r="AB22" s="48"/>
      <c r="AE22" s="48"/>
      <c r="AF22" s="48"/>
    </row>
    <row r="23" spans="2:32" x14ac:dyDescent="0.35">
      <c r="B23" s="47"/>
      <c r="C23" s="47"/>
      <c r="D23" s="47"/>
      <c r="E23" s="47"/>
      <c r="F23" s="47"/>
      <c r="G23" s="47"/>
      <c r="J23" s="47"/>
      <c r="K23" s="47"/>
      <c r="L23" s="47"/>
      <c r="M23" s="47"/>
      <c r="N23" s="47"/>
      <c r="O23" s="47"/>
      <c r="R23" s="47"/>
      <c r="S23" s="47"/>
      <c r="T23" s="47"/>
      <c r="U23" s="47"/>
      <c r="V23" s="47"/>
      <c r="W23" s="47"/>
      <c r="AA23" s="48"/>
      <c r="AB23" s="48"/>
    </row>
    <row r="24" spans="2:32" x14ac:dyDescent="0.35">
      <c r="B24" s="47"/>
      <c r="C24" s="47"/>
      <c r="D24" s="47"/>
      <c r="E24" s="47"/>
      <c r="F24" s="47"/>
      <c r="G24" s="47"/>
      <c r="J24" s="47"/>
      <c r="K24" s="47"/>
      <c r="L24" s="47"/>
      <c r="M24" s="47"/>
      <c r="N24" s="47"/>
      <c r="O24" s="47"/>
      <c r="R24" s="47"/>
      <c r="S24" s="47"/>
      <c r="T24" s="47"/>
      <c r="U24" s="47"/>
      <c r="V24" s="47"/>
      <c r="W24" s="47"/>
    </row>
    <row r="25" spans="2:32" x14ac:dyDescent="0.35">
      <c r="B25" s="47"/>
      <c r="C25" s="47"/>
      <c r="D25" s="47"/>
      <c r="E25" s="47"/>
      <c r="F25" s="47"/>
      <c r="G25" s="47"/>
      <c r="J25" s="47"/>
      <c r="K25" s="47"/>
      <c r="L25" s="47"/>
      <c r="M25" s="47"/>
      <c r="N25" s="47"/>
      <c r="O25" s="47"/>
      <c r="R25" s="47"/>
      <c r="S25" s="47"/>
      <c r="T25" s="47"/>
      <c r="U25" s="47"/>
      <c r="V25" s="47"/>
      <c r="W25" s="47"/>
    </row>
    <row r="26" spans="2:32" x14ac:dyDescent="0.35">
      <c r="B26" s="47"/>
      <c r="C26" s="47"/>
      <c r="D26" s="47"/>
      <c r="E26" s="47"/>
      <c r="F26" s="47"/>
      <c r="G26" s="47"/>
      <c r="J26" s="47"/>
      <c r="K26" s="47"/>
      <c r="L26" s="47"/>
      <c r="M26" s="47"/>
      <c r="N26" s="47"/>
      <c r="O26" s="47"/>
      <c r="R26" s="47"/>
      <c r="S26" s="47"/>
      <c r="T26" s="47"/>
      <c r="U26" s="47"/>
      <c r="V26" s="47"/>
      <c r="W26" s="47"/>
    </row>
    <row r="27" spans="2:32" x14ac:dyDescent="0.35">
      <c r="B27" s="47"/>
      <c r="C27" s="47"/>
      <c r="D27" s="47"/>
      <c r="E27" s="47"/>
      <c r="F27" s="47"/>
      <c r="G27" s="47"/>
      <c r="J27" s="47"/>
      <c r="K27" s="47"/>
      <c r="L27" s="47"/>
      <c r="M27" s="47"/>
      <c r="N27" s="47"/>
      <c r="O27" s="47"/>
      <c r="R27" s="47"/>
      <c r="S27" s="47"/>
      <c r="T27" s="47"/>
      <c r="U27" s="47"/>
      <c r="V27" s="47"/>
      <c r="W27" s="47"/>
    </row>
    <row r="28" spans="2:32" x14ac:dyDescent="0.35">
      <c r="B28" s="47"/>
      <c r="C28" s="47"/>
      <c r="D28" s="47"/>
      <c r="E28" s="47"/>
      <c r="F28" s="47"/>
      <c r="G28" s="47"/>
      <c r="J28" s="47"/>
      <c r="K28" s="47"/>
      <c r="L28" s="47"/>
      <c r="M28" s="47"/>
      <c r="N28" s="47"/>
      <c r="O28" s="47"/>
      <c r="R28" s="47"/>
      <c r="S28" s="47"/>
      <c r="T28" s="47"/>
      <c r="U28" s="47"/>
      <c r="V28" s="47"/>
      <c r="W28" s="47"/>
    </row>
    <row r="29" spans="2:32" x14ac:dyDescent="0.35">
      <c r="B29" s="47"/>
      <c r="C29" s="47"/>
      <c r="D29" s="47"/>
      <c r="E29" s="47"/>
      <c r="F29" s="47"/>
      <c r="G29" s="47"/>
      <c r="J29" s="47"/>
      <c r="K29" s="47"/>
      <c r="L29" s="47"/>
      <c r="M29" s="47"/>
      <c r="N29" s="47"/>
      <c r="O29" s="47"/>
      <c r="R29" s="47"/>
      <c r="S29" s="47"/>
      <c r="T29" s="47"/>
      <c r="U29" s="47"/>
      <c r="V29" s="47"/>
      <c r="W29" s="47"/>
    </row>
    <row r="30" spans="2:32" x14ac:dyDescent="0.35">
      <c r="B30" s="47"/>
      <c r="C30" s="47"/>
      <c r="D30" s="47"/>
      <c r="E30" s="47"/>
      <c r="F30" s="47"/>
      <c r="G30" s="47"/>
      <c r="J30" s="47"/>
      <c r="K30" s="47"/>
      <c r="L30" s="47"/>
      <c r="M30" s="47"/>
      <c r="N30" s="47"/>
      <c r="O30" s="47"/>
      <c r="R30" s="47"/>
      <c r="S30" s="47"/>
      <c r="T30" s="47"/>
      <c r="U30" s="47"/>
      <c r="V30" s="47"/>
      <c r="W30" s="47"/>
    </row>
    <row r="31" spans="2:32" x14ac:dyDescent="0.35">
      <c r="B31" s="47"/>
      <c r="C31" s="47"/>
      <c r="D31" s="47"/>
      <c r="E31" s="47"/>
      <c r="F31" s="47"/>
      <c r="G31" s="47"/>
      <c r="J31" s="47"/>
      <c r="K31" s="47"/>
      <c r="L31" s="47"/>
      <c r="M31" s="47"/>
      <c r="N31" s="47"/>
      <c r="O31" s="47"/>
      <c r="R31" s="47"/>
      <c r="S31" s="47"/>
      <c r="T31" s="47"/>
      <c r="U31" s="47"/>
      <c r="V31" s="47"/>
      <c r="W31" s="47"/>
    </row>
    <row r="1048576" spans="16384:16384" x14ac:dyDescent="0.35">
      <c r="XFD1048576" s="46" t="s">
        <v>68</v>
      </c>
    </row>
  </sheetData>
  <conditionalFormatting sqref="B7:G7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6:G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:G1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:G1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:G1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G1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:G1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:O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:O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0:O1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1:O1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:O12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:O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4:O1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:X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7:X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0:X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1:X1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2:X1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:X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4:X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allowBlank="1" showInputMessage="1" showErrorMessage="1" prompt="Reveals chance of having leftover beans as a %" sqref="I15" xr:uid="{9B4BACEA-3844-4688-8208-A214D97947E3}"/>
    <dataValidation allowBlank="1" showInputMessage="1" showErrorMessage="1" prompt="Reveals chance of profit as a %" sqref="A15 R15" xr:uid="{D5C0E019-6DC9-43A4-A1EF-E84D3B69E5A0}"/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9591E-682F-4C46-A817-A4B753F37679}">
  <dimension ref="A1:AJ51"/>
  <sheetViews>
    <sheetView tabSelected="1" zoomScale="70" zoomScaleNormal="115" workbookViewId="0"/>
  </sheetViews>
  <sheetFormatPr defaultColWidth="8.7265625" defaultRowHeight="14.5" x14ac:dyDescent="0.35"/>
  <cols>
    <col min="1" max="1" width="11.54296875" style="55" customWidth="1"/>
    <col min="2" max="3" width="10.81640625" style="55" bestFit="1" customWidth="1"/>
    <col min="4" max="4" width="11.7265625" style="55" bestFit="1" customWidth="1"/>
    <col min="5" max="6" width="12.54296875" style="55" bestFit="1" customWidth="1"/>
    <col min="7" max="7" width="13.1796875" style="55" bestFit="1" customWidth="1"/>
    <col min="8" max="9" width="8.7265625" style="55"/>
    <col min="10" max="10" width="15.54296875" style="55" bestFit="1" customWidth="1"/>
    <col min="11" max="12" width="10" style="55" bestFit="1" customWidth="1"/>
    <col min="13" max="13" width="8.7265625" style="55"/>
    <col min="14" max="14" width="14.54296875" style="55" customWidth="1"/>
    <col min="15" max="15" width="17" style="55" bestFit="1" customWidth="1"/>
    <col min="16" max="16" width="13.453125" style="55" bestFit="1" customWidth="1"/>
    <col min="17" max="17" width="13.81640625" style="55" bestFit="1" customWidth="1"/>
    <col min="18" max="19" width="8.7265625" style="55"/>
    <col min="20" max="20" width="23" style="55" customWidth="1"/>
    <col min="21" max="23" width="8.7265625" style="55"/>
    <col min="24" max="24" width="11" style="55" bestFit="1" customWidth="1"/>
    <col min="25" max="25" width="10.26953125" style="55" bestFit="1" customWidth="1"/>
    <col min="26" max="26" width="11" style="55" bestFit="1" customWidth="1"/>
    <col min="27" max="27" width="8.7265625" style="55"/>
    <col min="28" max="28" width="16.26953125" style="55" bestFit="1" customWidth="1"/>
    <col min="29" max="16384" width="8.7265625" style="55"/>
  </cols>
  <sheetData>
    <row r="1" spans="1:36" ht="18.649999999999999" customHeight="1" thickTop="1" thickBot="1" x14ac:dyDescent="0.4">
      <c r="A1" s="1"/>
      <c r="B1" s="1"/>
      <c r="C1" s="1"/>
      <c r="D1" s="1"/>
      <c r="E1" s="1"/>
      <c r="F1" s="1"/>
      <c r="J1" s="71" t="s">
        <v>87</v>
      </c>
      <c r="K1" s="70"/>
      <c r="L1" s="70"/>
      <c r="M1" s="70"/>
      <c r="N1" s="70"/>
      <c r="O1" s="70"/>
      <c r="P1" s="69"/>
    </row>
    <row r="2" spans="1:36" ht="11.15" customHeight="1" thickTop="1" x14ac:dyDescent="0.35">
      <c r="A2" s="1"/>
      <c r="B2" s="1"/>
      <c r="C2" s="1"/>
      <c r="D2" s="1"/>
      <c r="E2" s="1"/>
      <c r="F2" s="1"/>
      <c r="I2" s="68"/>
      <c r="J2" s="68"/>
      <c r="K2" s="68"/>
      <c r="L2" s="68"/>
      <c r="M2" s="68"/>
      <c r="N2" s="68"/>
      <c r="O2" s="68"/>
    </row>
    <row r="3" spans="1:36" ht="15" thickBot="1" x14ac:dyDescent="0.4">
      <c r="I3" s="68"/>
      <c r="J3" s="68"/>
      <c r="K3" s="68"/>
      <c r="L3" s="68"/>
      <c r="M3" s="68"/>
      <c r="N3" s="68"/>
      <c r="O3" s="68"/>
      <c r="T3" s="61" t="s">
        <v>86</v>
      </c>
      <c r="U3" s="61"/>
      <c r="V3" s="60"/>
      <c r="W3" s="60"/>
      <c r="X3" s="60"/>
    </row>
    <row r="4" spans="1:36" ht="15" thickTop="1" x14ac:dyDescent="0.35">
      <c r="I4" s="68"/>
      <c r="J4" s="68"/>
      <c r="K4" s="68"/>
      <c r="L4" s="68"/>
      <c r="M4" s="68"/>
      <c r="N4" s="68"/>
      <c r="O4" s="68"/>
    </row>
    <row r="5" spans="1:36" x14ac:dyDescent="0.35">
      <c r="AB5" s="63" t="s">
        <v>9</v>
      </c>
      <c r="AC5" s="63">
        <v>1</v>
      </c>
      <c r="AD5" s="63">
        <v>2</v>
      </c>
      <c r="AE5" s="63">
        <v>3</v>
      </c>
      <c r="AF5" s="63">
        <v>4</v>
      </c>
      <c r="AG5" s="63">
        <v>5</v>
      </c>
      <c r="AH5" s="63">
        <v>6</v>
      </c>
    </row>
    <row r="6" spans="1:36" x14ac:dyDescent="0.35">
      <c r="AB6" s="55" t="s">
        <v>29</v>
      </c>
      <c r="AC6" s="65">
        <f>'Simulation results'!J6</f>
        <v>0</v>
      </c>
      <c r="AD6" s="65">
        <f>'Simulation results'!K6</f>
        <v>0</v>
      </c>
      <c r="AE6" s="65">
        <f>'Simulation results'!L6</f>
        <v>0.157</v>
      </c>
      <c r="AF6" s="66">
        <f>'Simulation results'!M6</f>
        <v>223.46700000000001</v>
      </c>
      <c r="AG6" s="66">
        <f>'Simulation results'!N6</f>
        <v>182.21199999999999</v>
      </c>
      <c r="AH6" s="65">
        <f>'Simulation results'!O6</f>
        <v>321.68400000000003</v>
      </c>
    </row>
    <row r="7" spans="1:36" x14ac:dyDescent="0.35">
      <c r="AB7" s="55" t="s">
        <v>72</v>
      </c>
      <c r="AC7" s="65">
        <f>'Simulation results'!J7</f>
        <v>0</v>
      </c>
      <c r="AD7" s="65">
        <f>'Simulation results'!K7</f>
        <v>0</v>
      </c>
      <c r="AE7" s="65">
        <f>'Simulation results'!L7</f>
        <v>1.2884141457664189</v>
      </c>
      <c r="AF7" s="66">
        <f>'Simulation results'!M7</f>
        <v>12.792597920733753</v>
      </c>
      <c r="AG7" s="66">
        <f>'Simulation results'!N7</f>
        <v>12.675635200167582</v>
      </c>
      <c r="AH7" s="65">
        <f>'Simulation results'!O7</f>
        <v>14.013226413446493</v>
      </c>
    </row>
    <row r="9" spans="1:36" x14ac:dyDescent="0.35">
      <c r="AB9" s="63" t="s">
        <v>71</v>
      </c>
    </row>
    <row r="10" spans="1:36" x14ac:dyDescent="0.35">
      <c r="AB10" s="55">
        <v>0.05</v>
      </c>
      <c r="AC10" s="66">
        <f>'Simulation results'!J10</f>
        <v>0</v>
      </c>
      <c r="AD10" s="66">
        <f>'Simulation results'!K10</f>
        <v>0</v>
      </c>
      <c r="AE10" s="66">
        <f>'Simulation results'!L10</f>
        <v>0</v>
      </c>
      <c r="AF10" s="66">
        <f>'Simulation results'!M10</f>
        <v>202</v>
      </c>
      <c r="AG10" s="66">
        <f>'Simulation results'!N10</f>
        <v>161</v>
      </c>
      <c r="AH10" s="65">
        <f>'Simulation results'!O10</f>
        <v>298</v>
      </c>
    </row>
    <row r="11" spans="1:36" x14ac:dyDescent="0.35">
      <c r="AB11" s="55">
        <v>0.25</v>
      </c>
      <c r="AC11" s="66">
        <f>'Simulation results'!J11</f>
        <v>0</v>
      </c>
      <c r="AD11" s="66">
        <f>'Simulation results'!K11</f>
        <v>0</v>
      </c>
      <c r="AE11" s="66">
        <f>'Simulation results'!L11</f>
        <v>0</v>
      </c>
      <c r="AF11" s="66">
        <f>'Simulation results'!M11</f>
        <v>214</v>
      </c>
      <c r="AG11" s="66">
        <f>'Simulation results'!N11</f>
        <v>174</v>
      </c>
      <c r="AH11" s="65">
        <f>'Simulation results'!O11</f>
        <v>312</v>
      </c>
    </row>
    <row r="12" spans="1:36" x14ac:dyDescent="0.35">
      <c r="AB12" s="55">
        <v>0.5</v>
      </c>
      <c r="AC12" s="66">
        <f>'Simulation results'!J12</f>
        <v>0</v>
      </c>
      <c r="AD12" s="66">
        <f>'Simulation results'!K12</f>
        <v>0</v>
      </c>
      <c r="AE12" s="66">
        <f>'Simulation results'!L12</f>
        <v>0</v>
      </c>
      <c r="AF12" s="66">
        <f>'Simulation results'!M12</f>
        <v>223</v>
      </c>
      <c r="AG12" s="66">
        <f>'Simulation results'!N12</f>
        <v>182</v>
      </c>
      <c r="AH12" s="65">
        <f>'Simulation results'!O12</f>
        <v>322</v>
      </c>
      <c r="AJ12" s="64"/>
    </row>
    <row r="13" spans="1:36" x14ac:dyDescent="0.35">
      <c r="L13" s="67"/>
      <c r="AB13" s="55">
        <v>0.75</v>
      </c>
      <c r="AC13" s="66">
        <f>'Simulation results'!J13</f>
        <v>0</v>
      </c>
      <c r="AD13" s="66">
        <f>'Simulation results'!K13</f>
        <v>0</v>
      </c>
      <c r="AE13" s="66">
        <f>'Simulation results'!L13</f>
        <v>0</v>
      </c>
      <c r="AF13" s="66">
        <f>'Simulation results'!M13</f>
        <v>232.25</v>
      </c>
      <c r="AG13" s="66">
        <f>'Simulation results'!N13</f>
        <v>191</v>
      </c>
      <c r="AH13" s="65">
        <f>'Simulation results'!O13</f>
        <v>331</v>
      </c>
    </row>
    <row r="14" spans="1:36" x14ac:dyDescent="0.35">
      <c r="AB14" s="55">
        <v>0.95</v>
      </c>
      <c r="AC14" s="66">
        <f>'Simulation results'!J14</f>
        <v>0</v>
      </c>
      <c r="AD14" s="66">
        <f>'Simulation results'!K14</f>
        <v>0</v>
      </c>
      <c r="AE14" s="66">
        <f>'Simulation results'!L14</f>
        <v>0</v>
      </c>
      <c r="AF14" s="66">
        <f>'Simulation results'!M14</f>
        <v>244</v>
      </c>
      <c r="AG14" s="66">
        <f>'Simulation results'!N14</f>
        <v>203</v>
      </c>
      <c r="AH14" s="65">
        <f>'Simulation results'!O14</f>
        <v>344</v>
      </c>
    </row>
    <row r="16" spans="1:36" x14ac:dyDescent="0.35">
      <c r="AH16" s="64"/>
    </row>
    <row r="18" spans="1:26" ht="15" thickBot="1" x14ac:dyDescent="0.4">
      <c r="A18" s="61" t="s">
        <v>85</v>
      </c>
      <c r="B18" s="61"/>
      <c r="C18" s="60"/>
      <c r="D18" s="60"/>
      <c r="E18" s="60"/>
    </row>
    <row r="19" spans="1:26" ht="15" thickTop="1" x14ac:dyDescent="0.35"/>
    <row r="29" spans="1:26" ht="15" thickBot="1" x14ac:dyDescent="0.4">
      <c r="T29" s="61" t="s">
        <v>84</v>
      </c>
      <c r="U29" s="61"/>
      <c r="V29" s="60"/>
      <c r="W29" s="60"/>
      <c r="X29" s="60"/>
    </row>
    <row r="30" spans="1:26" ht="15" thickTop="1" x14ac:dyDescent="0.35"/>
    <row r="31" spans="1:26" x14ac:dyDescent="0.35">
      <c r="T31" s="63" t="s">
        <v>83</v>
      </c>
    </row>
    <row r="32" spans="1:26" x14ac:dyDescent="0.35">
      <c r="T32" s="59" t="s">
        <v>9</v>
      </c>
      <c r="U32" s="59">
        <v>1</v>
      </c>
      <c r="V32" s="59">
        <v>2</v>
      </c>
      <c r="W32" s="59">
        <v>3</v>
      </c>
      <c r="X32" s="59">
        <v>4</v>
      </c>
      <c r="Y32" s="59">
        <v>5</v>
      </c>
      <c r="Z32" s="59">
        <v>6</v>
      </c>
    </row>
    <row r="33" spans="1:26" x14ac:dyDescent="0.35">
      <c r="A33" s="63" t="s">
        <v>82</v>
      </c>
      <c r="T33" s="59" t="s">
        <v>81</v>
      </c>
      <c r="U33" s="57">
        <f>'Simulation results'!B6</f>
        <v>906.59999999998468</v>
      </c>
      <c r="V33" s="57">
        <f>'Simulation results'!C6</f>
        <v>974.91772499999979</v>
      </c>
      <c r="W33" s="57">
        <f>'Simulation results'!D6</f>
        <v>905.33089999998617</v>
      </c>
      <c r="X33" s="57">
        <f>'Simulation results'!E6</f>
        <v>-1085.6834000000003</v>
      </c>
      <c r="Y33" s="57">
        <f>'Simulation results'!F6</f>
        <v>-462.45170000000013</v>
      </c>
      <c r="Z33" s="57">
        <f>'Simulation results'!G6</f>
        <v>-2345.6147999999985</v>
      </c>
    </row>
    <row r="34" spans="1:26" x14ac:dyDescent="0.35">
      <c r="A34" s="63" t="s">
        <v>9</v>
      </c>
      <c r="B34" s="63">
        <v>1</v>
      </c>
      <c r="C34" s="63">
        <v>2</v>
      </c>
      <c r="D34" s="63">
        <v>3</v>
      </c>
      <c r="E34" s="63">
        <v>4</v>
      </c>
      <c r="F34" s="63">
        <v>5</v>
      </c>
      <c r="G34" s="63">
        <v>6</v>
      </c>
      <c r="T34" s="59" t="s">
        <v>80</v>
      </c>
      <c r="U34" s="57">
        <f>'Simulation results'!S6-'Simulation results'!B6</f>
        <v>0</v>
      </c>
      <c r="V34" s="57">
        <f>'Simulation results'!T6-'Simulation results'!C6</f>
        <v>-1.1201750000006996</v>
      </c>
      <c r="W34" s="57">
        <f>'Simulation results'!U6-'Simulation results'!D6</f>
        <v>1.814099999999371</v>
      </c>
      <c r="X34" s="57">
        <f>'Simulation results'!V6-'Simulation results'!E6</f>
        <v>2693.2545757437065</v>
      </c>
      <c r="Y34" s="57">
        <f>'Simulation results'!W6-'Simulation results'!F6</f>
        <v>2339.6352470156871</v>
      </c>
      <c r="Z34" s="57">
        <f>'Simulation results'!X6-'Simulation results'!G6</f>
        <v>3563.9536757237202</v>
      </c>
    </row>
    <row r="35" spans="1:26" x14ac:dyDescent="0.35">
      <c r="A35" s="55" t="s">
        <v>29</v>
      </c>
      <c r="B35" s="62">
        <f>AVERAGE('[1]Model and simulation'!T45:T1044)</f>
        <v>906.59999999998468</v>
      </c>
      <c r="C35" s="62">
        <f>AVERAGE('[1]Model and simulation'!U45:U1044)</f>
        <v>973.79754999999909</v>
      </c>
      <c r="D35" s="62">
        <f>AVERAGE('[1]Model and simulation'!V45:V1044)</f>
        <v>907.14499999998554</v>
      </c>
      <c r="E35" s="62">
        <f>AVERAGE('[1]Model and simulation'!W45:W1044)</f>
        <v>1607.5711757437059</v>
      </c>
      <c r="F35" s="62">
        <f>AVERAGE('[1]Model and simulation'!X45:X1044)</f>
        <v>1877.1835470156871</v>
      </c>
      <c r="G35" s="62">
        <f>AVERAGE('[1]Model and simulation'!Y45:Y1044)</f>
        <v>1218.3388757237219</v>
      </c>
    </row>
    <row r="36" spans="1:26" x14ac:dyDescent="0.35">
      <c r="A36" s="55" t="s">
        <v>72</v>
      </c>
      <c r="B36" s="62">
        <f>_xlfn.STDEV.S('[1]Model and simulation'!T45:T1044)</f>
        <v>1.4786684095117903E-11</v>
      </c>
      <c r="C36" s="62">
        <f>_xlfn.STDEV.S('[1]Model and simulation'!U45:U1044)</f>
        <v>20.824408815138099</v>
      </c>
      <c r="D36" s="62">
        <f>_xlfn.STDEV.S('[1]Model and simulation'!V45:V1044)</f>
        <v>6.5965190869173336</v>
      </c>
      <c r="E36" s="62">
        <f>_xlfn.STDEV.S('[1]Model and simulation'!W45:W1044)</f>
        <v>1119.969123122218</v>
      </c>
      <c r="F36" s="62">
        <f>_xlfn.STDEV.S('[1]Model and simulation'!X45:X1044)</f>
        <v>788.09516169694837</v>
      </c>
      <c r="G36" s="62">
        <f>_xlfn.STDEV.S('[1]Model and simulation'!Y45:Y1044)</f>
        <v>1617.3238685705992</v>
      </c>
    </row>
    <row r="38" spans="1:26" x14ac:dyDescent="0.35">
      <c r="A38" s="63" t="s">
        <v>71</v>
      </c>
    </row>
    <row r="39" spans="1:26" x14ac:dyDescent="0.35">
      <c r="A39" s="55">
        <v>0.05</v>
      </c>
      <c r="B39" s="62">
        <f>_xlfn.PERCENTILE.INC('[1]Model and simulation'!T45:T1044,Analysis!$A39)</f>
        <v>906.59999999999945</v>
      </c>
      <c r="C39" s="62">
        <f>_xlfn.PERCENTILE.INC('[1]Model and simulation'!U45:U1044,Analysis!$A39)</f>
        <v>938.97499999999945</v>
      </c>
      <c r="D39" s="62">
        <f>_xlfn.PERCENTILE.INC('[1]Model and simulation'!V45:V1044,Analysis!$A39)</f>
        <v>906.59999999999945</v>
      </c>
      <c r="E39" s="62">
        <f>_xlfn.PERCENTILE.INC('[1]Model and simulation'!W45:W1044,Analysis!$A39)</f>
        <v>-1048.75</v>
      </c>
      <c r="F39" s="62">
        <f>_xlfn.PERCENTILE.INC('[1]Model and simulation'!X45:X1044,Analysis!$A39)</f>
        <v>-336.53061819795289</v>
      </c>
      <c r="G39" s="62">
        <f>_xlfn.PERCENTILE.INC('[1]Model and simulation'!Y45:Y1044,Analysis!$A39)</f>
        <v>-2279</v>
      </c>
    </row>
    <row r="40" spans="1:26" x14ac:dyDescent="0.35">
      <c r="A40" s="55">
        <v>0.25</v>
      </c>
      <c r="B40" s="62">
        <f>_xlfn.PERCENTILE.INC('[1]Model and simulation'!T45:T1044,Analysis!$A40)</f>
        <v>906.59999999999945</v>
      </c>
      <c r="C40" s="62">
        <f>_xlfn.PERCENTILE.INC('[1]Model and simulation'!U45:U1044,Analysis!$A40)</f>
        <v>958.39999999999964</v>
      </c>
      <c r="D40" s="62">
        <f>_xlfn.PERCENTILE.INC('[1]Model and simulation'!V45:V1044,Analysis!$A40)</f>
        <v>906.59999999999945</v>
      </c>
      <c r="E40" s="62">
        <f>_xlfn.PERCENTILE.INC('[1]Model and simulation'!W45:W1044,Analysis!$A40)</f>
        <v>1322.1008716465353</v>
      </c>
      <c r="F40" s="62">
        <f>_xlfn.PERCENTILE.INC('[1]Model and simulation'!X45:X1044,Analysis!$A40)</f>
        <v>2164.8812499999999</v>
      </c>
      <c r="G40" s="62">
        <f>_xlfn.PERCENTILE.INC('[1]Model and simulation'!Y45:Y1044,Analysis!$A40)</f>
        <v>209.31384797343094</v>
      </c>
    </row>
    <row r="41" spans="1:26" x14ac:dyDescent="0.35">
      <c r="A41" s="63" t="s">
        <v>79</v>
      </c>
      <c r="B41" s="62">
        <f>_xlfn.PERCENTILE.INC('[1]Model and simulation'!T45:T1044,0.5)</f>
        <v>906.59999999999945</v>
      </c>
      <c r="C41" s="62">
        <f>_xlfn.PERCENTILE.INC('[1]Model and simulation'!U45:U1044,0.5)</f>
        <v>971.34999999999945</v>
      </c>
      <c r="D41" s="62">
        <f>_xlfn.PERCENTILE.INC('[1]Model and simulation'!V45:V1044,0.5)</f>
        <v>906.59999999999945</v>
      </c>
      <c r="E41" s="62">
        <f>_xlfn.PERCENTILE.INC('[1]Model and simulation'!W45:W1044,0.5)</f>
        <v>2241.1999999999994</v>
      </c>
      <c r="F41" s="62">
        <f>_xlfn.PERCENTILE.INC('[1]Model and simulation'!X45:X1044,0.5)</f>
        <v>2225</v>
      </c>
      <c r="G41" s="62">
        <f>_xlfn.PERCENTILE.INC('[1]Model and simulation'!Y45:Y1044,0.5)</f>
        <v>2351.4053587233675</v>
      </c>
    </row>
    <row r="42" spans="1:26" x14ac:dyDescent="0.35">
      <c r="A42" s="55">
        <v>0.75</v>
      </c>
      <c r="B42" s="62">
        <f>_xlfn.PERCENTILE.INC('[1]Model and simulation'!T45:T1044,Analysis!$A42)</f>
        <v>906.59999999999945</v>
      </c>
      <c r="C42" s="62">
        <f>_xlfn.PERCENTILE.INC('[1]Model and simulation'!U45:U1044,Analysis!$A42)</f>
        <v>990.77499999999873</v>
      </c>
      <c r="D42" s="62">
        <f>_xlfn.PERCENTILE.INC('[1]Model and simulation'!V45:V1044,Analysis!$A42)</f>
        <v>906.60000000000036</v>
      </c>
      <c r="E42" s="62">
        <f>_xlfn.PERCENTILE.INC('[1]Model and simulation'!W45:W1044,Analysis!$A42)</f>
        <v>2267.1999999999989</v>
      </c>
      <c r="F42" s="62">
        <f>_xlfn.PERCENTILE.INC('[1]Model and simulation'!X45:X1044,Analysis!$A42)</f>
        <v>2256.8999999999992</v>
      </c>
      <c r="G42" s="62">
        <f>_xlfn.PERCENTILE.INC('[1]Model and simulation'!Y45:Y1044,Analysis!$A42)</f>
        <v>2452.1499999999987</v>
      </c>
    </row>
    <row r="43" spans="1:26" x14ac:dyDescent="0.35">
      <c r="A43" s="55">
        <v>0.95</v>
      </c>
      <c r="B43" s="62">
        <f>_xlfn.PERCENTILE.INC('[1]Model and simulation'!T45:T1044,Analysis!$A43)</f>
        <v>906.59999999999945</v>
      </c>
      <c r="C43" s="62">
        <f>_xlfn.PERCENTILE.INC('[1]Model and simulation'!U45:U1044,Analysis!$A43)</f>
        <v>1010.1999999999989</v>
      </c>
      <c r="D43" s="62">
        <f>_xlfn.PERCENTILE.INC('[1]Model and simulation'!V45:V1044,Analysis!$A43)</f>
        <v>918.59999999999968</v>
      </c>
      <c r="E43" s="62">
        <f>_xlfn.PERCENTILE.INC('[1]Model and simulation'!W45:W1044,Analysis!$A43)</f>
        <v>2297.1999999999989</v>
      </c>
      <c r="F43" s="62">
        <f>_xlfn.PERCENTILE.INC('[1]Model and simulation'!X45:X1044,Analysis!$A43)</f>
        <v>2299.7787499999999</v>
      </c>
      <c r="G43" s="62">
        <f>_xlfn.PERCENTILE.INC('[1]Model and simulation'!Y45:Y1044,Analysis!$A43)</f>
        <v>2487.1999999999998</v>
      </c>
    </row>
    <row r="48" spans="1:26" ht="15" thickBot="1" x14ac:dyDescent="0.4">
      <c r="A48" s="61" t="s">
        <v>78</v>
      </c>
      <c r="B48" s="61"/>
      <c r="C48" s="60"/>
      <c r="D48" s="60"/>
      <c r="E48" s="60"/>
    </row>
    <row r="49" spans="10:17" ht="15" thickTop="1" x14ac:dyDescent="0.35">
      <c r="J49" s="59"/>
      <c r="K49" s="58" t="s">
        <v>77</v>
      </c>
      <c r="L49" s="58" t="s">
        <v>76</v>
      </c>
      <c r="O49" s="59"/>
      <c r="P49" s="58" t="s">
        <v>77</v>
      </c>
      <c r="Q49" s="58" t="s">
        <v>76</v>
      </c>
    </row>
    <row r="50" spans="10:17" x14ac:dyDescent="0.35">
      <c r="J50" s="58" t="s">
        <v>29</v>
      </c>
      <c r="K50" s="57">
        <f>B35</f>
        <v>906.59999999998468</v>
      </c>
      <c r="L50" s="57">
        <f>D35</f>
        <v>907.14499999998554</v>
      </c>
      <c r="O50" s="58" t="s">
        <v>72</v>
      </c>
      <c r="P50" s="57">
        <f>B36</f>
        <v>1.4786684095117903E-11</v>
      </c>
      <c r="Q50" s="57">
        <f>D36</f>
        <v>6.5965190869173336</v>
      </c>
    </row>
    <row r="51" spans="10:17" x14ac:dyDescent="0.35">
      <c r="K51" s="56"/>
      <c r="L51" s="56"/>
    </row>
  </sheetData>
  <mergeCells count="1">
    <mergeCell ref="J1:P1"/>
  </mergeCells>
  <conditionalFormatting sqref="AF10:AH14">
    <cfRule type="colorScale" priority="23">
      <colorScale>
        <cfvo type="min"/>
        <cfvo type="max"/>
        <color rgb="FFFCFCFF"/>
        <color rgb="FF63BE7B"/>
      </colorScale>
    </cfRule>
  </conditionalFormatting>
  <conditionalFormatting sqref="AF6:AH7">
    <cfRule type="colorScale" priority="22">
      <colorScale>
        <cfvo type="min"/>
        <cfvo type="max"/>
        <color rgb="FFFCFCFF"/>
        <color rgb="FF63BE7B"/>
      </colorScale>
    </cfRule>
  </conditionalFormatting>
  <conditionalFormatting sqref="AF7:AH7">
    <cfRule type="colorScale" priority="21">
      <colorScale>
        <cfvo type="min"/>
        <cfvo type="max"/>
        <color rgb="FFFCFCFF"/>
        <color rgb="FF63BE7B"/>
      </colorScale>
    </cfRule>
  </conditionalFormatting>
  <conditionalFormatting sqref="AF10:AH10">
    <cfRule type="colorScale" priority="20">
      <colorScale>
        <cfvo type="min"/>
        <cfvo type="max"/>
        <color rgb="FFFCFCFF"/>
        <color rgb="FF63BE7B"/>
      </colorScale>
    </cfRule>
  </conditionalFormatting>
  <conditionalFormatting sqref="AF11:AH11">
    <cfRule type="colorScale" priority="19">
      <colorScale>
        <cfvo type="min"/>
        <cfvo type="max"/>
        <color rgb="FFFCFCFF"/>
        <color rgb="FF63BE7B"/>
      </colorScale>
    </cfRule>
  </conditionalFormatting>
  <conditionalFormatting sqref="AF12:AH12">
    <cfRule type="colorScale" priority="18">
      <colorScale>
        <cfvo type="min"/>
        <cfvo type="max"/>
        <color rgb="FFFCFCFF"/>
        <color rgb="FF63BE7B"/>
      </colorScale>
    </cfRule>
  </conditionalFormatting>
  <conditionalFormatting sqref="AF13:AH13">
    <cfRule type="colorScale" priority="17">
      <colorScale>
        <cfvo type="min"/>
        <cfvo type="max"/>
        <color rgb="FFFCFCFF"/>
        <color rgb="FF63BE7B"/>
      </colorScale>
    </cfRule>
  </conditionalFormatting>
  <conditionalFormatting sqref="AF14:AH14">
    <cfRule type="colorScale" priority="16">
      <colorScale>
        <cfvo type="min"/>
        <cfvo type="max"/>
        <color rgb="FFFCFCFF"/>
        <color rgb="FF63BE7B"/>
      </colorScale>
    </cfRule>
  </conditionalFormatting>
  <conditionalFormatting sqref="B35:G3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6:G3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39:G3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0:G4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0:G4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1:G4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2:G4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3:G4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6:AH6">
    <cfRule type="colorScale" priority="7">
      <colorScale>
        <cfvo type="min"/>
        <cfvo type="max"/>
        <color rgb="FFFCFCFF"/>
        <color rgb="FFF8696B"/>
      </colorScale>
    </cfRule>
  </conditionalFormatting>
  <conditionalFormatting sqref="AC7:AH7">
    <cfRule type="colorScale" priority="6">
      <colorScale>
        <cfvo type="min"/>
        <cfvo type="max"/>
        <color rgb="FFFCFCFF"/>
        <color rgb="FFF8696B"/>
      </colorScale>
    </cfRule>
  </conditionalFormatting>
  <conditionalFormatting sqref="AC10:AH10">
    <cfRule type="colorScale" priority="5">
      <colorScale>
        <cfvo type="min"/>
        <cfvo type="max"/>
        <color rgb="FFFCFCFF"/>
        <color rgb="FFF8696B"/>
      </colorScale>
    </cfRule>
  </conditionalFormatting>
  <conditionalFormatting sqref="AC11:AH11">
    <cfRule type="colorScale" priority="4">
      <colorScale>
        <cfvo type="min"/>
        <cfvo type="max"/>
        <color rgb="FFFCFCFF"/>
        <color rgb="FFF8696B"/>
      </colorScale>
    </cfRule>
  </conditionalFormatting>
  <conditionalFormatting sqref="AC12:AH12">
    <cfRule type="colorScale" priority="3">
      <colorScale>
        <cfvo type="min"/>
        <cfvo type="max"/>
        <color rgb="FFFCFCFF"/>
        <color rgb="FFF8696B"/>
      </colorScale>
    </cfRule>
  </conditionalFormatting>
  <conditionalFormatting sqref="AC13:AH13">
    <cfRule type="colorScale" priority="2">
      <colorScale>
        <cfvo type="min"/>
        <cfvo type="max"/>
        <color rgb="FFFCFCFF"/>
        <color rgb="FFF8696B"/>
      </colorScale>
    </cfRule>
  </conditionalFormatting>
  <conditionalFormatting sqref="AC14:AH14">
    <cfRule type="colorScale" priority="1">
      <colorScale>
        <cfvo type="min"/>
        <cfvo type="max"/>
        <color rgb="FFFCFCFF"/>
        <color rgb="FFF8696B"/>
      </colorScale>
    </cfRule>
  </conditionalFormatting>
  <dataValidations count="1">
    <dataValidation allowBlank="1" showInputMessage="1" showErrorMessage="1" prompt="Calculates the difference between mean of your Off-Shelf Profit simulation table and  mean of your main Profit simulation table. The difference between those two = exactly how much off-shelf revenue added to profit per decision on average." sqref="T34" xr:uid="{244CDD69-884C-4A29-B18D-4C74BD21B2B0}"/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 and simulation</vt:lpstr>
      <vt:lpstr>Simulation results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Muthirevulu, Siya</dc:creator>
  <cp:lastModifiedBy>Muthirevulu, Siya</cp:lastModifiedBy>
  <dcterms:created xsi:type="dcterms:W3CDTF">2026-08-12T03:27:05Z</dcterms:created>
  <dcterms:modified xsi:type="dcterms:W3CDTF">2026-08-12T03:31:56Z</dcterms:modified>
</cp:coreProperties>
</file>